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74ba72a56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QUAN" sheetId="1" r:id="Rd4d446a9150b4d46"/>
    <x:sheet xmlns:r="http://schemas.openxmlformats.org/officeDocument/2006/relationships" name="MASTER_CHUAN" sheetId="2" r:id="R1efb99e2a87945ee"/>
    <x:sheet xmlns:r="http://schemas.openxmlformats.org/officeDocument/2006/relationships" name="CAN_DUYET" sheetId="3" r:id="Rad4032a1dabc4a9f"/>
    <x:sheet xmlns:r="http://schemas.openxmlformats.org/officeDocument/2006/relationships" name="GIA_LE_CHUA_DUNG" sheetId="4" r:id="Ra9e98a0d5ad54ff3"/>
    <x:sheet xmlns:r="http://schemas.openxmlformats.org/officeDocument/2006/relationships" name="GIA_LE_GOC" sheetId="5" r:id="R1bbe85ee579d4e90"/>
    <x:sheet xmlns:r="http://schemas.openxmlformats.org/officeDocument/2006/relationships" name="GIA_THUNG_GOC" sheetId="6" r:id="R266b2fe155b54cb0"/>
    <x:sheet xmlns:r="http://schemas.openxmlformats.org/officeDocument/2006/relationships" name="CAP_NHAT_DS_SP" sheetId="7" r:id="R07d86fde3135473d"/>
    <x:sheet xmlns:r="http://schemas.openxmlformats.org/officeDocument/2006/relationships" name="CAN_DUYET_DS_SP" sheetId="8" r:id="R444e17b3475f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#0"/>
    <x:numFmt numFmtId="202" formatCode="0.000"/>
    <x:numFmt numFmtId="203" formatCode="0.0"/>
    <x:numFmt numFmtId="204" formatCode="#,##0&quot; ₫&quot;;[Red]-#,##0&quot; ₫&quot;"/>
    <x:numFmt numFmtId="205" formatCode="0.###"/>
    <x:numFmt numFmtId="206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7"/>
      <x:color rgb="FFFFFFFF"/>
      <x:name val="Carlito"/>
    </x:font>
    <x:font>
      <x:b/>
      <x:sz val="11"/>
      <x:color rgb="FF1234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4C5C"/>
      </x:patternFill>
    </x:fill>
    <x:fill>
      <x:patternFill patternType="solid">
        <x:fgColor rgb="FF12343B"/>
      </x:patternFill>
    </x:fill>
    <x:fill>
      <x:patternFill patternType="solid">
        <x:fgColor rgb="FFDCEEF2"/>
      </x:patternFill>
    </x:fill>
  </x:fills>
  <x:borders count="2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</x:borders>
  <x:cellStyleXfs count="1">
    <x:xf numFmtId="0" fontId="0" fillId="0" borderId="0"/>
  </x:cellStyleXfs>
  <x:cellXfs count="1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/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left" vertical="center"/>
    </x:xf>
    <x:xf numFmtId="0" fontId="0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/>
    <x:xf numFmtId="0" fontId="0" fillId="0" borderId="13" xfId="0" applyNumberFormat="1" applyFont="1" applyFill="1" applyBorder="1"/>
    <x:xf numFmtId="0" fontId="2" fillId="3" borderId="13" xfId="0" applyNumberFormat="1" applyFont="1" applyFill="1" applyBorder="1" applyAlignment="1">
      <x:alignment horizontal="center" vertic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left" vertical="center"/>
    </x:xf>
    <x:xf numFmtId="0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15" xfId="0" applyNumberFormat="1" applyFont="1" applyFill="1" applyBorder="1"/>
    <x:xf numFmtId="201" fontId="0" fillId="0" borderId="16" xfId="0" applyNumberFormat="1" applyFont="1" applyFill="1" applyBorder="1"/>
    <x:xf numFmtId="202" fontId="0" fillId="0" borderId="16" xfId="0" applyNumberFormat="1" applyFont="1" applyFill="1" applyBorder="1"/>
    <x:xf numFmtId="200" fontId="0" fillId="0" borderId="16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8" xfId="0" applyNumberFormat="1" applyFont="1" applyFill="1" applyBorder="1"/>
    <x:xf numFmtId="203" fontId="0" fillId="0" borderId="1" xfId="0" applyNumberFormat="1" applyFont="1" applyFill="1" applyBorder="1"/>
    <x:xf numFmtId="203" fontId="0" fillId="0" borderId="16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xfId="0" applyNumberFormat="1" applyFont="1" applyFill="1" applyBorder="0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vertical="top"/>
    </x:xf>
    <x:xf numFmtId="0" fontId="0" fillId="0" borderId="19" xfId="0" applyNumberFormat="1" applyFont="1" applyFill="1" applyBorder="1" applyAlignment="1">
      <x:alignment vertical="top"/>
    </x:xf>
    <x:xf numFmtId="0" fontId="0" fillId="0" borderId="20" xfId="0" applyNumberFormat="1" applyFont="1" applyFill="1" applyBorder="1" applyAlignment="1">
      <x:alignment vertical="top"/>
    </x:xf>
    <x:xf numFmtId="0" fontId="0" fillId="0" borderId="21" xfId="0" applyNumberFormat="1" applyFont="1" applyFill="1" applyBorder="1" applyAlignment="1">
      <x:alignment vertical="top"/>
    </x:xf>
    <x:xf numFmtId="0" fontId="0" fillId="0" xfId="0" applyNumberFormat="1" applyFont="1" applyFill="1" applyBorder="0" applyAlignment="1">
      <x:alignment vertical="top"/>
    </x:xf>
    <x:xf numFmtId="0" fontId="0" fillId="0" borderId="22" xfId="0" applyNumberFormat="1" applyFont="1" applyFill="1" applyBorder="1" applyAlignment="1">
      <x:alignment vertical="top"/>
    </x:xf>
    <x:xf numFmtId="0" fontId="0" fillId="0" borderId="23" xfId="0" applyNumberFormat="1" applyFont="1" applyFill="1" applyBorder="1" applyAlignment="1">
      <x:alignment vertical="top"/>
    </x:xf>
    <x:xf numFmtId="0" fontId="0" fillId="0" borderId="24" xfId="0" applyNumberFormat="1" applyFont="1" applyFill="1" applyBorder="1" applyAlignment="1">
      <x:alignment vertical="top"/>
    </x:xf>
    <x:xf numFmtId="0" fontId="0" fillId="0" borderId="25" xfId="0" applyNumberFormat="1" applyFont="1" applyFill="1" applyBorder="1" applyAlignment="1">
      <x:alignment vertical="top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/>
    <x:xf numFmtId="204" fontId="0" fillId="0" borderId="8" xfId="0" applyNumberFormat="1" applyFont="1" applyFill="1" applyBorder="1"/>
    <x:xf numFmtId="204" fontId="0" fillId="0" borderId="19" xfId="0" applyNumberFormat="1" applyFont="1" applyFill="1" applyBorder="1" applyAlignment="1">
      <x:alignment vertical="top" wrapText="1"/>
    </x:xf>
    <x:xf numFmtId="204" fontId="0" fillId="0" xfId="0" applyNumberFormat="1" applyFont="1" applyFill="1" applyBorder="0" applyAlignment="1">
      <x:alignment vertical="top" wrapText="1"/>
    </x:xf>
    <x:xf numFmtId="204" fontId="0" fillId="0" borderId="24" xfId="0" applyNumberFormat="1" applyFont="1" applyFill="1" applyBorder="1" applyAlignment="1">
      <x:alignment vertical="top" wrapText="1"/>
    </x:xf>
    <x:xf numFmtId="205" fontId="0" fillId="0" borderId="18" xfId="0" applyNumberFormat="1" applyFont="1" applyFill="1" applyBorder="1" applyAlignment="1">
      <x:alignment vertical="top" wrapText="1"/>
    </x:xf>
    <x:xf numFmtId="205" fontId="0" fillId="0" borderId="21" xfId="0" applyNumberFormat="1" applyFont="1" applyFill="1" applyBorder="1" applyAlignment="1">
      <x:alignment vertical="top" wrapText="1"/>
    </x:xf>
    <x:xf numFmtId="205" fontId="0" fillId="0" borderId="23" xfId="0" applyNumberFormat="1" applyFont="1" applyFill="1" applyBorder="1" applyAlignment="1">
      <x:alignment vertical="top" wrapText="1"/>
    </x:xf>
    <x:xf numFmtId="206" fontId="0" fillId="0" borderId="19" xfId="0" applyNumberFormat="1" applyFont="1" applyFill="1" applyBorder="1" applyAlignment="1">
      <x:alignment vertical="top" wrapText="1"/>
    </x:xf>
    <x:xf numFmtId="206" fontId="0" fillId="0" xfId="0" applyNumberFormat="1" applyFont="1" applyFill="1" applyBorder="0" applyAlignment="1">
      <x:alignment vertical="top" wrapText="1"/>
    </x:xf>
    <x:xf numFmtId="206" fontId="0" fillId="0" borderId="24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left" vertical="center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horizontal="center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/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horizontal="center" wrapText="1"/>
    </x:xf>
    <x:xf numFmtId="0" fontId="3" fillId="4" borderId="18" xfId="0" applyNumberFormat="1" applyFont="1" applyFill="1" applyBorder="1" applyAlignment="1">
      <x:alignment horizontal="left" vertical="center"/>
    </x:xf>
    <x:xf numFmtId="0" fontId="3" fillId="4" borderId="19" xfId="0" applyNumberFormat="1" applyFont="1" applyFill="1" applyBorder="1" applyAlignment="1">
      <x:alignment horizontal="left" vertical="center"/>
    </x:xf>
    <x:xf numFmtId="0" fontId="3" fillId="4" borderId="21" xfId="0" applyNumberFormat="1" applyFont="1" applyFill="1" applyBorder="1" applyAlignment="1">
      <x:alignment horizontal="left" vertical="center"/>
    </x:xf>
    <x:xf numFmtId="0" fontId="3" fillId="4" xfId="0" applyNumberFormat="1" applyFont="1" applyFill="1" applyBorder="0" applyAlignment="1">
      <x:alignment horizontal="left" vertical="center"/>
    </x:xf>
    <x:xf numFmtId="200" fontId="0" fillId="0" xfId="0" applyNumberFormat="1" applyFont="1" applyFill="1" applyBorder="0"/>
    <x:xf numFmtId="0" fontId="2" fillId="3" borderId="23" xfId="0" applyNumberFormat="1" applyFont="1" applyFill="1" applyBorder="1" applyAlignment="1">
      <x:alignment horizontal="center" vertical="center" wrapText="1"/>
    </x:xf>
    <x:xf numFmtId="0" fontId="2" fillId="3" borderId="24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 applyAlignment="1">
      <x:alignment horizontal="center" vertical="center" wrapText="1"/>
    </x:xf>
    <x:xf numFmtId="0" fontId="3" fillId="7" borderId="18" xfId="0" applyNumberFormat="1" applyFont="1" applyFill="1" applyBorder="1" applyAlignment="1">
      <x:alignment horizontal="left" vertical="center"/>
    </x:xf>
    <x:xf numFmtId="0" fontId="3" fillId="7" borderId="21" xfId="0" applyNumberFormat="1" applyFont="1" applyFill="1" applyBorder="1" applyAlignment="1">
      <x:alignment horizontal="left" vertical="center"/>
    </x:xf>
    <x:xf numFmtId="0" fontId="0" fillId="7" borderId="21" xfId="0" applyNumberFormat="1" applyFont="1" applyFill="1" applyBorder="1"/>
    <x:xf numFmtId="0" fontId="2" fillId="7" borderId="23" xfId="0" applyNumberFormat="1" applyFont="1" applyFill="1" applyBorder="1" applyAlignment="1">
      <x:alignment horizontal="center" vertical="center" wrapText="1"/>
    </x:xf>
    <x:xf numFmtId="0" fontId="5" fillId="7" borderId="18" xfId="0" applyNumberFormat="1" applyFont="1" applyFill="1" applyBorder="1" applyAlignment="1">
      <x:alignment horizontal="left" vertical="center"/>
    </x:xf>
    <x:xf numFmtId="0" fontId="5" fillId="7" borderId="21" xfId="0" applyNumberFormat="1" applyFont="1" applyFill="1" applyBorder="1" applyAlignment="1">
      <x:alignment horizontal="left" vertical="center"/>
    </x:xf>
    <x:xf numFmtId="0" fontId="5" fillId="7" borderId="21" xfId="0" applyNumberFormat="1" applyFont="1" applyFill="1" applyBorder="1"/>
    <x:xf numFmtId="0" fontId="5" fillId="7" borderId="23" xfId="0" applyNumberFormat="1" applyFont="1" applyFill="1" applyBorder="1" applyAlignment="1">
      <x:alignment horizontal="center" vertical="center" wrapText="1"/>
    </x:xf>
    <x:xf numFmtId="0" fontId="5" fillId="7" borderId="21" xfId="0" applyNumberFormat="1" applyFont="1" applyFill="1" applyBorder="1" applyAlignment="1">
      <x:alignment vertical="center"/>
    </x:xf>
    <x:xf numFmtId="206" fontId="0" fillId="0" borderId="19" xfId="0" applyNumberFormat="1" applyFont="1" applyFill="1" applyBorder="1"/>
    <x:xf numFmtId="206" fontId="0" fillId="0" xfId="0" applyNumberFormat="1" applyFont="1" applyFill="1" applyBorder="0"/>
    <x:xf numFmtId="206" fontId="2" fillId="3" borderId="24" xfId="0" applyNumberFormat="1" applyFont="1" applyFill="1" applyBorder="1" applyAlignment="1">
      <x:alignment horizontal="center" vertical="center" wrapText="1"/>
    </x:xf>
    <x:xf numFmtId="206" fontId="0" fillId="0" borderId="20" xfId="0" applyNumberFormat="1" applyFont="1" applyFill="1" applyBorder="1"/>
    <x:xf numFmtId="206" fontId="0" fillId="0" borderId="22" xfId="0" applyNumberFormat="1" applyFont="1" applyFill="1" applyBorder="1"/>
    <x:xf numFmtId="206" fontId="2" fillId="3" borderId="25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6" xfId="0" applyNumberFormat="1" applyFont="1" applyFill="1" applyBorder="1"/>
    <x:xf numFmtId="0" fontId="2" fillId="5" borderId="5" xfId="0" applyNumberFormat="1" applyFont="1" applyFill="1" applyBorder="1" applyAlignment="1">
      <x:alignment horizontal="left" vertical="center"/>
    </x:xf>
    <x:xf numFmtId="0" fontId="2" fillId="5" borderId="6" xfId="0" applyNumberFormat="1" applyFont="1" applyFill="1" applyBorder="1"/>
    <x:xf numFmtId="0" fontId="2" fillId="5" borderId="5" xfId="0" applyNumberFormat="1" applyFont="1" applyFill="1" applyBorder="1" applyAlignment="1">
      <x:alignment horizontal="left" vertical="center"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left" vertical="center" wrapText="1"/>
    </x:xf>
    <x:xf numFmtId="0" fontId="3" fillId="4" borderId="26" xfId="0" applyNumberFormat="1" applyFont="1" applyFill="1" applyBorder="1" applyAlignment="1">
      <x:alignment horizontal="left" vertical="center"/>
    </x:xf>
    <x:xf numFmtId="0" fontId="0" fillId="0" borderId="27" xfId="0" applyNumberFormat="1" applyFont="1" applyFill="1" applyBorder="1"/>
    <x:xf numFmtId="0" fontId="3" fillId="7" borderId="26" xfId="0" applyNumberFormat="1" applyFont="1" applyFill="1" applyBorder="1" applyAlignment="1">
      <x:alignment horizontal="left" vertical="center"/>
    </x:xf>
    <x:xf numFmtId="0" fontId="5" fillId="7" borderId="26" xfId="0" applyNumberFormat="1" applyFont="1" applyFill="1" applyBorder="1" applyAlignment="1">
      <x:alignment horizontal="left" vertical="center"/>
    </x:xf>
    <x:xf numFmtId="0" fontId="5" fillId="7" borderId="18" xfId="0" applyNumberFormat="1" applyFont="1" applyFill="1" applyBorder="1" applyAlignment="1">
      <x:alignment horizontal="center" vertical="center"/>
    </x:xf>
    <x:xf numFmtId="0" fontId="5" fillId="7" borderId="21" xfId="0" applyNumberFormat="1" applyFont="1" applyFill="1" applyBorder="1" applyAlignment="1">
      <x:alignment horizontal="center" vertical="center"/>
    </x:xf>
    <x:xf numFmtId="0" fontId="5" fillId="7" borderId="26" xfId="0" applyNumberFormat="1" applyFont="1" applyFill="1" applyBorder="1" applyAlignment="1">
      <x:alignment horizontal="center" vertical="center"/>
    </x:xf>
    <x:xf numFmtId="0" fontId="5" fillId="7" borderId="21" xfId="0" applyNumberFormat="1" applyFont="1" applyFill="1" applyBorder="1" applyAlignment="1">
      <x:alignment horizontal="center"/>
    </x:xf>
    <x:xf numFmtId="0" fontId="0" fillId="0" borderId="27" xfId="0" applyNumberFormat="1" applyFont="1" applyFill="1" applyBorder="1" applyAlignment="1">
      <x:alignment wrapText="1"/>
    </x:xf>
    <x:xf numFmtId="0" fontId="0" fillId="7" borderId="18" xfId="0" applyNumberFormat="1" applyFont="1" applyFill="1" applyBorder="1"/>
    <x:xf numFmtId="0" fontId="0" fillId="7" borderId="23" xfId="0" applyNumberFormat="1" applyFont="1" applyFill="1" applyBorder="1"/>
    <x:xf numFmtId="0" fontId="5" fillId="7" borderId="18" xfId="0" applyNumberFormat="1" applyFont="1" applyFill="1" applyBorder="1"/>
    <x:xf numFmtId="0" fontId="5" fillId="7" borderId="23" xfId="0" applyNumberFormat="1" applyFont="1" applyFill="1" applyBorder="1"/>
  </x:cellXfs>
  <x:cellStyles count="1">
    <x:cellStyle name="Normal" xfId="0"/>
  </x:cellStyles>
  <x:dxfs count="21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57614967244356" /><Relationship Type="http://schemas.openxmlformats.org/officeDocument/2006/relationships/theme" Target="/xl/theme/theme1.xml" Id="R2e7219941d4e4403" /><Relationship Type="http://schemas.openxmlformats.org/officeDocument/2006/relationships/sharedStrings" Target="/xl/sharedStrings.xml" Id="R9e8b470524274697" /><Relationship Type="http://schemas.openxmlformats.org/officeDocument/2006/relationships/worksheet" Target="/xl/worksheets/sheet1.xml" Id="Rd4d446a9150b4d46" /><Relationship Type="http://schemas.openxmlformats.org/officeDocument/2006/relationships/worksheet" Target="/xl/worksheets/sheet2.xml" Id="R1efb99e2a87945ee" /><Relationship Type="http://schemas.openxmlformats.org/officeDocument/2006/relationships/worksheet" Target="/xl/worksheets/sheet3.xml" Id="Rad4032a1dabc4a9f" /><Relationship Type="http://schemas.openxmlformats.org/officeDocument/2006/relationships/worksheet" Target="/xl/worksheets/sheet4.xml" Id="Ra9e98a0d5ad54ff3" /><Relationship Type="http://schemas.openxmlformats.org/officeDocument/2006/relationships/worksheet" Target="/xl/worksheets/sheet5.xml" Id="R1bbe85ee579d4e90" /><Relationship Type="http://schemas.openxmlformats.org/officeDocument/2006/relationships/worksheet" Target="/xl/worksheets/sheet6.xml" Id="R266b2fe155b54cb0" /><Relationship Type="http://schemas.openxmlformats.org/officeDocument/2006/relationships/worksheet" Target="/xl/worksheets/sheet7.xml" Id="R07d86fde3135473d" /><Relationship Type="http://schemas.openxmlformats.org/officeDocument/2006/relationships/worksheet" Target="/xl/worksheets/sheet8.xml" Id="R444e17b3475f429d" /></Relationships>
</file>

<file path=xl/tables/table1.xml><?xml version="1.0" encoding="utf-8"?>
<x:table xmlns:x="http://schemas.openxmlformats.org/spreadsheetml/2006/main" id="1" name="MasterChuanTable" displayName="MasterChuanTable" ref="A1:AE607" headerRowCount="1">
  <x:tableColumns count="31">
    <x:tableColumn id="1" name="Tên sản phẩm chuẩn"/>
    <x:tableColumn id="2" name="Tên sản phẩm quy đổi"/>
    <x:tableColumn id="3" name="SKU đơn vị"/>
    <x:tableColumn id="4" name="SKU quy đổi"/>
    <x:tableColumn id="5" name="Barcode"/>
    <x:tableColumn id="6" name="SL quy đổi"/>
    <x:tableColumn id="7" name="Khối lượng"/>
    <x:tableColumn id="8" name="ĐVT khối lượng"/>
    <x:tableColumn id="9" name="ĐVT quy đổi"/>
    <x:tableColumn id="10" name="Giá bán buôn cũ"/>
    <x:tableColumn id="11" name="Giá bán lẻ cũ"/>
    <x:tableColumn id="12" name="Giá thành viên cũ"/>
    <x:tableColumn id="13" name="Nhóm chuẩn"/>
    <x:tableColumn id="14" name="Trạng thái ghép"/>
    <x:tableColumn id="15" name="Điểm khớp"/>
    <x:tableColumn id="16" name="Dòng nguồn giá lẻ"/>
    <x:tableColumn id="17" name="Tên nguồn giá lẻ"/>
    <x:tableColumn id="18" name="Quy cách nguồn"/>
    <x:tableColumn id="19" name="ĐVT giá nguồn"/>
    <x:tableColumn id="20" name="Cơ sở giá"/>
    <x:tableColumn id="21" name="Giá lẻ nguồn (VND)"/>
    <x:tableColumn id="22" name="Giá TV nguồn (VND)"/>
    <x:tableColumn id="23" name="Giá lẻ đơn vị chuẩn"/>
    <x:tableColumn id="24" name="Giá TV đơn vị chuẩn"/>
    <x:tableColumn id="25" name="Giá lẻ quy đổi chuẩn"/>
    <x:tableColumn id="26" name="Giá TV quy đổi chuẩn"/>
    <x:tableColumn id="27" name="Chênh lệch giá lẻ cũ"/>
    <x:tableColumn id="28" name="Cờ kiểm tra"/>
    <x:tableColumn id="29" name="Ghi chú ghép"/>
    <x:tableColumn id="30" name="MAP_KEY_ORDER"/>
    <x:tableColumn id="31" name="MAP_KEY_QUY_ĐỔI"/>
  </x:tableColumns>
  <x:tableStyleInfo name="TableStyleMedium2" showRowStripes="1"/>
</x:table>
</file>

<file path=xl/tables/table2.xml><?xml version="1.0" encoding="utf-8"?>
<x:table xmlns:x="http://schemas.openxmlformats.org/spreadsheetml/2006/main" id="2" name="CanDuyetTable" displayName="CanDuyetTable" ref="A1:M309" headerRowCount="1">
  <x:tableColumns count="13">
    <x:tableColumn id="1" name="Tên SP quy đổi"/>
    <x:tableColumn id="2" name="SKU đơn vị"/>
    <x:tableColumn id="3" name="SKU quy đổi"/>
    <x:tableColumn id="4" name="SL quy đổi"/>
    <x:tableColumn id="5" name="Trạng thái"/>
    <x:tableColumn id="6" name="Ứng viên giá lẻ"/>
    <x:tableColumn id="7" name="Dòng nguồn"/>
    <x:tableColumn id="8" name="ĐVT nguồn"/>
    <x:tableColumn id="9" name="Giá nguồn (nghìn)"/>
    <x:tableColumn id="10" name="Điểm khớp"/>
    <x:tableColumn id="11" name="Ứng viên thứ 2"/>
    <x:tableColumn id="12" name="Giá lẻ thùng cũ"/>
    <x:tableColumn id="13" name="Ghi chú"/>
  </x:tableColumns>
  <x:tableStyleInfo name="TableStyleMedium2" showRowStripes="1"/>
</x:table>
</file>

<file path=xl/tables/table3.xml><?xml version="1.0" encoding="utf-8"?>
<x:table xmlns:x="http://schemas.openxmlformats.org/spreadsheetml/2006/main" id="3" name="GiaLeChuaDungTable" displayName="GiaLeChuaDungTable" ref="A1:G107" headerRowCount="1">
  <x:tableColumns count="7">
    <x:tableColumn id="1" name="Dòng Excel gốc"/>
    <x:tableColumn id="2" name="Tên sản phẩm"/>
    <x:tableColumn id="3" name="Quy cách"/>
    <x:tableColumn id="4" name="ĐVT"/>
    <x:tableColumn id="5" name="KHTT (nghìn)"/>
    <x:tableColumn id="6" name="KHTV (nghìn)"/>
    <x:tableColumn id="7" name="Nhóm nguồn"/>
  </x:tableColumns>
  <x:tableStyleInfo name="TableStyleMedium2" showRowStripes="1"/>
</x:table>
</file>

<file path=xl/tables/table4.xml><?xml version="1.0" encoding="utf-8"?>
<x:table xmlns:x="http://schemas.openxmlformats.org/spreadsheetml/2006/main" id="4" name="GiaLeGocTable" displayName="GiaLeGocTable" ref="A1:H276" headerRowCount="1">
  <x:tableColumns count="8">
    <x:tableColumn id="1" name="STT"/>
    <x:tableColumn id="2" name="Tên sản phẩm"/>
    <x:tableColumn id="3" name="Quy cách"/>
    <x:tableColumn id="4" name="ĐVT"/>
    <x:tableColumn id="5" name="KHTT (nghìn)"/>
    <x:tableColumn id="6" name="KHTV (nghìn)"/>
    <x:tableColumn id="7" name="Nhóm nguồn"/>
    <x:tableColumn id="8" name="Dòng Excel gốc"/>
  </x:tableColumns>
  <x:tableStyleInfo name="TableStyleMedium2" showRowStripes="1"/>
</x:table>
</file>

<file path=xl/tables/table5.xml><?xml version="1.0" encoding="utf-8"?>
<x:table xmlns:x="http://schemas.openxmlformats.org/spreadsheetml/2006/main" id="5" name="GiaThungGocTable" displayName="GiaThungGocTable" ref="A1:K607" headerRowCount="1">
  <x:tableColumns count="11">
    <x:tableColumn id="1" name="Tên sản phẩm quy đổi*"/>
    <x:tableColumn id="2" name="Mã SKU của sản phẩm quy đổi*"/>
    <x:tableColumn id="3" name="Barcode"/>
    <x:tableColumn id="4" name="Mã SKU của sản phẩm đơn vị *"/>
    <x:tableColumn id="5" name="Số lượng quy đổi *"/>
    <x:tableColumn id="6" name="Khối lượng"/>
    <x:tableColumn id="7" name="Đơn vị khối lượng"/>
    <x:tableColumn id="8" name="Đơn vị quy đổi *"/>
    <x:tableColumn id="9" name="PL_Giá bán buôn"/>
    <x:tableColumn id="10" name="PL_Giá bán lẻ"/>
    <x:tableColumn id="11" name="PL_GIÁ THÀNH VIÊN"/>
  </x:tableColumns>
  <x:tableStyleInfo name="TableStyleMedium2" showRowStripes="1"/>
</x:table>
</file>

<file path=xl/tables/table6.xml><?xml version="1.0" encoding="utf-8"?>
<x:table xmlns:x="http://schemas.openxmlformats.org/spreadsheetml/2006/main" id="6" name="CapNhatDsSpTable" displayName="CapNhatDsSpTable" ref="A1:S607" headerRowCount="1">
  <x:tableColumns count="19">
    <x:tableColumn id="1" name="Dòng MASTER"/>
    <x:tableColumn id="2" name="Tên sản phẩm chuẩn"/>
    <x:tableColumn id="3" name="SKU đơn vị"/>
    <x:tableColumn id="4" name="SKU quy đổi"/>
    <x:tableColumn id="5" name="Giá trước cập nhật"/>
    <x:tableColumn id="6" name="Giá lẻ DS sản phẩm"/>
    <x:tableColumn id="7" name="Giá sau cập nhật"/>
    <x:tableColumn id="8" name="Trạng thái cập nhật"/>
    <x:tableColumn id="9" name="Khối lượng đơn vị"/>
    <x:tableColumn id="10" name="ĐVT KL đơn vị"/>
    <x:tableColumn id="11" name="ĐVT bán lẻ"/>
    <x:tableColumn id="12" name="Khối lượng quy đổi"/>
    <x:tableColumn id="13" name="ĐVT KL quy đổi"/>
    <x:tableColumn id="14" name="ĐVT quy đổi"/>
    <x:tableColumn id="15" name="SL quy đổi giữ nguyên"/>
    <x:tableColumn id="16" name="Quy cách lẻ chuẩn"/>
    <x:tableColumn id="17" name="Quy cách quy đổi chuẩn"/>
    <x:tableColumn id="18" name="Dòng DS SP SKU lẻ"/>
    <x:tableColumn id="19" name="Dòng DS SP SKU quy đổi"/>
  </x:tableColumns>
  <x:tableStyleInfo name="TableStyleMedium2" showRowStripes="1"/>
</x:table>
</file>

<file path=xl/tables/table7.xml><?xml version="1.0" encoding="utf-8"?>
<x:table xmlns:x="http://schemas.openxmlformats.org/spreadsheetml/2006/main" id="7" name="CanDuyetDsSpTable" displayName="CanDuyetDsSpTable" ref="A1:S55" headerRowCount="1">
  <x:tableColumns count="19">
    <x:tableColumn id="1" name="Dòng MASTER"/>
    <x:tableColumn id="2" name="Tên sản phẩm chuẩn"/>
    <x:tableColumn id="3" name="SKU đơn vị"/>
    <x:tableColumn id="4" name="SKU quy đổi"/>
    <x:tableColumn id="5" name="Giá trước cập nhật"/>
    <x:tableColumn id="6" name="Giá lẻ DS sản phẩm"/>
    <x:tableColumn id="7" name="Giá sau cập nhật"/>
    <x:tableColumn id="8" name="Trạng thái cập nhật"/>
    <x:tableColumn id="9" name="Khối lượng đơn vị"/>
    <x:tableColumn id="10" name="ĐVT KL đơn vị"/>
    <x:tableColumn id="11" name="ĐVT bán lẻ"/>
    <x:tableColumn id="12" name="Khối lượng quy đổi"/>
    <x:tableColumn id="13" name="ĐVT KL quy đổi"/>
    <x:tableColumn id="14" name="ĐVT quy đổi"/>
    <x:tableColumn id="15" name="SL quy đổi giữ nguyên"/>
    <x:tableColumn id="16" name="Quy cách lẻ chuẩn"/>
    <x:tableColumn id="17" name="Quy cách quy đổi chuẩn"/>
    <x:tableColumn id="18" name="Dòng DS SP SKU lẻ"/>
    <x:tableColumn id="19" name="Dòng DS SP SKU quy đổ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e6995791804f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828bc7e08141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dd3a8a2e0d4f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d40be9680744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8d738ecf1f476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c4a81101634c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d6639b1f694e3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34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141" t="str">
        <x:v>BẢNG GIÁ CHUẨN HÓA – CẬP NHẬT DANH SÁCH SẢN PHẨM 23.07.26</x:v>
      </x:c>
      <x:c r="B1" s="141"/>
      <x:c r="C1" s="141"/>
      <x:c r="D1" s="141"/>
      <x:c r="E1" s="141"/>
      <x:c r="F1" s="5"/>
      <x:c r="G1" s="5"/>
      <x:c r="H1" s="5"/>
    </x:row>
    <x:row r="2">
      <x:c r="A2" s="141"/>
      <x:c r="B2" s="141"/>
      <x:c r="C2" s="141"/>
      <x:c r="D2" s="141"/>
      <x:c r="E2" s="141"/>
    </x:row>
    <x:row r="3">
      <x:c r="A3" s="143" t="str">
        <x:v>Chỉ số</x:v>
      </x:c>
      <x:c r="B3" s="144" t="str">
        <x:v>Giá trị</x:v>
      </x:c>
      <x:c r="C3" s="144" t="str"/>
      <x:c r="D3" s="144" t="str">
        <x:v>Nguồn / nguyên tắc</x:v>
      </x:c>
      <x:c r="E3" s="146" t="str">
        <x:v>Kết quả</x:v>
      </x:c>
    </x:row>
    <x:row r="4">
      <x:c r="A4" s="162" t="str">
        <x:v>Tổng dòng MASTER</x:v>
      </x:c>
      <x:c r="B4" s="167" t="n">
        <x:v>606</x:v>
      </x:c>
      <x:c r="C4" s="91" t="str"/>
      <x:c r="D4" s="151" t="str">
        <x:v>Khớp SKU đơn vị với DANH SÁCH SẢN PHẨM</x:v>
      </x:c>
      <x:c r="E4" s="170" t="n">
        <x:v>606</x:v>
      </x:c>
    </x:row>
    <x:row r="5">
      <x:c r="A5" s="163" t="str">
        <x:v>Khớp SKU quy đổi</x:v>
      </x:c>
      <x:c r="B5" s="168" t="n">
        <x:v>606</x:v>
      </x:c>
      <x:c r="C5" s="94" t="str"/>
      <x:c r="D5" s="153" t="str">
        <x:v>Không có SKU trùng trong danh sách</x:v>
      </x:c>
      <x:c r="E5" s="171" t="n">
        <x:v>0</x:v>
      </x:c>
    </x:row>
    <x:row r="6">
      <x:c r="A6" s="163" t="str">
        <x:v>Giá lẻ đã đúng</x:v>
      </x:c>
      <x:c r="B6" s="168" t="n">
        <x:v>249</x:v>
      </x:c>
      <x:c r="C6" s="94" t="str"/>
      <x:c r="D6" s="153" t="str">
        <x:v>Giữ nguyên giá chuẩn</x:v>
      </x:c>
      <x:c r="E6" s="171" t="n">
        <x:v>249</x:v>
      </x:c>
    </x:row>
    <x:row r="7">
      <x:c r="A7" s="163" t="str">
        <x:v>Giá lẻ được cập nhật</x:v>
      </x:c>
      <x:c r="B7" s="168" t="n">
        <x:v>38</x:v>
      </x:c>
      <x:c r="C7" s="94" t="str"/>
      <x:c r="D7" s="153" t="str">
        <x:v>Giá DS SP khác giá chuẩn cũ</x:v>
      </x:c>
      <x:c r="E7" s="171" t="n">
        <x:v>38</x:v>
      </x:c>
    </x:row>
    <x:row r="8">
      <x:c r="A8" s="163" t="str">
        <x:v>Giá lẻ được bổ sung</x:v>
      </x:c>
      <x:c r="B8" s="168" t="n">
        <x:v>265</x:v>
      </x:c>
      <x:c r="C8" s="94" t="str"/>
      <x:c r="D8" s="153" t="str">
        <x:v>Giá chuẩn cũ trống, DS SP có giá</x:v>
      </x:c>
      <x:c r="E8" s="171" t="n">
        <x:v>265</x:v>
      </x:c>
    </x:row>
    <x:row r="9">
      <x:c r="A9" s="166" t="str">
        <x:v>DS SP giá 0 – giữ giá cũ</x:v>
      </x:c>
      <x:c r="B9" s="168" t="n">
        <x:v>11</x:v>
      </x:c>
      <x:c r="C9" s="94" t="str"/>
      <x:c r="D9" s="94" t="str">
        <x:v>Không ghi đè giá đang có bằng 0</x:v>
      </x:c>
      <x:c r="E9" s="171" t="n">
        <x:v>11</x:v>
      </x:c>
    </x:row>
    <x:row r="10">
      <x:c r="A10" s="165" t="str">
        <x:v>Vẫn thiếu giá</x:v>
      </x:c>
      <x:c r="B10" s="169" t="n">
        <x:v>43</x:v>
      </x:c>
      <x:c r="C10" s="156" t="str"/>
      <x:c r="D10" s="156" t="str">
        <x:v>DS SP giá 0/trống và file chuẩn cũng chưa có</x:v>
      </x:c>
      <x:c r="E10" s="172" t="n">
        <x:v>43</x:v>
      </x:c>
      <x:c r="F10" s="14"/>
      <x:c r="G10" s="14"/>
      <x:c r="H10" s="14"/>
    </x:row>
    <x:row r="11">
      <x:c r="A11" s="36"/>
      <x:c r="B11" s="30"/>
      <x:c r="C11" s="37"/>
      <x:c r="D11" s="37"/>
      <x:c r="E11" s="38"/>
    </x:row>
    <x:row r="12">
      <x:c r="A12" s="180" t="str">
        <x:v>NGUYÊN TẮC CẬP NHẬT</x:v>
      </x:c>
      <x:c r="B12" s="89"/>
      <x:c r="C12" s="89"/>
      <x:c r="D12" s="89"/>
      <x:c r="E12" s="182"/>
    </x:row>
    <x:row r="13" ht="36" customHeight="1">
      <x:c r="A13" s="190" t="str">
        <x:v>1</x:v>
      </x:c>
      <x:c r="B13" s="129" t="str">
        <x:v>Ghép đúng bằng SKU: SKU đơn vị lấy giá và đơn vị bán lẻ; SKU quy đổi lấy khối lượng và đơn vị quy đổi.</x:v>
      </x:c>
      <x:c r="C13" s="129" t="str"/>
      <x:c r="D13" s="129" t="str"/>
      <x:c r="E13" s="130" t="str"/>
    </x:row>
    <x:row r="14" ht="36" customHeight="1">
      <x:c r="A14" s="191" t="str">
        <x:v>2</x:v>
      </x:c>
      <x:c r="B14" s="132" t="str">
        <x:v>Chỉ cập nhật Giá lẻ đơn vị chuẩn khi PL_Giá bán lẻ trong danh sách lớn hơn 0.</x:v>
      </x:c>
      <x:c r="C14" s="132" t="str"/>
      <x:c r="D14" s="132" t="str"/>
      <x:c r="E14" s="133" t="str"/>
    </x:row>
    <x:row r="15" ht="36" customHeight="1">
      <x:c r="A15" s="192" t="str">
        <x:v>3</x:v>
      </x:c>
      <x:c r="B15" s="43" t="str">
        <x:v>Giá lẻ quy đổi chuẩn được tính lại bằng Giá lẻ đơn vị chuẩn × SL quy đổi.</x:v>
      </x:c>
      <x:c r="C15" s="43" t="str"/>
      <x:c r="D15" s="43" t="str"/>
      <x:c r="E15" s="194" t="str"/>
    </x:row>
    <x:row r="16" ht="36" customHeight="1">
      <x:c r="A16" s="193" t="str">
        <x:v>4</x:v>
      </x:c>
      <x:c r="B16" s="132" t="str">
        <x:v>SL quy đổi giữ nguyên từ file chuẩn hóa vì danh sách sản phẩm không có hệ số quy đổi; không suy ra bằng tỷ lệ khối lượng.</x:v>
      </x:c>
      <x:c r="C16" s="132" t="str"/>
      <x:c r="D16" s="132" t="str"/>
      <x:c r="E16" s="133" t="str"/>
    </x:row>
    <x:row r="17" ht="36" customHeight="1">
      <x:c r="A17" s="193" t="str">
        <x:v>5</x:v>
      </x:c>
      <x:c r="B17" s="132" t="str">
        <x:v>54 dòng giá 0/trống được đưa vào CAN_DUYET_DS_SP; trong đó 11 dòng giữ giá cũ và 43 dòng vẫn thiếu giá.</x:v>
      </x:c>
      <x:c r="C17" s="132" t="str"/>
      <x:c r="D17" s="132" t="str"/>
      <x:c r="E17" s="133" t="str"/>
    </x:row>
    <x:row r="18" ht="36" customHeight="1">
      <x:c r="A18" s="165" t="str">
        <x:v>6</x:v>
      </x:c>
      <x:c r="B18" s="156" t="str">
        <x:v>Các cột AF:AP trong MASTER_CHUAN lưu chi tiết đơn vị lẻ và log cập nhật từ danh sách sản phẩm.</x:v>
      </x:c>
      <x:c r="C18" s="156" t="str"/>
      <x:c r="D18" s="156" t="str"/>
      <x:c r="E18" s="157" t="str"/>
      <x:c r="F18" s="14"/>
      <x:c r="G18" s="14"/>
      <x:c r="H18" s="14"/>
    </x:row>
    <x:row r="19">
      <x:c r="A19" s="14"/>
      <x:c r="B19" s="14"/>
    </x:row>
    <x:row r="20">
      <x:c r="A20" s="89" t="str">
        <x:v>SHEET SỬ DỤNG</x:v>
      </x:c>
      <x:c r="B20" s="89"/>
      <x:c r="C20" s="89"/>
      <x:c r="D20" s="89"/>
      <x:c r="E20" s="89"/>
    </x:row>
    <x:row r="21">
      <x:c r="A21" s="197" t="str">
        <x:v>MASTER_CHUAN</x:v>
      </x:c>
      <x:c r="B21" s="129" t="str">
        <x:v>Dữ liệu chuẩn đã cập nhật giá lẻ, quy cách và đơn vị tính.</x:v>
      </x:c>
      <x:c r="C21" s="129" t="str"/>
      <x:c r="D21" s="129" t="str"/>
      <x:c r="E21" s="130" t="str"/>
    </x:row>
    <x:row r="22">
      <x:c r="A22" s="164" t="str">
        <x:v>CAP_NHAT_DS_SP</x:v>
      </x:c>
      <x:c r="B22" s="132" t="str">
        <x:v>Log chi tiết 606 dòng ghép SKU chính xác.</x:v>
      </x:c>
      <x:c r="C22" s="132" t="str"/>
      <x:c r="D22" s="132" t="str"/>
      <x:c r="E22" s="133" t="str"/>
    </x:row>
    <x:row r="23">
      <x:c r="A23" s="164" t="str">
        <x:v>CAN_DUYET_DS_SP</x:v>
      </x:c>
      <x:c r="B23" s="132" t="str">
        <x:v>54 dòng DS SP có giá 0/trống cần xử lý.</x:v>
      </x:c>
      <x:c r="C23" s="132" t="str"/>
      <x:c r="D23" s="132" t="str"/>
      <x:c r="E23" s="133" t="str"/>
    </x:row>
    <x:row r="24">
      <x:c r="A24" s="198" t="str">
        <x:v>CAN_DUYET</x:v>
      </x:c>
      <x:c r="B24" s="135" t="str">
        <x:v>Bảng duyệt cũ từ nguồn Bảng giá kênh quán; chỉ dùng tham khảo lịch sử.</x:v>
      </x:c>
      <x:c r="C24" s="135" t="str"/>
      <x:c r="D24" s="135" t="str"/>
      <x:c r="E24" s="136" t="str"/>
    </x:row>
  </x:sheetData>
  <x:mergeCells>
    <x:mergeCell ref="A1:H1"/>
    <x:mergeCell ref="A10:H10"/>
    <x:mergeCell ref="A18:H18"/>
    <x:mergeCell ref="A1:E2"/>
    <x:mergeCell ref="A12:E12"/>
    <x:mergeCell ref="B13:E13"/>
    <x:mergeCell ref="B14:E14"/>
    <x:mergeCell ref="B15:E15"/>
    <x:mergeCell ref="B16:E16"/>
    <x:mergeCell ref="B17:E17"/>
    <x:mergeCell ref="B18:E18"/>
    <x:mergeCell ref="A20:E20"/>
    <x:mergeCell ref="B21:E21"/>
    <x:mergeCell ref="B22:E22"/>
    <x:mergeCell ref="B23:E23"/>
    <x:mergeCell ref="B24:E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0" hidden="0" customWidth="1"/>
    <x:col min="7" max="7" width="12" hidden="0" customWidth="1"/>
    <x:col min="8" max="8" width="10" hidden="0" customWidth="1"/>
    <x:col min="9" max="9" width="11" hidden="0" customWidth="1"/>
    <x:col min="10" max="10" width="15" hidden="0" customWidth="1"/>
    <x:col min="11" max="11" width="15" hidden="0" customWidth="1"/>
    <x:col min="12" max="12" width="15" hidden="0" customWidth="1"/>
    <x:col min="13" max="13" width="22" hidden="0" customWidth="1"/>
    <x:col min="14" max="14" width="20" hidden="0" customWidth="1"/>
    <x:col min="15" max="15" width="10" hidden="0" customWidth="1"/>
    <x:col min="16" max="16" width="11" hidden="0" customWidth="1"/>
    <x:col min="17" max="17" width="28" hidden="0" customWidth="1"/>
    <x:col min="18" max="18" width="20" hidden="0" customWidth="1"/>
    <x:col min="19" max="19" width="12" hidden="0" customWidth="1"/>
    <x:col min="20" max="20" width="11" hidden="0" customWidth="1"/>
    <x:col min="21" max="21" width="16" hidden="0" customWidth="1"/>
    <x:col min="22" max="22" width="16" hidden="0" customWidth="1"/>
    <x:col min="23" max="23" width="17" hidden="0" customWidth="1"/>
    <x:col min="24" max="24" width="17" hidden="0" customWidth="1"/>
    <x:col min="25" max="25" width="18" hidden="0" customWidth="1"/>
    <x:col min="26" max="26" width="18" hidden="0" customWidth="1"/>
    <x:col min="27" max="27" width="14" hidden="0" customWidth="1"/>
    <x:col min="28" max="28" width="15" hidden="0" customWidth="1"/>
    <x:col min="29" max="29" width="34" hidden="0" customWidth="1"/>
    <x:col min="30" max="30" width="16" hidden="0" customWidth="1"/>
    <x:col min="31" max="31" width="17" hidden="0" customWidth="1"/>
    <x:col min="32" max="32" width="15" hidden="0" customWidth="1"/>
    <x:col min="33" max="33" width="14" hidden="0" customWidth="1"/>
    <x:col min="34" max="34" width="16" hidden="0" customWidth="1"/>
    <x:col min="35" max="35" width="24" hidden="0" customWidth="1"/>
    <x:col min="36" max="36" width="16" hidden="0" customWidth="1"/>
    <x:col min="37" max="37" width="17" hidden="0" customWidth="1"/>
    <x:col min="38" max="38" width="17" hidden="0" customWidth="1"/>
    <x:col min="39" max="39" width="28" hidden="0" customWidth="1"/>
    <x:col min="40" max="40" width="16" hidden="0" customWidth="1"/>
    <x:col min="41" max="41" width="19" hidden="0" customWidth="1"/>
    <x:col min="42" max="42" width="26" hidden="0" customWidth="1"/>
  </x:cols>
  <x:sheetData>
    <x:row r="1" ht="36" customHeight="1">
      <x:c r="A1" s="32" t="str">
        <x:v>Tên sản phẩm chuẩn</x:v>
      </x:c>
      <x:c r="B1" s="33" t="str">
        <x:v>Tên sản phẩm quy đổi</x:v>
      </x:c>
      <x:c r="C1" s="33" t="str">
        <x:v>SKU đơn vị</x:v>
      </x:c>
      <x:c r="D1" s="33" t="str">
        <x:v>SKU quy đổi</x:v>
      </x:c>
      <x:c r="E1" s="33" t="str">
        <x:v>Barcode</x:v>
      </x:c>
      <x:c r="F1" s="33" t="str">
        <x:v>SL quy đổi</x:v>
      </x:c>
      <x:c r="G1" s="33" t="str">
        <x:v>Khối lượng</x:v>
      </x:c>
      <x:c r="H1" s="33" t="str">
        <x:v>ĐVT khối lượng</x:v>
      </x:c>
      <x:c r="I1" s="33" t="str">
        <x:v>ĐVT quy đổi</x:v>
      </x:c>
      <x:c r="J1" s="33" t="str">
        <x:v>Giá bán buôn cũ</x:v>
      </x:c>
      <x:c r="K1" s="33" t="str">
        <x:v>Giá bán lẻ cũ</x:v>
      </x:c>
      <x:c r="L1" s="33" t="str">
        <x:v>Giá thành viên cũ</x:v>
      </x:c>
      <x:c r="M1" s="33" t="str">
        <x:v>Nhóm chuẩn</x:v>
      </x:c>
      <x:c r="N1" s="33" t="str">
        <x:v>Trạng thái ghép</x:v>
      </x:c>
      <x:c r="O1" s="33" t="str">
        <x:v>Điểm khớp</x:v>
      </x:c>
      <x:c r="P1" s="33" t="str">
        <x:v>Dòng nguồn giá lẻ</x:v>
      </x:c>
      <x:c r="Q1" s="33" t="str">
        <x:v>Tên nguồn giá lẻ</x:v>
      </x:c>
      <x:c r="R1" s="33" t="str">
        <x:v>Quy cách nguồn</x:v>
      </x:c>
      <x:c r="S1" s="33" t="str">
        <x:v>ĐVT giá nguồn</x:v>
      </x:c>
      <x:c r="T1" s="33" t="str">
        <x:v>Cơ sở giá</x:v>
      </x:c>
      <x:c r="U1" s="33" t="str">
        <x:v>Giá lẻ nguồn (VND)</x:v>
      </x:c>
      <x:c r="V1" s="33" t="str">
        <x:v>Giá TV nguồn (VND)</x:v>
      </x:c>
      <x:c r="W1" s="33" t="str">
        <x:v>Giá lẻ đơn vị chuẩn</x:v>
      </x:c>
      <x:c r="X1" s="33" t="str">
        <x:v>Giá TV đơn vị chuẩn</x:v>
      </x:c>
      <x:c r="Y1" s="33" t="str">
        <x:v>Giá lẻ quy đổi chuẩn</x:v>
      </x:c>
      <x:c r="Z1" s="33" t="str">
        <x:v>Giá TV quy đổi chuẩn</x:v>
      </x:c>
      <x:c r="AA1" s="33" t="str">
        <x:v>Chênh lệch giá lẻ cũ</x:v>
      </x:c>
      <x:c r="AB1" s="33" t="str">
        <x:v>Cờ kiểm tra</x:v>
      </x:c>
      <x:c r="AC1" s="33" t="str">
        <x:v>Ghi chú ghép</x:v>
      </x:c>
      <x:c r="AD1" s="33" t="str">
        <x:v>MAP_KEY_ORDER</x:v>
      </x:c>
      <x:c r="AE1" s="35" t="str">
        <x:v>MAP_KEY_QUY_ĐỔI</x:v>
      </x:c>
      <x:c r="AF1" s="89" t="str">
        <x:v>Khối lượng đơn vị DS SP</x:v>
      </x:c>
      <x:c r="AG1" s="89" t="str">
        <x:v>ĐVT KL đơn vị DS SP</x:v>
      </x:c>
      <x:c r="AH1" s="89" t="str">
        <x:v>ĐVT bán lẻ DS SP</x:v>
      </x:c>
      <x:c r="AI1" s="89" t="str">
        <x:v>Quy cách lẻ chuẩn</x:v>
      </x:c>
      <x:c r="AJ1" s="89" t="str">
        <x:v>Giá lẻ DS SP</x:v>
      </x:c>
      <x:c r="AK1" s="89" t="str">
        <x:v>Giá lẻ trước cập nhật</x:v>
      </x:c>
      <x:c r="AL1" s="89" t="str">
        <x:v>Giá lẻ sau cập nhật</x:v>
      </x:c>
      <x:c r="AM1" s="89" t="str">
        <x:v>Trạng thái cập nhật DS SP</x:v>
      </x:c>
      <x:c r="AN1" s="89" t="str">
        <x:v>Dòng DS SP SKU lẻ</x:v>
      </x:c>
      <x:c r="AO1" s="89" t="str">
        <x:v>Dòng DS SP SKU quy đổi</x:v>
      </x:c>
      <x:c r="AP1" s="89" t="str">
        <x:v>Quy cách quy đổi chuẩn</x:v>
      </x:c>
    </x:row>
    <x:row r="2">
      <x:c r="A2" s="71" t="str">
        <x:v>HẠT NỔ TRẮNG LOTUS</x:v>
      </x:c>
      <x:c r="B2" s="30" t="str">
        <x:v>HẠT NỔ TRẮNG LOTUS - THÙNG</x:v>
      </x:c>
      <x:c r="C2" s="37" t="str">
        <x:v>NOTRLT</x:v>
      </x:c>
      <x:c r="D2" s="37" t="str">
        <x:v>NOTRLTT</x:v>
      </x:c>
      <x:c r="E2" s="37" t="str">
        <x:v>NOTRLTT</x:v>
      </x:c>
      <x:c r="F2" s="37" t="n">
        <x:v>12</x:v>
      </x:c>
      <x:c r="G2" s="37" t="n">
        <x:v>10200</x:v>
      </x:c>
      <x:c r="H2" s="37" t="str">
        <x:v>g</x:v>
      </x:c>
      <x:c r="I2" s="37" t="str">
        <x:v>THÙNG</x:v>
      </x:c>
      <x:c r="J2" s="59" t="n">
        <x:v>0</x:v>
      </x:c>
      <x:c r="K2" s="59" t="n">
        <x:v>0</x:v>
      </x:c>
      <x:c r="L2" s="59" t="n">
        <x:v>0</x:v>
      </x:c>
      <x:c r="M2" s="37" t="str">
        <x:v>Khác</x:v>
      </x:c>
      <x:c r="N2" s="37" t="str">
        <x:v>CHƯA CÓ GIÁ LẺ</x:v>
      </x:c>
      <x:c r="O2" s="61" t="n">
        <x:v>0.455</x:v>
      </x:c>
      <x:c r="P2" s="37"/>
      <x:c r="Q2" s="30"/>
      <x:c r="R2" s="30"/>
      <x:c r="S2" s="30"/>
      <x:c r="T2" s="37"/>
      <x:c r="U2" s="59"/>
      <x:c r="V2" s="59"/>
      <x:c r="W2" s="117"/>
      <x:c r="X2" s="59" t="str">
        <x:f>IFERROR(IF(OR($N2="ĐÃ GHÉP - AUTO",$N2="ĐÃ GHÉP - QUY TẮC"),IF($V2="","",IF($T2="THÙNG",$V2/$F2,$V2)),""),"")</x:f>
      </x:c>
      <x:c r="Y2" s="117" t="str">
        <x:f>IF(OR(W2="",F2=""),"",W2*F2)</x:f>
      </x:c>
      <x:c r="Z2" s="59" t="str">
        <x:f>IFERROR(IF(OR($N2="ĐÃ GHÉP - AUTO",$N2="ĐÃ GHÉP - QUY TẮC"),IF($V2="","",IF($T2="THÙNG",$V2,$V2*$F2)),""),"")</x:f>
      </x:c>
      <x:c r="AA2" s="28" t="str">
        <x:f>IFERROR(IF(OR($K2="",$K2=0,$Y2=""),"",($Y2-$K2)/$K2),"")</x:f>
      </x:c>
      <x:c r="AB2" s="37" t="str">
        <x:f>IFERROR(IF($N2="CẦN DUYỆT","DUYỆT MAP",IF($N2="CHƯA CÓ GIÁ LẺ","THIẾU GIÁ",IF(OR($K2="",$K2=0,$Y2=""),"OK",IF(ABS(($Y2-$K2)/$K2)&gt;0.15,"LỆCH GIÁ CŨ","OK")))),"OK")</x:f>
        <x:v>THIẾU GIÁ</x:v>
      </x:c>
      <x:c r="AC2" s="30" t="str">
        <x:v>ứng viên gần nhất=ong hut trang phi 6/8; score=0.455</x:v>
      </x:c>
      <x:c r="AD2" s="37" t="str">
        <x:v>NOTRLT</x:v>
      </x:c>
      <x:c r="AE2" s="38" t="str">
        <x:v>NOTRLTT</x:v>
      </x:c>
      <x:c r="AF2" s="122" t="n">
        <x:v>850</x:v>
      </x:c>
      <x:c r="AG2" s="109" t="str">
        <x:v>g</x:v>
      </x:c>
      <x:c r="AH2" s="109" t="str">
        <x:v>LON</x:v>
      </x:c>
      <x:c r="AI2" s="109" t="str">
        <x:v>850 g / LON</x:v>
      </x:c>
      <x:c r="AJ2" s="119" t="n">
        <x:v>0</x:v>
      </x:c>
      <x:c r="AK2" s="119"/>
      <x:c r="AL2" s="119"/>
      <x:c r="AM2" s="109" t="str">
        <x:v>DS SP GIÁ 0 - VẪN THIẾU GIÁ</x:v>
      </x:c>
      <x:c r="AN2" s="125" t="n">
        <x:v>2</x:v>
      </x:c>
      <x:c r="AO2" s="125" t="n">
        <x:v>3</x:v>
      </x:c>
      <x:c r="AP2" s="110" t="str">
        <x:v>12 LON / THÙNG</x:v>
      </x:c>
    </x:row>
    <x:row r="3">
      <x:c r="A3" s="71" t="str">
        <x:v>SIRO TRINH ĐÀO</x:v>
      </x:c>
      <x:c r="B3" s="30" t="str">
        <x:v>SIRO TRINH ĐÀO - THÙNG</x:v>
      </x:c>
      <x:c r="C3" s="37" t="str">
        <x:v>SRTRDO</x:v>
      </x:c>
      <x:c r="D3" s="37" t="str">
        <x:v>SRTRDOT</x:v>
      </x:c>
      <x:c r="E3" s="37" t="str">
        <x:v>SRTRDOT</x:v>
      </x:c>
      <x:c r="F3" s="37" t="n">
        <x:v>20</x:v>
      </x:c>
      <x:c r="G3" s="37" t="n">
        <x:v>20</x:v>
      </x:c>
      <x:c r="H3" s="37" t="str">
        <x:v>kg</x:v>
      </x:c>
      <x:c r="I3" s="37" t="str">
        <x:v>THÙNG</x:v>
      </x:c>
      <x:c r="J3" s="59" t="n">
        <x:v>0</x:v>
      </x:c>
      <x:c r="K3" s="59" t="n">
        <x:v>0</x:v>
      </x:c>
      <x:c r="L3" s="59" t="n">
        <x:v>0</x:v>
      </x:c>
      <x:c r="M3" s="37" t="str">
        <x:v>Siro</x:v>
      </x:c>
      <x:c r="N3" s="37" t="str">
        <x:v>CHƯA CÓ GIÁ LẺ</x:v>
      </x:c>
      <x:c r="O3" s="61" t="n">
        <x:v>0.261</x:v>
      </x:c>
      <x:c r="P3" s="37"/>
      <x:c r="Q3" s="30"/>
      <x:c r="R3" s="30"/>
      <x:c r="S3" s="30"/>
      <x:c r="T3" s="37"/>
      <x:c r="U3" s="59"/>
      <x:c r="V3" s="59"/>
      <x:c r="W3" s="117"/>
      <x:c r="X3" s="59" t="str">
        <x:f>IFERROR(IF(OR($N3="ĐÃ GHÉP - AUTO",$N3="ĐÃ GHÉP - QUY TẮC"),IF($V3="","",IF($T3="THÙNG",$V3/$F3,$V3)),""),"")</x:f>
      </x:c>
      <x:c r="Y3" s="117" t="str">
        <x:f>IF(OR(W3="",F3=""),"",W3*F3)</x:f>
      </x:c>
      <x:c r="Z3" s="59" t="str">
        <x:f>IFERROR(IF(OR($N3="ĐÃ GHÉP - AUTO",$N3="ĐÃ GHÉP - QUY TẮC"),IF($V3="","",IF($T3="THÙNG",$V3,$V3*$F3)),""),"")</x:f>
      </x:c>
      <x:c r="AA3" s="28" t="str">
        <x:f>IFERROR(IF(OR($K3="",$K3=0,$Y3=""),"",($Y3-$K3)/$K3),"")</x:f>
      </x:c>
      <x:c r="AB3" s="37" t="str">
        <x:f>IFERROR(IF($N3="CẦN DUYỆT","DUYỆT MAP",IF($N3="CHƯA CÓ GIÁ LẺ","THIẾU GIÁ",IF(OR($K3="",$K3=0,$Y3=""),"OK",IF(ABS(($Y3-$K3)/$K3)&gt;0.15,"LỆCH GIÁ CŨ","OK")))),"OK")</x:f>
        <x:v>THIẾU GIÁ</x:v>
      </x:c>
      <x:c r="AC3" s="30" t="str">
        <x:v>ứng viên gần nhất=CỐT bí đao wonderfull; score=0.261</x:v>
      </x:c>
      <x:c r="AD3" s="37" t="str">
        <x:v>SRTRDO</x:v>
      </x:c>
      <x:c r="AE3" s="38" t="str">
        <x:v>SRTRDOT</x:v>
      </x:c>
      <x:c r="AF3" s="123" t="n">
        <x:v>1</x:v>
      </x:c>
      <x:c r="AG3" s="112" t="str">
        <x:v>kg</x:v>
      </x:c>
      <x:c r="AH3" s="112" t="str">
        <x:v>CHAI</x:v>
      </x:c>
      <x:c r="AI3" s="112" t="str">
        <x:v>1 kg / CHAI</x:v>
      </x:c>
      <x:c r="AJ3" s="120" t="n">
        <x:v>0</x:v>
      </x:c>
      <x:c r="AK3" s="120"/>
      <x:c r="AL3" s="120"/>
      <x:c r="AM3" s="112" t="str">
        <x:v>DS SP GIÁ 0 - VẪN THIẾU GIÁ</x:v>
      </x:c>
      <x:c r="AN3" s="126" t="n">
        <x:v>37</x:v>
      </x:c>
      <x:c r="AO3" s="126" t="n">
        <x:v>38</x:v>
      </x:c>
      <x:c r="AP3" s="113" t="str">
        <x:v>20 CHAI / THÙNG</x:v>
      </x:c>
    </x:row>
    <x:row r="4">
      <x:c r="A4" s="71" t="str">
        <x:v>TRÀ LÀI TAM MÃ</x:v>
      </x:c>
      <x:c r="B4" s="30" t="str">
        <x:v>TRÀ LÀI TAM MÃ - THÙNG</x:v>
      </x:c>
      <x:c r="C4" s="37" t="str">
        <x:v>TRLATM</x:v>
      </x:c>
      <x:c r="D4" s="37" t="str">
        <x:v>TRLATMT</x:v>
      </x:c>
      <x:c r="E4" s="37" t="str">
        <x:v>TRLATMT</x:v>
      </x:c>
      <x:c r="F4" s="37" t="n">
        <x:v>50</x:v>
      </x:c>
      <x:c r="G4" s="37" t="n">
        <x:v>25000</x:v>
      </x:c>
      <x:c r="H4" s="37" t="str">
        <x:v>g</x:v>
      </x:c>
      <x:c r="I4" s="37" t="str">
        <x:v>THÙNG</x:v>
      </x:c>
      <x:c r="J4" s="59" t="n">
        <x:v>0</x:v>
      </x:c>
      <x:c r="K4" s="59" t="n">
        <x:v>0</x:v>
      </x:c>
      <x:c r="L4" s="59" t="n">
        <x:v>0</x:v>
      </x:c>
      <x:c r="M4" s="37" t="str">
        <x:v>Trà</x:v>
      </x:c>
      <x:c r="N4" s="37" t="str">
        <x:v>CHƯA CÓ GIÁ LẺ</x:v>
      </x:c>
      <x:c r="O4" s="61" t="n">
        <x:v>0.45</x:v>
      </x:c>
      <x:c r="P4" s="37"/>
      <x:c r="Q4" s="30"/>
      <x:c r="R4" s="30"/>
      <x:c r="S4" s="30"/>
      <x:c r="T4" s="37"/>
      <x:c r="U4" s="59"/>
      <x:c r="V4" s="59"/>
      <x:c r="W4" s="117"/>
      <x:c r="X4" s="59" t="str">
        <x:f>IFERROR(IF(OR($N4="ĐÃ GHÉP - AUTO",$N4="ĐÃ GHÉP - QUY TẮC"),IF($V4="","",IF($T4="THÙNG",$V4/$F4,$V4)),""),"")</x:f>
      </x:c>
      <x:c r="Y4" s="117" t="str">
        <x:f>IF(OR(W4="",F4=""),"",W4*F4)</x:f>
      </x:c>
      <x:c r="Z4" s="59" t="str">
        <x:f>IFERROR(IF(OR($N4="ĐÃ GHÉP - AUTO",$N4="ĐÃ GHÉP - QUY TẮC"),IF($V4="","",IF($T4="THÙNG",$V4,$V4*$F4)),""),"")</x:f>
      </x:c>
      <x:c r="AA4" s="28" t="str">
        <x:f>IFERROR(IF(OR($K4="",$K4=0,$Y4=""),"",($Y4-$K4)/$K4),"")</x:f>
      </x:c>
      <x:c r="AB4" s="37" t="str">
        <x:f>IFERROR(IF($N4="CẦN DUYỆT","DUYỆT MAP",IF($N4="CHƯA CÓ GIÁ LẺ","THIẾU GIÁ",IF(OR($K4="",$K4=0,$Y4=""),"OK",IF(ABS(($Y4-$K4)/$K4)&gt;0.15,"LỆCH GIÁ CŨ","OK")))),"OK")</x:f>
        <x:v>THIẾU GIÁ</x:v>
      </x:c>
      <x:c r="AC4" s="30" t="str">
        <x:v>ứng viên gần nhất=Trà lài Lộc Phát; score=0.450</x:v>
      </x:c>
      <x:c r="AD4" s="37" t="str">
        <x:v>TRLATM</x:v>
      </x:c>
      <x:c r="AE4" s="38" t="str">
        <x:v>TRLATMT</x:v>
      </x:c>
      <x:c r="AF4" s="123" t="n">
        <x:v>500</x:v>
      </x:c>
      <x:c r="AG4" s="112" t="str">
        <x:v>g</x:v>
      </x:c>
      <x:c r="AH4" s="112" t="str">
        <x:v>BỊCH</x:v>
      </x:c>
      <x:c r="AI4" s="112" t="str">
        <x:v>500 g / BỊCH</x:v>
      </x:c>
      <x:c r="AJ4" s="120" t="n">
        <x:v>0</x:v>
      </x:c>
      <x:c r="AK4" s="120"/>
      <x:c r="AL4" s="120"/>
      <x:c r="AM4" s="112" t="str">
        <x:v>DS SP GIÁ 0 - VẪN THIẾU GIÁ</x:v>
      </x:c>
      <x:c r="AN4" s="126" t="n">
        <x:v>120</x:v>
      </x:c>
      <x:c r="AO4" s="126" t="n">
        <x:v>121</x:v>
      </x:c>
      <x:c r="AP4" s="113" t="str">
        <x:v>50 BỊCH / THÙNG</x:v>
      </x:c>
    </x:row>
    <x:row r="5">
      <x:c r="A5" s="71" t="str">
        <x:v>TRÀ SÂM DỨA TAM MÃ</x:v>
      </x:c>
      <x:c r="B5" s="30" t="str">
        <x:v>TRÀ SÂM DỨA TAM MÃ - THÙNG</x:v>
      </x:c>
      <x:c r="C5" s="37" t="str">
        <x:v>TRSDTM</x:v>
      </x:c>
      <x:c r="D5" s="37" t="str">
        <x:v>TRSDTMT</x:v>
      </x:c>
      <x:c r="E5" s="37" t="str">
        <x:v>TRSDTMT</x:v>
      </x:c>
      <x:c r="F5" s="37" t="n">
        <x:v>50</x:v>
      </x:c>
      <x:c r="G5" s="37" t="n">
        <x:v>25000</x:v>
      </x:c>
      <x:c r="H5" s="37" t="str">
        <x:v>g</x:v>
      </x:c>
      <x:c r="I5" s="37" t="str">
        <x:v>THÙNG</x:v>
      </x:c>
      <x:c r="J5" s="59" t="n">
        <x:v>0</x:v>
      </x:c>
      <x:c r="K5" s="59" t="n">
        <x:v>0</x:v>
      </x:c>
      <x:c r="L5" s="59" t="n">
        <x:v>0</x:v>
      </x:c>
      <x:c r="M5" s="37" t="str">
        <x:v>Trà</x:v>
      </x:c>
      <x:c r="N5" s="37" t="str">
        <x:v>CHƯA CÓ GIÁ LẺ</x:v>
      </x:c>
      <x:c r="O5" s="61" t="n">
        <x:v>0.415</x:v>
      </x:c>
      <x:c r="P5" s="37"/>
      <x:c r="Q5" s="30"/>
      <x:c r="R5" s="30"/>
      <x:c r="S5" s="30"/>
      <x:c r="T5" s="37"/>
      <x:c r="U5" s="59"/>
      <x:c r="V5" s="59"/>
      <x:c r="W5" s="117"/>
      <x:c r="X5" s="59" t="str">
        <x:f>IFERROR(IF(OR($N5="ĐÃ GHÉP - AUTO",$N5="ĐÃ GHÉP - QUY TẮC"),IF($V5="","",IF($T5="THÙNG",$V5/$F5,$V5)),""),"")</x:f>
      </x:c>
      <x:c r="Y5" s="117" t="str">
        <x:f>IF(OR(W5="",F5=""),"",W5*F5)</x:f>
      </x:c>
      <x:c r="Z5" s="59" t="str">
        <x:f>IFERROR(IF(OR($N5="ĐÃ GHÉP - AUTO",$N5="ĐÃ GHÉP - QUY TẮC"),IF($V5="","",IF($T5="THÙNG",$V5,$V5*$F5)),""),"")</x:f>
      </x:c>
      <x:c r="AA5" s="28" t="str">
        <x:f>IFERROR(IF(OR($K5="",$K5=0,$Y5=""),"",($Y5-$K5)/$K5),"")</x:f>
      </x:c>
      <x:c r="AB5" s="37" t="str">
        <x:f>IFERROR(IF($N5="CẦN DUYỆT","DUYỆT MAP",IF($N5="CHƯA CÓ GIÁ LẺ","THIẾU GIÁ",IF(OR($K5="",$K5=0,$Y5=""),"OK",IF(ABS(($Y5-$K5)/$K5)&gt;0.15,"LỆCH GIÁ CŨ","OK")))),"OK")</x:f>
        <x:v>THIẾU GIÁ</x:v>
      </x:c>
      <x:c r="AC5" s="30" t="str">
        <x:v>ứng viên gần nhất=Trà dứa sao vàng; score=0.415</x:v>
      </x:c>
      <x:c r="AD5" s="37" t="str">
        <x:v>TRSDTM</x:v>
      </x:c>
      <x:c r="AE5" s="38" t="str">
        <x:v>TRSDTMT</x:v>
      </x:c>
      <x:c r="AF5" s="123" t="n">
        <x:v>500</x:v>
      </x:c>
      <x:c r="AG5" s="112" t="str">
        <x:v>g</x:v>
      </x:c>
      <x:c r="AH5" s="112" t="str">
        <x:v>BỊCH</x:v>
      </x:c>
      <x:c r="AI5" s="112" t="str">
        <x:v>500 g / BỊCH</x:v>
      </x:c>
      <x:c r="AJ5" s="120" t="n">
        <x:v>0</x:v>
      </x:c>
      <x:c r="AK5" s="120"/>
      <x:c r="AL5" s="120"/>
      <x:c r="AM5" s="112" t="str">
        <x:v>DS SP GIÁ 0 - VẪN THIẾU GIÁ</x:v>
      </x:c>
      <x:c r="AN5" s="126" t="n">
        <x:v>6</x:v>
      </x:c>
      <x:c r="AO5" s="126" t="n">
        <x:v>7</x:v>
      </x:c>
      <x:c r="AP5" s="113" t="str">
        <x:v>50 BỊCH / THÙNG</x:v>
      </x:c>
    </x:row>
    <x:row r="6">
      <x:c r="A6" s="71" t="str">
        <x:v>BÁNH BAO CAM</x:v>
      </x:c>
      <x:c r="B6" s="30" t="str">
        <x:v>BÁNH BAO CAM - THÙNG</x:v>
      </x:c>
      <x:c r="C6" s="37" t="str">
        <x:v>BBACAM</x:v>
      </x:c>
      <x:c r="D6" s="37" t="str">
        <x:v>BBACAMT</x:v>
      </x:c>
      <x:c r="E6" s="37" t="str">
        <x:v>BBACAMT</x:v>
      </x:c>
      <x:c r="F6" s="37" t="n">
        <x:v>20</x:v>
      </x:c>
      <x:c r="G6" s="37" t="n">
        <x:v>10000</x:v>
      </x:c>
      <x:c r="H6" s="37" t="str">
        <x:v>g</x:v>
      </x:c>
      <x:c r="I6" s="37" t="str">
        <x:v>THÙNG</x:v>
      </x:c>
      <x:c r="J6" s="59" t="n">
        <x:v>0</x:v>
      </x:c>
      <x:c r="K6" s="59" t="n">
        <x:v>0</x:v>
      </x:c>
      <x:c r="L6" s="59" t="n">
        <x:v>0</x:v>
      </x:c>
      <x:c r="M6" s="37" t="str">
        <x:v>Thực phẩm đông lạnh</x:v>
      </x:c>
      <x:c r="N6" s="37" t="str">
        <x:v>CHƯA CÓ GIÁ LẺ</x:v>
      </x:c>
      <x:c r="O6" s="61" t="n">
        <x:v>0.484</x:v>
      </x:c>
      <x:c r="P6" s="37"/>
      <x:c r="Q6" s="30"/>
      <x:c r="R6" s="30"/>
      <x:c r="S6" s="30"/>
      <x:c r="T6" s="37"/>
      <x:c r="U6" s="59"/>
      <x:c r="V6" s="59"/>
      <x:c r="W6" s="117" t="n">
        <x:v>45000</x:v>
      </x:c>
      <x:c r="X6" s="59" t="str">
        <x:f>IFERROR(IF(OR($N6="ĐÃ GHÉP - AUTO",$N6="ĐÃ GHÉP - QUY TẮC"),IF($V6="","",IF($T6="THÙNG",$V6/$F6,$V6)),""),"")</x:f>
      </x:c>
      <x:c r="Y6" s="117" t="n">
        <x:f>IF(OR(W6="",F6=""),"",W6*F6)</x:f>
        <x:v>900000</x:v>
      </x:c>
      <x:c r="Z6" s="59" t="str">
        <x:f>IFERROR(IF(OR($N6="ĐÃ GHÉP - AUTO",$N6="ĐÃ GHÉP - QUY TẮC"),IF($V6="","",IF($T6="THÙNG",$V6,$V6*$F6)),""),"")</x:f>
      </x:c>
      <x:c r="AA6" s="28" t="str">
        <x:f>IFERROR(IF(OR($K6="",$K6=0,$Y6=""),"",($Y6-$K6)/$K6),"")</x:f>
      </x:c>
      <x:c r="AB6" s="37" t="str">
        <x:f>IFERROR(IF($N6="CẦN DUYỆT","DUYỆT MAP",IF($N6="CHƯA CÓ GIÁ LẺ","THIẾU GIÁ",IF(OR($K6="",$K6=0,$Y6=""),"OK",IF(ABS(($Y6-$K6)/$K6)&gt;0.15,"LỆCH GIÁ CŨ","OK")))),"OK")</x:f>
        <x:v>THIẾU GIÁ</x:v>
      </x:c>
      <x:c r="AC6" s="30" t="str">
        <x:v>ứng viên gần nhất=Bánh Bao Trứng; score=0.484</x:v>
      </x:c>
      <x:c r="AD6" s="37" t="str">
        <x:v>BBACAM</x:v>
      </x:c>
      <x:c r="AE6" s="38" t="str">
        <x:v>BBACAMT</x:v>
      </x:c>
      <x:c r="AF6" s="123" t="n">
        <x:v>500</x:v>
      </x:c>
      <x:c r="AG6" s="112" t="str">
        <x:v>g</x:v>
      </x:c>
      <x:c r="AH6" s="112" t="str">
        <x:v>GÓI</x:v>
      </x:c>
      <x:c r="AI6" s="112" t="str">
        <x:v>500 g / GÓI</x:v>
      </x:c>
      <x:c r="AJ6" s="120" t="n">
        <x:v>45000</x:v>
      </x:c>
      <x:c r="AK6" s="120"/>
      <x:c r="AL6" s="120" t="n">
        <x:v>45000</x:v>
      </x:c>
      <x:c r="AM6" s="112" t="str">
        <x:v>BỔ SUNG GIÁ</x:v>
      </x:c>
      <x:c r="AN6" s="126" t="n">
        <x:v>1346</x:v>
      </x:c>
      <x:c r="AO6" s="126" t="n">
        <x:v>1347</x:v>
      </x:c>
      <x:c r="AP6" s="113" t="str">
        <x:v>20 GÓI / THÙNG</x:v>
      </x:c>
    </x:row>
    <x:row r="7">
      <x:c r="A7" s="71" t="str">
        <x:v>THẢ LẨU CAM</x:v>
      </x:c>
      <x:c r="B7" s="30" t="str">
        <x:v>THẢ LẨU CAM - THÙNG</x:v>
      </x:c>
      <x:c r="C7" s="37" t="str">
        <x:v>VTLCAM</x:v>
      </x:c>
      <x:c r="D7" s="37" t="str">
        <x:v>VTLCAMT</x:v>
      </x:c>
      <x:c r="E7" s="37" t="str">
        <x:v>VTLCAMT</x:v>
      </x:c>
      <x:c r="F7" s="37" t="n">
        <x:v>40</x:v>
      </x:c>
      <x:c r="G7" s="37" t="n">
        <x:v>20000</x:v>
      </x:c>
      <x:c r="H7" s="37" t="str">
        <x:v>g</x:v>
      </x:c>
      <x:c r="I7" s="37" t="str">
        <x:v>THÙNG</x:v>
      </x:c>
      <x:c r="J7" s="59" t="n">
        <x:v>0</x:v>
      </x:c>
      <x:c r="K7" s="59" t="n">
        <x:v>0</x:v>
      </x:c>
      <x:c r="L7" s="59" t="n">
        <x:v>0</x:v>
      </x:c>
      <x:c r="M7" s="37" t="str">
        <x:v>Thực phẩm đông lạnh</x:v>
      </x:c>
      <x:c r="N7" s="37" t="str">
        <x:v>CẦN DUYỆT</x:v>
      </x:c>
      <x:c r="O7" s="61" t="n">
        <x:v>0.669</x:v>
      </x:c>
      <x:c r="P7" s="37" t="n">
        <x:v>273</x:v>
      </x:c>
      <x:c r="Q7" s="30" t="str">
        <x:v>Viên Thả lẩu</x:v>
      </x:c>
      <x:c r="R7" s="30" t="str"/>
      <x:c r="S7" s="30" t="str">
        <x:v>bịch</x:v>
      </x:c>
      <x:c r="T7" s="37" t="str">
        <x:v>ĐƠN VỊ</x:v>
      </x:c>
      <x:c r="U7" s="59" t="n">
        <x:v>43000</x:v>
      </x:c>
      <x:c r="V7" s="59"/>
      <x:c r="W7" s="117" t="n">
        <x:v>43000</x:v>
      </x:c>
      <x:c r="X7" s="59" t="str">
        <x:f>IFERROR(IF(OR($N7="ĐÃ GHÉP - AUTO",$N7="ĐÃ GHÉP - QUY TẮC"),IF($V7="","",IF($T7="THÙNG",$V7/$F7,$V7)),""),"")</x:f>
      </x:c>
      <x:c r="Y7" s="117" t="n">
        <x:f>IF(OR(W7="",F7=""),"",W7*F7)</x:f>
        <x:v>1720000</x:v>
      </x:c>
      <x:c r="Z7" s="59" t="str">
        <x:f>IFERROR(IF(OR($N7="ĐÃ GHÉP - AUTO",$N7="ĐÃ GHÉP - QUY TẮC"),IF($V7="","",IF($T7="THÙNG",$V7,$V7*$F7)),""),"")</x:f>
      </x:c>
      <x:c r="AA7" s="28" t="str">
        <x:f>IFERROR(IF(OR($K7="",$K7=0,$Y7=""),"",($Y7-$K7)/$K7),"")</x:f>
      </x:c>
      <x:c r="AB7" s="37" t="str">
        <x:f>IFERROR(IF($N7="CẦN DUYỆT","DUYỆT MAP",IF($N7="CHƯA CÓ GIÁ LẺ","THIẾU GIÁ",IF(OR($K7="",$K7=0,$Y7=""),"OK",IF(ABS(($Y7-$K7)/$K7)&gt;0.15,"LỆCH GIÁ CŨ","OK")))),"OK")</x:f>
        <x:v>DUYỆT MAP</x:v>
      </x:c>
      <x:c r="AC7" s="30" t="str">
        <x:v>score=0.669; gap=0.348; phương án 2=Lẩu Kim chi</x:v>
      </x:c>
      <x:c r="AD7" s="37" t="str">
        <x:v>VTLCAM</x:v>
      </x:c>
      <x:c r="AE7" s="38" t="str">
        <x:v>VTLCAMT</x:v>
      </x:c>
      <x:c r="AF7" s="123" t="n">
        <x:v>500</x:v>
      </x:c>
      <x:c r="AG7" s="112" t="str">
        <x:v>g</x:v>
      </x:c>
      <x:c r="AH7" s="112" t="str">
        <x:v>GÓI</x:v>
      </x:c>
      <x:c r="AI7" s="112" t="str">
        <x:v>500 g / GÓI</x:v>
      </x:c>
      <x:c r="AJ7" s="120" t="n">
        <x:v>43000</x:v>
      </x:c>
      <x:c r="AK7" s="120"/>
      <x:c r="AL7" s="120" t="n">
        <x:v>43000</x:v>
      </x:c>
      <x:c r="AM7" s="112" t="str">
        <x:v>BỔ SUNG GIÁ</x:v>
      </x:c>
      <x:c r="AN7" s="126" t="n">
        <x:v>353</x:v>
      </x:c>
      <x:c r="AO7" s="126" t="n">
        <x:v>354</x:v>
      </x:c>
      <x:c r="AP7" s="113" t="str">
        <x:v>40 GÓI / THÙNG</x:v>
      </x:c>
    </x:row>
    <x:row r="8">
      <x:c r="A8" s="71" t="str">
        <x:v>XÚC XÍCH VƯỜN BIA</x:v>
      </x:c>
      <x:c r="B8" s="30" t="str">
        <x:v>XÚC XÍCH VƯỜN BIA - THÙNG</x:v>
      </x:c>
      <x:c r="C8" s="37" t="str">
        <x:v>XXVBIA</x:v>
      </x:c>
      <x:c r="D8" s="37" t="str">
        <x:v>XXVBIAT</x:v>
      </x:c>
      <x:c r="E8" s="37" t="str">
        <x:v>XXVBIAT</x:v>
      </x:c>
      <x:c r="F8" s="37" t="n">
        <x:v>40</x:v>
      </x:c>
      <x:c r="G8" s="37" t="n">
        <x:v>20000</x:v>
      </x:c>
      <x:c r="H8" s="37" t="str">
        <x:v>g</x:v>
      </x:c>
      <x:c r="I8" s="37" t="str">
        <x:v>THÙNG</x:v>
      </x:c>
      <x:c r="J8" s="59" t="n">
        <x:v>0</x:v>
      </x:c>
      <x:c r="K8" s="59" t="n">
        <x:v>0</x:v>
      </x:c>
      <x:c r="L8" s="59" t="n">
        <x:v>0</x:v>
      </x:c>
      <x:c r="M8" s="37" t="str">
        <x:v>Thực phẩm đông lạnh</x:v>
      </x:c>
      <x:c r="N8" s="37" t="str">
        <x:v>ĐÃ GHÉP - AUTO</x:v>
      </x:c>
      <x:c r="O8" s="61" t="n">
        <x:v>0.93</x:v>
      </x:c>
      <x:c r="P8" s="37" t="n">
        <x:v>271</x:v>
      </x:c>
      <x:c r="Q8" s="30" t="str">
        <x:v>Xúc Xích Vườn bia</x:v>
      </x:c>
      <x:c r="R8" s="30" t="str"/>
      <x:c r="S8" s="30" t="str">
        <x:v>bịch</x:v>
      </x:c>
      <x:c r="T8" s="37" t="str">
        <x:v>ĐƠN VỊ</x:v>
      </x:c>
      <x:c r="U8" s="59" t="n">
        <x:v>50000</x:v>
      </x:c>
      <x:c r="V8" s="59"/>
      <x:c r="W8" s="117" t="n">
        <x:v>50000</x:v>
      </x:c>
      <x:c r="X8" s="59" t="str">
        <x:f>IFERROR(IF(OR($N8="ĐÃ GHÉP - AUTO",$N8="ĐÃ GHÉP - QUY TẮC"),IF($V8="","",IF($T8="THÙNG",$V8/$F8,$V8)),""),"")</x:f>
      </x:c>
      <x:c r="Y8" s="117" t="n">
        <x:f>IF(OR(W8="",F8=""),"",W8*F8)</x:f>
        <x:v>2000000</x:v>
      </x:c>
      <x:c r="Z8" s="59" t="str">
        <x:f>IFERROR(IF(OR($N8="ĐÃ GHÉP - AUTO",$N8="ĐÃ GHÉP - QUY TẮC"),IF($V8="","",IF($T8="THÙNG",$V8,$V8*$F8)),""),"")</x:f>
      </x:c>
      <x:c r="AA8" s="28" t="str">
        <x:f>IFERROR(IF(OR($K8="",$K8=0,$Y8=""),"",($Y8-$K8)/$K8),"")</x:f>
      </x:c>
      <x:c r="AB8" s="37" t="str">
        <x:f>IFERROR(IF($N8="CẦN DUYỆT","DUYỆT MAP",IF($N8="CHƯA CÓ GIÁ LẺ","THIẾU GIÁ",IF(OR($K8="",$K8=0,$Y8=""),"OK",IF(ABS(($Y8-$K8)/$K8)&gt;0.15,"LỆCH GIÁ CŨ","OK")))),"OK")</x:f>
        <x:v>OK</x:v>
      </x:c>
      <x:c r="AC8" s="30" t="str">
        <x:v>score=0.930; gap=0.340</x:v>
      </x:c>
      <x:c r="AD8" s="37" t="str">
        <x:v>XXVBIA</x:v>
      </x:c>
      <x:c r="AE8" s="38" t="str">
        <x:v>XXVBIAT</x:v>
      </x:c>
      <x:c r="AF8" s="123" t="n">
        <x:v>500</x:v>
      </x:c>
      <x:c r="AG8" s="112" t="str">
        <x:v>g</x:v>
      </x:c>
      <x:c r="AH8" s="112" t="str">
        <x:v>GÓI</x:v>
      </x:c>
      <x:c r="AI8" s="112" t="str">
        <x:v>500 g / GÓI</x:v>
      </x:c>
      <x:c r="AJ8" s="120" t="n">
        <x:v>50000</x:v>
      </x:c>
      <x:c r="AK8" s="120" t="n">
        <x:v>50000</x:v>
      </x:c>
      <x:c r="AL8" s="120" t="n">
        <x:v>50000</x:v>
      </x:c>
      <x:c r="AM8" s="112" t="str">
        <x:v>GIỮ NGUYÊN - ĐÃ KHỚP</x:v>
      </x:c>
      <x:c r="AN8" s="126" t="n">
        <x:v>149</x:v>
      </x:c>
      <x:c r="AO8" s="126" t="n">
        <x:v>150</x:v>
      </x:c>
      <x:c r="AP8" s="113" t="str">
        <x:v>40 GÓI / THÙNG</x:v>
      </x:c>
    </x:row>
    <x:row r="9">
      <x:c r="A9" s="71" t="str">
        <x:v>ỐC NHỒI LACUSA</x:v>
      </x:c>
      <x:c r="B9" s="30" t="str">
        <x:v>ỐC NHỒI LACUSA - THÙNG</x:v>
      </x:c>
      <x:c r="C9" s="37" t="str">
        <x:v>OCNHOI</x:v>
      </x:c>
      <x:c r="D9" s="37" t="str">
        <x:v>OCNHOIT</x:v>
      </x:c>
      <x:c r="E9" s="37" t="str">
        <x:v>OCNHOIT</x:v>
      </x:c>
      <x:c r="F9" s="37" t="n">
        <x:v>40</x:v>
      </x:c>
      <x:c r="G9" s="37" t="n">
        <x:v>20000</x:v>
      </x:c>
      <x:c r="H9" s="37" t="str">
        <x:v>g</x:v>
      </x:c>
      <x:c r="I9" s="37" t="str">
        <x:v>THÙNG</x:v>
      </x:c>
      <x:c r="J9" s="59" t="n">
        <x:v>0</x:v>
      </x:c>
      <x:c r="K9" s="59" t="n">
        <x:v>0</x:v>
      </x:c>
      <x:c r="L9" s="59" t="n">
        <x:v>0</x:v>
      </x:c>
      <x:c r="M9" s="37" t="str">
        <x:v>Thực phẩm đông lạnh</x:v>
      </x:c>
      <x:c r="N9" s="37" t="str">
        <x:v>ĐÃ GHÉP - AUTO</x:v>
      </x:c>
      <x:c r="O9" s="61" t="n">
        <x:v>0.861</x:v>
      </x:c>
      <x:c r="P9" s="37" t="n">
        <x:v>266</x:v>
      </x:c>
      <x:c r="Q9" s="30" t="str">
        <x:v>Ốc nhồi</x:v>
      </x:c>
      <x:c r="R9" s="30" t="str"/>
      <x:c r="S9" s="30" t="str">
        <x:v>bịch</x:v>
      </x:c>
      <x:c r="T9" s="37" t="str">
        <x:v>ĐƠN VỊ</x:v>
      </x:c>
      <x:c r="U9" s="59" t="n">
        <x:v>33000</x:v>
      </x:c>
      <x:c r="V9" s="59"/>
      <x:c r="W9" s="117" t="n">
        <x:v>32000</x:v>
      </x:c>
      <x:c r="X9" s="59" t="str">
        <x:f>IFERROR(IF(OR($N9="ĐÃ GHÉP - AUTO",$N9="ĐÃ GHÉP - QUY TẮC"),IF($V9="","",IF($T9="THÙNG",$V9/$F9,$V9)),""),"")</x:f>
      </x:c>
      <x:c r="Y9" s="117" t="n">
        <x:f>IF(OR(W9="",F9=""),"",W9*F9)</x:f>
        <x:v>1280000</x:v>
      </x:c>
      <x:c r="Z9" s="59" t="str">
        <x:f>IFERROR(IF(OR($N9="ĐÃ GHÉP - AUTO",$N9="ĐÃ GHÉP - QUY TẮC"),IF($V9="","",IF($T9="THÙNG",$V9,$V9*$F9)),""),"")</x:f>
      </x:c>
      <x:c r="AA9" s="28" t="str">
        <x:f>IFERROR(IF(OR($K9="",$K9=0,$Y9=""),"",($Y9-$K9)/$K9),"")</x:f>
      </x:c>
      <x:c r="AB9" s="37" t="str">
        <x:f>IFERROR(IF($N9="CẦN DUYỆT","DUYỆT MAP",IF($N9="CHƯA CÓ GIÁ LẺ","THIẾU GIÁ",IF(OR($K9="",$K9=0,$Y9=""),"OK",IF(ABS(($Y9-$K9)/$K9)&gt;0.15,"LỆCH GIÁ CŨ","OK")))),"OK")</x:f>
        <x:v>OK</x:v>
      </x:c>
      <x:c r="AC9" s="30" t="str">
        <x:v>score=0.861; gap=0.795</x:v>
      </x:c>
      <x:c r="AD9" s="37" t="str">
        <x:v>OCNHOI</x:v>
      </x:c>
      <x:c r="AE9" s="38" t="str">
        <x:v>OCNHOIT</x:v>
      </x:c>
      <x:c r="AF9" s="123" t="n">
        <x:v>500</x:v>
      </x:c>
      <x:c r="AG9" s="112" t="str">
        <x:v>g</x:v>
      </x:c>
      <x:c r="AH9" s="112" t="str">
        <x:v>GÓI</x:v>
      </x:c>
      <x:c r="AI9" s="112" t="str">
        <x:v>500 g / GÓI</x:v>
      </x:c>
      <x:c r="AJ9" s="120" t="n">
        <x:v>32000</x:v>
      </x:c>
      <x:c r="AK9" s="120" t="n">
        <x:v>33000</x:v>
      </x:c>
      <x:c r="AL9" s="120" t="n">
        <x:v>32000</x:v>
      </x:c>
      <x:c r="AM9" s="112" t="str">
        <x:v>CẬP NHẬT GIÁ</x:v>
      </x:c>
      <x:c r="AN9" s="126" t="n">
        <x:v>755</x:v>
      </x:c>
      <x:c r="AO9" s="126" t="n">
        <x:v>756</x:v>
      </x:c>
      <x:c r="AP9" s="113" t="str">
        <x:v>40 GÓI / THÙNG</x:v>
      </x:c>
    </x:row>
    <x:row r="10">
      <x:c r="A10" s="71" t="str">
        <x:v>TRÀ ONA QUẢ MỌNG</x:v>
      </x:c>
      <x:c r="B10" s="30" t="str">
        <x:v>TRÀ ONA QUẢ MỌNG - THÙNG</x:v>
      </x:c>
      <x:c r="C10" s="37" t="str">
        <x:v>TRQMON</x:v>
      </x:c>
      <x:c r="D10" s="37" t="str">
        <x:v>TRQMONT</x:v>
      </x:c>
      <x:c r="E10" s="37" t="str">
        <x:v>TRQMONT</x:v>
      </x:c>
      <x:c r="F10" s="37" t="n">
        <x:v>20</x:v>
      </x:c>
      <x:c r="G10" s="37" t="n">
        <x:v>10000</x:v>
      </x:c>
      <x:c r="H10" s="37" t="str">
        <x:v>g</x:v>
      </x:c>
      <x:c r="I10" s="37" t="str">
        <x:v>THÙNG</x:v>
      </x:c>
      <x:c r="J10" s="59" t="n">
        <x:v>0</x:v>
      </x:c>
      <x:c r="K10" s="59" t="n">
        <x:v>0</x:v>
      </x:c>
      <x:c r="L10" s="59" t="n">
        <x:v>0</x:v>
      </x:c>
      <x:c r="M10" s="37" t="str">
        <x:v>Trà</x:v>
      </x:c>
      <x:c r="N10" s="37" t="str">
        <x:v>ĐÃ GHÉP - AUTO</x:v>
      </x:c>
      <x:c r="O10" s="61" t="n">
        <x:v>0.914</x:v>
      </x:c>
      <x:c r="P10" s="37" t="n">
        <x:v>199</x:v>
      </x:c>
      <x:c r="Q10" s="30" t="str">
        <x:v>TRÀ QUẢ MỌNG</x:v>
      </x:c>
      <x:c r="R10" s="30" t="str">
        <x:v>Thùng 20 gói</x:v>
      </x:c>
      <x:c r="S10" s="30" t="str">
        <x:v>gói 500g</x:v>
      </x:c>
      <x:c r="T10" s="37" t="str">
        <x:v>ĐƠN VỊ</x:v>
      </x:c>
      <x:c r="U10" s="59" t="n">
        <x:v>225000</x:v>
      </x:c>
      <x:c r="V10" s="59"/>
      <x:c r="W10" s="117" t="n">
        <x:v>225000</x:v>
      </x:c>
      <x:c r="X10" s="59" t="str">
        <x:f>IFERROR(IF(OR($N10="ĐÃ GHÉP - AUTO",$N10="ĐÃ GHÉP - QUY TẮC"),IF($V10="","",IF($T10="THÙNG",$V10/$F10,$V10)),""),"")</x:f>
      </x:c>
      <x:c r="Y10" s="117" t="n">
        <x:f>IF(OR(W10="",F10=""),"",W10*F10)</x:f>
        <x:v>4500000</x:v>
      </x:c>
      <x:c r="Z10" s="59" t="str">
        <x:f>IFERROR(IF(OR($N10="ĐÃ GHÉP - AUTO",$N10="ĐÃ GHÉP - QUY TẮC"),IF($V10="","",IF($T10="THÙNG",$V10,$V10*$F10)),""),"")</x:f>
      </x:c>
      <x:c r="AA10" s="28" t="str">
        <x:f>IFERROR(IF(OR($K10="",$K10=0,$Y10=""),"",($Y10-$K10)/$K10),"")</x:f>
      </x:c>
      <x:c r="AB10" s="37" t="str">
        <x:f>IFERROR(IF($N10="CẦN DUYỆT","DUYỆT MAP",IF($N10="CHƯA CÓ GIÁ LẺ","THIẾU GIÁ",IF(OR($K10="",$K10=0,$Y10=""),"OK",IF(ABS(($Y10-$K10)/$K10)&gt;0.15,"LỆCH GIÁ CŨ","OK")))),"OK")</x:f>
        <x:v>OK</x:v>
      </x:c>
      <x:c r="AC10" s="30" t="str">
        <x:v>score=0.914; gap=0.478</x:v>
      </x:c>
      <x:c r="AD10" s="37" t="str">
        <x:v>TRQMON</x:v>
      </x:c>
      <x:c r="AE10" s="38" t="str">
        <x:v>TRQMONT</x:v>
      </x:c>
      <x:c r="AF10" s="123" t="n">
        <x:v>500</x:v>
      </x:c>
      <x:c r="AG10" s="112" t="str">
        <x:v>g</x:v>
      </x:c>
      <x:c r="AH10" s="112" t="str">
        <x:v>GÓI</x:v>
      </x:c>
      <x:c r="AI10" s="112" t="str">
        <x:v>500 g / GÓI</x:v>
      </x:c>
      <x:c r="AJ10" s="120" t="n">
        <x:v>225000</x:v>
      </x:c>
      <x:c r="AK10" s="120" t="n">
        <x:v>225000</x:v>
      </x:c>
      <x:c r="AL10" s="120" t="n">
        <x:v>225000</x:v>
      </x:c>
      <x:c r="AM10" s="112" t="str">
        <x:v>GIỮ NGUYÊN - ĐÃ KHỚP</x:v>
      </x:c>
      <x:c r="AN10" s="126" t="n">
        <x:v>9</x:v>
      </x:c>
      <x:c r="AO10" s="126" t="n">
        <x:v>10</x:v>
      </x:c>
      <x:c r="AP10" s="113" t="str">
        <x:v>20 GÓI / THÙNG</x:v>
      </x:c>
    </x:row>
    <x:row r="11">
      <x:c r="A11" s="71" t="str">
        <x:v>THANH CUA DÀI</x:v>
      </x:c>
      <x:c r="B11" s="30" t="str">
        <x:v>THANH CUA DÀI - THÙNG</x:v>
      </x:c>
      <x:c r="C11" s="37" t="str">
        <x:v>TCUADA</x:v>
      </x:c>
      <x:c r="D11" s="37" t="str">
        <x:v>TCUADAT</x:v>
      </x:c>
      <x:c r="E11" s="37" t="str">
        <x:v>TCUADAT</x:v>
      </x:c>
      <x:c r="F11" s="37" t="n">
        <x:v>10</x:v>
      </x:c>
      <x:c r="G11" s="37" t="n">
        <x:v>10</x:v>
      </x:c>
      <x:c r="H11" s="37" t="str">
        <x:v>kg</x:v>
      </x:c>
      <x:c r="I11" s="37" t="str">
        <x:v>THÙNG</x:v>
      </x:c>
      <x:c r="J11" s="59" t="n">
        <x:v>0</x:v>
      </x:c>
      <x:c r="K11" s="59" t="n">
        <x:v>0</x:v>
      </x:c>
      <x:c r="L11" s="59" t="n">
        <x:v>0</x:v>
      </x:c>
      <x:c r="M11" s="37" t="str">
        <x:v>Thực phẩm đông lạnh</x:v>
      </x:c>
      <x:c r="N11" s="37" t="str">
        <x:v>ĐÃ GHÉP - AUTO</x:v>
      </x:c>
      <x:c r="O11" s="61" t="n">
        <x:v>0.793</x:v>
      </x:c>
      <x:c r="P11" s="37" t="n">
        <x:v>279</x:v>
      </x:c>
      <x:c r="Q11" s="30" t="str">
        <x:v>Thanh cua dài 1kg</x:v>
      </x:c>
      <x:c r="R11" s="30" t="str"/>
      <x:c r="S11" s="30" t="str">
        <x:v>bịch</x:v>
      </x:c>
      <x:c r="T11" s="37" t="str">
        <x:v>ĐƠN VỊ</x:v>
      </x:c>
      <x:c r="U11" s="59" t="n">
        <x:v>130000</x:v>
      </x:c>
      <x:c r="V11" s="59"/>
      <x:c r="W11" s="117" t="n">
        <x:v>130000</x:v>
      </x:c>
      <x:c r="X11" s="59" t="str">
        <x:f>IFERROR(IF(OR($N11="ĐÃ GHÉP - AUTO",$N11="ĐÃ GHÉP - QUY TẮC"),IF($V11="","",IF($T11="THÙNG",$V11/$F11,$V11)),""),"")</x:f>
      </x:c>
      <x:c r="Y11" s="117" t="n">
        <x:f>IF(OR(W11="",F11=""),"",W11*F11)</x:f>
        <x:v>1300000</x:v>
      </x:c>
      <x:c r="Z11" s="59" t="str">
        <x:f>IFERROR(IF(OR($N11="ĐÃ GHÉP - AUTO",$N11="ĐÃ GHÉP - QUY TẮC"),IF($V11="","",IF($T11="THÙNG",$V11,$V11*$F11)),""),"")</x:f>
      </x:c>
      <x:c r="AA11" s="28" t="str">
        <x:f>IFERROR(IF(OR($K11="",$K11=0,$Y11=""),"",($Y11-$K11)/$K11),"")</x:f>
      </x:c>
      <x:c r="AB11" s="37" t="str">
        <x:f>IFERROR(IF($N11="CẦN DUYỆT","DUYỆT MAP",IF($N11="CHƯA CÓ GIÁ LẺ","THIẾU GIÁ",IF(OR($K11="",$K11=0,$Y11=""),"OK",IF(ABS(($Y11-$K11)/$K11)&gt;0.15,"LỆCH GIÁ CŨ","OK")))),"OK")</x:f>
        <x:v>OK</x:v>
      </x:c>
      <x:c r="AC11" s="30" t="str">
        <x:v>score=0.793; gap=0.147</x:v>
      </x:c>
      <x:c r="AD11" s="37" t="str">
        <x:v>TCUADA</x:v>
      </x:c>
      <x:c r="AE11" s="38" t="str">
        <x:v>TCUADAT</x:v>
      </x:c>
      <x:c r="AF11" s="123" t="n">
        <x:v>1</x:v>
      </x:c>
      <x:c r="AG11" s="112" t="str">
        <x:v>kg</x:v>
      </x:c>
      <x:c r="AH11" s="112" t="str">
        <x:v>BỊCH</x:v>
      </x:c>
      <x:c r="AI11" s="112" t="str">
        <x:v>1 kg / BỊCH</x:v>
      </x:c>
      <x:c r="AJ11" s="120" t="n">
        <x:v>130000</x:v>
      </x:c>
      <x:c r="AK11" s="120" t="n">
        <x:v>130000</x:v>
      </x:c>
      <x:c r="AL11" s="120" t="n">
        <x:v>130000</x:v>
      </x:c>
      <x:c r="AM11" s="112" t="str">
        <x:v>GIỮ NGUYÊN - ĐÃ KHỚP</x:v>
      </x:c>
      <x:c r="AN11" s="126" t="n">
        <x:v>235</x:v>
      </x:c>
      <x:c r="AO11" s="126" t="n">
        <x:v>236</x:v>
      </x:c>
      <x:c r="AP11" s="113" t="str">
        <x:v>10 BỊCH / THÙNG</x:v>
      </x:c>
    </x:row>
    <x:row r="12">
      <x:c r="A12" s="71" t="str">
        <x:v>THANH CUA LICHUN</x:v>
      </x:c>
      <x:c r="B12" s="30" t="str">
        <x:v>THANH CUA LICHUN - THÙNG</x:v>
      </x:c>
      <x:c r="C12" s="37" t="str">
        <x:v>TCUALC</x:v>
      </x:c>
      <x:c r="D12" s="37" t="str">
        <x:v>TCUALCT</x:v>
      </x:c>
      <x:c r="E12" s="37" t="str">
        <x:v>TCUALCT</x:v>
      </x:c>
      <x:c r="F12" s="37" t="n">
        <x:v>30</x:v>
      </x:c>
      <x:c r="G12" s="37" t="n">
        <x:v>15</x:v>
      </x:c>
      <x:c r="H12" s="37" t="str">
        <x:v>kg</x:v>
      </x:c>
      <x:c r="I12" s="37" t="str">
        <x:v>THÙNG</x:v>
      </x:c>
      <x:c r="J12" s="59" t="n">
        <x:v>0</x:v>
      </x:c>
      <x:c r="K12" s="59" t="n">
        <x:v>0</x:v>
      </x:c>
      <x:c r="L12" s="59" t="n">
        <x:v>0</x:v>
      </x:c>
      <x:c r="M12" s="37" t="str">
        <x:v>Thực phẩm đông lạnh</x:v>
      </x:c>
      <x:c r="N12" s="37" t="str">
        <x:v>ĐÃ GHÉP - AUTO</x:v>
      </x:c>
      <x:c r="O12" s="61" t="n">
        <x:v>0.93</x:v>
      </x:c>
      <x:c r="P12" s="37" t="n">
        <x:v>280</x:v>
      </x:c>
      <x:c r="Q12" s="30" t="str">
        <x:v>Thanh cua Lichuan</x:v>
      </x:c>
      <x:c r="R12" s="30" t="str"/>
      <x:c r="S12" s="30" t="str">
        <x:v>bịch</x:v>
      </x:c>
      <x:c r="T12" s="37" t="str">
        <x:v>ĐƠN VỊ</x:v>
      </x:c>
      <x:c r="U12" s="59" t="n">
        <x:v>75000</x:v>
      </x:c>
      <x:c r="V12" s="59"/>
      <x:c r="W12" s="117" t="n">
        <x:v>75000</x:v>
      </x:c>
      <x:c r="X12" s="59" t="str">
        <x:f>IFERROR(IF(OR($N12="ĐÃ GHÉP - AUTO",$N12="ĐÃ GHÉP - QUY TẮC"),IF($V12="","",IF($T12="THÙNG",$V12/$F12,$V12)),""),"")</x:f>
      </x:c>
      <x:c r="Y12" s="117" t="n">
        <x:f>IF(OR(W12="",F12=""),"",W12*F12)</x:f>
        <x:v>2250000</x:v>
      </x:c>
      <x:c r="Z12" s="59" t="str">
        <x:f>IFERROR(IF(OR($N12="ĐÃ GHÉP - AUTO",$N12="ĐÃ GHÉP - QUY TẮC"),IF($V12="","",IF($T12="THÙNG",$V12,$V12*$F12)),""),"")</x:f>
      </x:c>
      <x:c r="AA12" s="28" t="str">
        <x:f>IFERROR(IF(OR($K12="",$K12=0,$Y12=""),"",($Y12-$K12)/$K12),"")</x:f>
      </x:c>
      <x:c r="AB12" s="37" t="str">
        <x:f>IFERROR(IF($N12="CẦN DUYỆT","DUYỆT MAP",IF($N12="CHƯA CÓ GIÁ LẺ","THIẾU GIÁ",IF(OR($K12="",$K12=0,$Y12=""),"OK",IF(ABS(($Y12-$K12)/$K12)&gt;0.15,"LỆCH GIÁ CŨ","OK")))),"OK")</x:f>
        <x:v>OK</x:v>
      </x:c>
      <x:c r="AC12" s="30" t="str">
        <x:v>score=0.930; gap=0.389</x:v>
      </x:c>
      <x:c r="AD12" s="37" t="str">
        <x:v>TCUALC</x:v>
      </x:c>
      <x:c r="AE12" s="38" t="str">
        <x:v>TCUALCT</x:v>
      </x:c>
      <x:c r="AF12" s="123" t="n">
        <x:v>0.5</x:v>
      </x:c>
      <x:c r="AG12" s="112" t="str">
        <x:v>kg</x:v>
      </x:c>
      <x:c r="AH12" s="112" t="str">
        <x:v>BỊCH</x:v>
      </x:c>
      <x:c r="AI12" s="112" t="str">
        <x:v>0.5 kg / BỊCH</x:v>
      </x:c>
      <x:c r="AJ12" s="120" t="n">
        <x:v>75000</x:v>
      </x:c>
      <x:c r="AK12" s="120" t="n">
        <x:v>75000</x:v>
      </x:c>
      <x:c r="AL12" s="120" t="n">
        <x:v>75000</x:v>
      </x:c>
      <x:c r="AM12" s="112" t="str">
        <x:v>GIỮ NGUYÊN - ĐÃ KHỚP</x:v>
      </x:c>
      <x:c r="AN12" s="126" t="n">
        <x:v>233</x:v>
      </x:c>
      <x:c r="AO12" s="126" t="n">
        <x:v>234</x:v>
      </x:c>
      <x:c r="AP12" s="113" t="str">
        <x:v>30 BỊCH / THÙNG</x:v>
      </x:c>
    </x:row>
    <x:row r="13">
      <x:c r="A13" s="71" t="str">
        <x:v>BỘT PHOMAI ÔNG GIÀ</x:v>
      </x:c>
      <x:c r="B13" s="30" t="str">
        <x:v>BỘT PHOMAI ÔNG GIÀ - THÙNG</x:v>
      </x:c>
      <x:c r="C13" s="37" t="str">
        <x:v>BPMDBP</x:v>
      </x:c>
      <x:c r="D13" s="37" t="str">
        <x:v>BPMDBPT</x:v>
      </x:c>
      <x:c r="E13" s="37" t="str">
        <x:v>BPMDBPT</x:v>
      </x:c>
      <x:c r="F13" s="37" t="n">
        <x:v>20</x:v>
      </x:c>
      <x:c r="G13" s="37" t="n">
        <x:v>20000</x:v>
      </x:c>
      <x:c r="H13" s="37" t="str">
        <x:v>g</x:v>
      </x:c>
      <x:c r="I13" s="37" t="str">
        <x:v>THÙNG</x:v>
      </x:c>
      <x:c r="J13" s="59" t="n">
        <x:v>0</x:v>
      </x:c>
      <x:c r="K13" s="59" t="n">
        <x:v>0</x:v>
      </x:c>
      <x:c r="L13" s="59" t="n">
        <x:v>0</x:v>
      </x:c>
      <x:c r="M13" s="37" t="str">
        <x:v>Khác</x:v>
      </x:c>
      <x:c r="N13" s="37" t="str">
        <x:v>CHƯA CÓ GIÁ LẺ</x:v>
      </x:c>
      <x:c r="O13" s="61" t="n">
        <x:v>0.577</x:v>
      </x:c>
      <x:c r="P13" s="37"/>
      <x:c r="Q13" s="30"/>
      <x:c r="R13" s="30"/>
      <x:c r="S13" s="30"/>
      <x:c r="T13" s="37"/>
      <x:c r="U13" s="59"/>
      <x:c r="V13" s="59"/>
      <x:c r="W13" s="117" t="n">
        <x:v>415000</x:v>
      </x:c>
      <x:c r="X13" s="59" t="str">
        <x:f>IFERROR(IF(OR($N13="ĐÃ GHÉP - AUTO",$N13="ĐÃ GHÉP - QUY TẮC"),IF($V13="","",IF($T13="THÙNG",$V13/$F13,$V13)),""),"")</x:f>
      </x:c>
      <x:c r="Y13" s="117" t="n">
        <x:f>IF(OR(W13="",F13=""),"",W13*F13)</x:f>
        <x:v>8300000</x:v>
      </x:c>
      <x:c r="Z13" s="59" t="str">
        <x:f>IFERROR(IF(OR($N13="ĐÃ GHÉP - AUTO",$N13="ĐÃ GHÉP - QUY TẮC"),IF($V13="","",IF($T13="THÙNG",$V13,$V13*$F13)),""),"")</x:f>
      </x:c>
      <x:c r="AA13" s="28" t="str">
        <x:f>IFERROR(IF(OR($K13="",$K13=0,$Y13=""),"",($Y13-$K13)/$K13),"")</x:f>
      </x:c>
      <x:c r="AB13" s="37" t="str">
        <x:f>IFERROR(IF($N13="CẦN DUYỆT","DUYỆT MAP",IF($N13="CHƯA CÓ GIÁ LẺ","THIẾU GIÁ",IF(OR($K13="",$K13=0,$Y13=""),"OK",IF(ABS(($Y13-$K13)/$K13)&gt;0.15,"LỆCH GIÁ CŨ","OK")))),"OK")</x:f>
        <x:v>THIẾU GIÁ</x:v>
      </x:c>
      <x:c r="AC13" s="30" t="str">
        <x:v>ứng viên gần nhất=Bột mặn phô mai ông già; score=0.577</x:v>
      </x:c>
      <x:c r="AD13" s="37" t="str">
        <x:v>BPMDBP</x:v>
      </x:c>
      <x:c r="AE13" s="38" t="str">
        <x:v>BPMDBPT</x:v>
      </x:c>
      <x:c r="AF13" s="123" t="n">
        <x:v>1000</x:v>
      </x:c>
      <x:c r="AG13" s="112" t="str">
        <x:v>g</x:v>
      </x:c>
      <x:c r="AH13" s="112" t="str">
        <x:v>BỊCH</x:v>
      </x:c>
      <x:c r="AI13" s="112" t="str">
        <x:v>1000 g / BỊCH</x:v>
      </x:c>
      <x:c r="AJ13" s="120" t="n">
        <x:v>415000</x:v>
      </x:c>
      <x:c r="AK13" s="120"/>
      <x:c r="AL13" s="120" t="n">
        <x:v>415000</x:v>
      </x:c>
      <x:c r="AM13" s="112" t="str">
        <x:v>BỔ SUNG GIÁ</x:v>
      </x:c>
      <x:c r="AN13" s="126" t="n">
        <x:v>1222</x:v>
      </x:c>
      <x:c r="AO13" s="126" t="n">
        <x:v>1223</x:v>
      </x:c>
      <x:c r="AP13" s="113" t="str">
        <x:v>20 BỊCH / THÙNG</x:v>
      </x:c>
    </x:row>
    <x:row r="14">
      <x:c r="A14" s="71" t="str">
        <x:v>HỒNG TRÀ GTP 3KG</x:v>
      </x:c>
      <x:c r="B14" s="30" t="str">
        <x:v>HỒNG TRÀ GTP 3KG - BAO</x:v>
      </x:c>
      <x:c r="C14" s="37" t="str">
        <x:v>HTRGTP</x:v>
      </x:c>
      <x:c r="D14" s="37" t="str">
        <x:v>HTRGTPT</x:v>
      </x:c>
      <x:c r="E14" s="37" t="str">
        <x:v>HTRGTPT</x:v>
      </x:c>
      <x:c r="F14" s="37" t="n">
        <x:v>8</x:v>
      </x:c>
      <x:c r="G14" s="37" t="n">
        <x:v>24000</x:v>
      </x:c>
      <x:c r="H14" s="37" t="str">
        <x:v>g</x:v>
      </x:c>
      <x:c r="I14" s="37" t="str">
        <x:v>BAO</x:v>
      </x:c>
      <x:c r="J14" s="59" t="n">
        <x:v>0</x:v>
      </x:c>
      <x:c r="K14" s="59" t="n">
        <x:v>0</x:v>
      </x:c>
      <x:c r="L14" s="59" t="n">
        <x:v>0</x:v>
      </x:c>
      <x:c r="M14" s="37" t="str">
        <x:v>Trà</x:v>
      </x:c>
      <x:c r="N14" s="37" t="str">
        <x:v>CHƯA CÓ GIÁ LẺ</x:v>
      </x:c>
      <x:c r="O14" s="61" t="n">
        <x:v>0.578</x:v>
      </x:c>
      <x:c r="P14" s="37"/>
      <x:c r="Q14" s="30"/>
      <x:c r="R14" s="30"/>
      <x:c r="S14" s="30"/>
      <x:c r="T14" s="37"/>
      <x:c r="U14" s="59"/>
      <x:c r="V14" s="59"/>
      <x:c r="W14" s="117"/>
      <x:c r="X14" s="59" t="str">
        <x:f>IFERROR(IF(OR($N14="ĐÃ GHÉP - AUTO",$N14="ĐÃ GHÉP - QUY TẮC"),IF($V14="","",IF($T14="THÙNG",$V14/$F14,$V14)),""),"")</x:f>
      </x:c>
      <x:c r="Y14" s="117" t="str">
        <x:f>IF(OR(W14="",F14=""),"",W14*F14)</x:f>
      </x:c>
      <x:c r="Z14" s="59" t="str">
        <x:f>IFERROR(IF(OR($N14="ĐÃ GHÉP - AUTO",$N14="ĐÃ GHÉP - QUY TẮC"),IF($V14="","",IF($T14="THÙNG",$V14,$V14*$F14)),""),"")</x:f>
      </x:c>
      <x:c r="AA14" s="28" t="str">
        <x:f>IFERROR(IF(OR($K14="",$K14=0,$Y14=""),"",($Y14-$K14)/$K14),"")</x:f>
      </x:c>
      <x:c r="AB14" s="37" t="str">
        <x:f>IFERROR(IF($N14="CẦN DUYỆT","DUYỆT MAP",IF($N14="CHƯA CÓ GIÁ LẺ","THIẾU GIÁ",IF(OR($K14="",$K14=0,$Y14=""),"OK",IF(ABS(($Y14-$K14)/$K14)&gt;0.15,"LỆCH GIÁ CŨ","OK")))),"OK")</x:f>
        <x:v>THIẾU GIÁ</x:v>
      </x:c>
      <x:c r="AC14" s="30" t="str">
        <x:v>ứng viên gần nhất=Hồng Trà GTP 1kg; score=0.578</x:v>
      </x:c>
      <x:c r="AD14" s="37" t="str">
        <x:v>HTRGTP</x:v>
      </x:c>
      <x:c r="AE14" s="38" t="str">
        <x:v>HTRGTPT</x:v>
      </x:c>
      <x:c r="AF14" s="123" t="n">
        <x:v>3000</x:v>
      </x:c>
      <x:c r="AG14" s="112" t="str">
        <x:v>g</x:v>
      </x:c>
      <x:c r="AH14" s="112" t="str">
        <x:v>BỊCH</x:v>
      </x:c>
      <x:c r="AI14" s="112" t="str">
        <x:v>3000 g / BỊCH</x:v>
      </x:c>
      <x:c r="AJ14" s="120" t="n">
        <x:v>0</x:v>
      </x:c>
      <x:c r="AK14" s="120"/>
      <x:c r="AL14" s="120"/>
      <x:c r="AM14" s="112" t="str">
        <x:v>DS SP GIÁ 0 - VẪN THIẾU GIÁ</x:v>
      </x:c>
      <x:c r="AN14" s="126" t="n">
        <x:v>1003</x:v>
      </x:c>
      <x:c r="AO14" s="126" t="n">
        <x:v>1004</x:v>
      </x:c>
      <x:c r="AP14" s="113" t="str">
        <x:v>8 BỊCH / BAO</x:v>
      </x:c>
    </x:row>
    <x:row r="15">
      <x:c r="A15" s="71" t="str">
        <x:v>BÒ VIÊN 500g</x:v>
      </x:c>
      <x:c r="B15" s="30" t="str">
        <x:v>BÒ VIÊN 500g - THÙNG</x:v>
      </x:c>
      <x:c r="C15" s="37" t="str">
        <x:v>BOVIE5</x:v>
      </x:c>
      <x:c r="D15" s="37" t="str">
        <x:v>BOVIE5T</x:v>
      </x:c>
      <x:c r="E15" s="37" t="str">
        <x:v>BOVIE5T</x:v>
      </x:c>
      <x:c r="F15" s="37" t="n">
        <x:v>40</x:v>
      </x:c>
      <x:c r="G15" s="37" t="n">
        <x:v>20000</x:v>
      </x:c>
      <x:c r="H15" s="37" t="str">
        <x:v>g</x:v>
      </x:c>
      <x:c r="I15" s="37" t="str">
        <x:v>THÙNG</x:v>
      </x:c>
      <x:c r="J15" s="59" t="n">
        <x:v>0</x:v>
      </x:c>
      <x:c r="K15" s="59" t="n">
        <x:v>0</x:v>
      </x:c>
      <x:c r="L15" s="59" t="n">
        <x:v>0</x:v>
      </x:c>
      <x:c r="M15" s="37" t="str">
        <x:v>Thực phẩm đông lạnh</x:v>
      </x:c>
      <x:c r="N15" s="37" t="str">
        <x:v>ĐÃ GHÉP - AUTO</x:v>
      </x:c>
      <x:c r="O15" s="61" t="n">
        <x:v>0.856</x:v>
      </x:c>
      <x:c r="P15" s="37" t="n">
        <x:v>267</x:v>
      </x:c>
      <x:c r="Q15" s="30" t="str">
        <x:v>Bò Viên</x:v>
      </x:c>
      <x:c r="R15" s="30" t="str"/>
      <x:c r="S15" s="30" t="str">
        <x:v>bịch</x:v>
      </x:c>
      <x:c r="T15" s="37" t="str">
        <x:v>ĐƠN VỊ</x:v>
      </x:c>
      <x:c r="U15" s="59" t="n">
        <x:v>32500</x:v>
      </x:c>
      <x:c r="V15" s="59"/>
      <x:c r="W15" s="117" t="n">
        <x:v>32500</x:v>
      </x:c>
      <x:c r="X15" s="59" t="str">
        <x:f>IFERROR(IF(OR($N15="ĐÃ GHÉP - AUTO",$N15="ĐÃ GHÉP - QUY TẮC"),IF($V15="","",IF($T15="THÙNG",$V15/$F15,$V15)),""),"")</x:f>
      </x:c>
      <x:c r="Y15" s="117" t="n">
        <x:f>IF(OR(W15="",F15=""),"",W15*F15)</x:f>
        <x:v>1300000</x:v>
      </x:c>
      <x:c r="Z15" s="59" t="str">
        <x:f>IFERROR(IF(OR($N15="ĐÃ GHÉP - AUTO",$N15="ĐÃ GHÉP - QUY TẮC"),IF($V15="","",IF($T15="THÙNG",$V15,$V15*$F15)),""),"")</x:f>
      </x:c>
      <x:c r="AA15" s="28" t="str">
        <x:f>IFERROR(IF(OR($K15="",$K15=0,$Y15=""),"",($Y15-$K15)/$K15),"")</x:f>
      </x:c>
      <x:c r="AB15" s="37" t="str">
        <x:f>IFERROR(IF($N15="CẦN DUYỆT","DUYỆT MAP",IF($N15="CHƯA CÓ GIÁ LẺ","THIẾU GIÁ",IF(OR($K15="",$K15=0,$Y15=""),"OK",IF(ABS(($Y15-$K15)/$K15)&gt;0.15,"LỆCH GIÁ CŨ","OK")))),"OK")</x:f>
        <x:v>OK</x:v>
      </x:c>
      <x:c r="AC15" s="30" t="str">
        <x:v>score=0.856; gap=0.341</x:v>
      </x:c>
      <x:c r="AD15" s="37" t="str">
        <x:v>BOVIE5</x:v>
      </x:c>
      <x:c r="AE15" s="38" t="str">
        <x:v>BOVIE5T</x:v>
      </x:c>
      <x:c r="AF15" s="123" t="n">
        <x:v>500</x:v>
      </x:c>
      <x:c r="AG15" s="112" t="str">
        <x:v>g</x:v>
      </x:c>
      <x:c r="AH15" s="112" t="str">
        <x:v>GÓI</x:v>
      </x:c>
      <x:c r="AI15" s="112" t="str">
        <x:v>500 g / GÓI</x:v>
      </x:c>
      <x:c r="AJ15" s="120" t="n">
        <x:v>32500</x:v>
      </x:c>
      <x:c r="AK15" s="120" t="n">
        <x:v>32500</x:v>
      </x:c>
      <x:c r="AL15" s="120" t="n">
        <x:v>32500</x:v>
      </x:c>
      <x:c r="AM15" s="112" t="str">
        <x:v>GIỮ NGUYÊN - ĐÃ KHỚP</x:v>
      </x:c>
      <x:c r="AN15" s="126" t="n">
        <x:v>1289</x:v>
      </x:c>
      <x:c r="AO15" s="126" t="n">
        <x:v>1290</x:v>
      </x:c>
      <x:c r="AP15" s="113" t="str">
        <x:v>40 GÓI / THÙNG</x:v>
      </x:c>
    </x:row>
    <x:row r="16">
      <x:c r="A16" s="71" t="str">
        <x:v>KHOAI TÂY 1KG</x:v>
      </x:c>
      <x:c r="B16" s="30" t="str">
        <x:v>KHOAI TÂY 1KG - THÙNG</x:v>
      </x:c>
      <x:c r="C16" s="37" t="str">
        <x:v>KTAY1K</x:v>
      </x:c>
      <x:c r="D16" s="37" t="str">
        <x:v>KTAY1KT</x:v>
      </x:c>
      <x:c r="E16" s="37" t="str">
        <x:v>KTAY1KT</x:v>
      </x:c>
      <x:c r="F16" s="37" t="n">
        <x:v>10</x:v>
      </x:c>
      <x:c r="G16" s="37" t="n">
        <x:v>10</x:v>
      </x:c>
      <x:c r="H16" s="37" t="str">
        <x:v>kg</x:v>
      </x:c>
      <x:c r="I16" s="37" t="str">
        <x:v>THÙNG</x:v>
      </x:c>
      <x:c r="J16" s="59" t="n">
        <x:v>0</x:v>
      </x:c>
      <x:c r="K16" s="59" t="n">
        <x:v>0</x:v>
      </x:c>
      <x:c r="L16" s="59" t="n">
        <x:v>0</x:v>
      </x:c>
      <x:c r="M16" s="37" t="str">
        <x:v>Thực phẩm đông lạnh</x:v>
      </x:c>
      <x:c r="N16" s="37" t="str">
        <x:v>ĐÃ GHÉP - AUTO</x:v>
      </x:c>
      <x:c r="O16" s="61" t="n">
        <x:v>0.93</x:v>
      </x:c>
      <x:c r="P16" s="37" t="n">
        <x:v>264</x:v>
      </x:c>
      <x:c r="Q16" s="30" t="str">
        <x:v>Khoai tây 1kg</x:v>
      </x:c>
      <x:c r="R16" s="30" t="str"/>
      <x:c r="S16" s="30" t="str">
        <x:v>bịch</x:v>
      </x:c>
      <x:c r="T16" s="37" t="str">
        <x:v>ĐƠN VỊ</x:v>
      </x:c>
      <x:c r="U16" s="59" t="n">
        <x:v>60000</x:v>
      </x:c>
      <x:c r="V16" s="59"/>
      <x:c r="W16" s="117" t="n">
        <x:v>60000</x:v>
      </x:c>
      <x:c r="X16" s="59" t="str">
        <x:f>IFERROR(IF(OR($N16="ĐÃ GHÉP - AUTO",$N16="ĐÃ GHÉP - QUY TẮC"),IF($V16="","",IF($T16="THÙNG",$V16/$F16,$V16)),""),"")</x:f>
      </x:c>
      <x:c r="Y16" s="117" t="n">
        <x:f>IF(OR(W16="",F16=""),"",W16*F16)</x:f>
        <x:v>600000</x:v>
      </x:c>
      <x:c r="Z16" s="59" t="str">
        <x:f>IFERROR(IF(OR($N16="ĐÃ GHÉP - AUTO",$N16="ĐÃ GHÉP - QUY TẮC"),IF($V16="","",IF($T16="THÙNG",$V16,$V16*$F16)),""),"")</x:f>
      </x:c>
      <x:c r="AA16" s="28" t="str">
        <x:f>IFERROR(IF(OR($K16="",$K16=0,$Y16=""),"",($Y16-$K16)/$K16),"")</x:f>
      </x:c>
      <x:c r="AB16" s="37" t="str">
        <x:f>IFERROR(IF($N16="CẦN DUYỆT","DUYỆT MAP",IF($N16="CHƯA CÓ GIÁ LẺ","THIẾU GIÁ",IF(OR($K16="",$K16=0,$Y16=""),"OK",IF(ABS(($Y16-$K16)/$K16)&gt;0.15,"LỆCH GIÁ CŨ","OK")))),"OK")</x:f>
        <x:v>OK</x:v>
      </x:c>
      <x:c r="AC16" s="30" t="str">
        <x:v>score=0.930; gap=0.242</x:v>
      </x:c>
      <x:c r="AD16" s="37" t="str">
        <x:v>KTAY1K</x:v>
      </x:c>
      <x:c r="AE16" s="38" t="str">
        <x:v>KTAY1KT</x:v>
      </x:c>
      <x:c r="AF16" s="123" t="n">
        <x:v>1</x:v>
      </x:c>
      <x:c r="AG16" s="112" t="str">
        <x:v>kg</x:v>
      </x:c>
      <x:c r="AH16" s="112" t="str">
        <x:v>BỊCH</x:v>
      </x:c>
      <x:c r="AI16" s="112" t="str">
        <x:v>1 kg / BỊCH</x:v>
      </x:c>
      <x:c r="AJ16" s="120" t="n">
        <x:v>60000</x:v>
      </x:c>
      <x:c r="AK16" s="120" t="n">
        <x:v>60000</x:v>
      </x:c>
      <x:c r="AL16" s="120" t="n">
        <x:v>60000</x:v>
      </x:c>
      <x:c r="AM16" s="112" t="str">
        <x:v>GIỮ NGUYÊN - ĐÃ KHỚP</x:v>
      </x:c>
      <x:c r="AN16" s="126" t="n">
        <x:v>960</x:v>
      </x:c>
      <x:c r="AO16" s="126" t="n">
        <x:v>961</x:v>
      </x:c>
      <x:c r="AP16" s="113" t="str">
        <x:v>10 BỊCH / THÙNG</x:v>
      </x:c>
    </x:row>
    <x:row r="17">
      <x:c r="A17" s="71" t="str">
        <x:v>CUỘN ÉP TRONG</x:v>
      </x:c>
      <x:c r="B17" s="30" t="str">
        <x:v>CUỘN ÉP TRONG - THÙNG</x:v>
      </x:c>
      <x:c r="C17" s="37" t="str">
        <x:v>CEPTRG</x:v>
      </x:c>
      <x:c r="D17" s="37" t="str">
        <x:v>CEPTRGT</x:v>
      </x:c>
      <x:c r="E17" s="37" t="str">
        <x:v>CEPTRGT</x:v>
      </x:c>
      <x:c r="F17" s="37" t="n">
        <x:v>12</x:v>
      </x:c>
      <x:c r="G17" s="37" t="n">
        <x:v>0</x:v>
      </x:c>
      <x:c r="H17" s="37" t="str">
        <x:v>g</x:v>
      </x:c>
      <x:c r="I17" s="37" t="str">
        <x:v>THÙNG</x:v>
      </x:c>
      <x:c r="J17" s="59" t="n">
        <x:v>0</x:v>
      </x:c>
      <x:c r="K17" s="59" t="n">
        <x:v>0</x:v>
      </x:c>
      <x:c r="L17" s="59" t="n">
        <x:v>0</x:v>
      </x:c>
      <x:c r="M17" s="37" t="str">
        <x:v>Bao ly / cuộn ép</x:v>
      </x:c>
      <x:c r="N17" s="37" t="str">
        <x:v>ĐÃ GHÉP - QUY TẮC</x:v>
      </x:c>
      <x:c r="O17" s="61" t="n">
        <x:v>0.99</x:v>
      </x:c>
      <x:c r="P17" s="37" t="n">
        <x:v>242</x:v>
      </x:c>
      <x:c r="Q17" s="30" t="str">
        <x:v>Cuộn ép</x:v>
      </x:c>
      <x:c r="R17" s="30" t="str"/>
      <x:c r="S17" s="30" t="str">
        <x:v>cuộn</x:v>
      </x:c>
      <x:c r="T17" s="37" t="str">
        <x:v>ĐƠN VỊ</x:v>
      </x:c>
      <x:c r="U17" s="59" t="n">
        <x:v>110000</x:v>
      </x:c>
      <x:c r="V17" s="59"/>
      <x:c r="W17" s="117" t="n">
        <x:v>110000</x:v>
      </x:c>
      <x:c r="X17" s="59" t="str">
        <x:f>IFERROR(IF(OR($N17="ĐÃ GHÉP - AUTO",$N17="ĐÃ GHÉP - QUY TẮC"),IF($V17="","",IF($T17="THÙNG",$V17/$F17,$V17)),""),"")</x:f>
      </x:c>
      <x:c r="Y17" s="117" t="n">
        <x:f>IF(OR(W17="",F17=""),"",W17*F17)</x:f>
        <x:v>1320000</x:v>
      </x:c>
      <x:c r="Z17" s="59" t="str">
        <x:f>IFERROR(IF(OR($N17="ĐÃ GHÉP - AUTO",$N17="ĐÃ GHÉP - QUY TẮC"),IF($V17="","",IF($T17="THÙNG",$V17,$V17*$F17)),""),"")</x:f>
      </x:c>
      <x:c r="AA17" s="28" t="str">
        <x:f>IFERROR(IF(OR($K17="",$K17=0,$Y17=""),"",($Y17-$K17)/$K17),"")</x:f>
      </x:c>
      <x:c r="AB17" s="37" t="str">
        <x:f>IFERROR(IF($N17="CẦN DUYỆT","DUYỆT MAP",IF($N17="CHƯA CÓ GIÁ LẺ","THIẾU GIÁ",IF(OR($K17="",$K17=0,$Y17=""),"OK",IF(ABS(($Y17-$K17)/$K17)&gt;0.15,"LỆCH GIÁ CŨ","OK")))),"OK")</x:f>
        <x:v>OK</x:v>
      </x:c>
      <x:c r="AC17" s="30" t="str">
        <x:v>Cuộn ép</x:v>
      </x:c>
      <x:c r="AD17" s="37" t="str">
        <x:v>CEPTRG</x:v>
      </x:c>
      <x:c r="AE17" s="38" t="str">
        <x:v>CEPTRGT</x:v>
      </x:c>
      <x:c r="AF17" s="123" t="n">
        <x:v>0</x:v>
      </x:c>
      <x:c r="AG17" s="112" t="str">
        <x:v>g</x:v>
      </x:c>
      <x:c r="AH17" s="112" t="str">
        <x:v>CUỘN</x:v>
      </x:c>
      <x:c r="AI17" s="112" t="str">
        <x:v>0 g / CUỘN</x:v>
      </x:c>
      <x:c r="AJ17" s="120" t="n">
        <x:v>110000</x:v>
      </x:c>
      <x:c r="AK17" s="120" t="n">
        <x:v>110000</x:v>
      </x:c>
      <x:c r="AL17" s="120" t="n">
        <x:v>110000</x:v>
      </x:c>
      <x:c r="AM17" s="112" t="str">
        <x:v>GIỮ NGUYÊN - ĐÃ KHỚP</x:v>
      </x:c>
      <x:c r="AN17" s="126" t="n">
        <x:v>1151</x:v>
      </x:c>
      <x:c r="AO17" s="126" t="n">
        <x:v>1152</x:v>
      </x:c>
      <x:c r="AP17" s="113" t="str">
        <x:v>12 CUỘN / THÙNG</x:v>
      </x:c>
    </x:row>
    <x:row r="18">
      <x:c r="A18" s="71" t="str">
        <x:v>BỘT MILKFOAM NGUYÊN VỊ</x:v>
      </x:c>
      <x:c r="B18" s="30" t="str">
        <x:v>BỘT MILKFOAM NGUYÊN VỊ - THÙNG</x:v>
      </x:c>
      <x:c r="C18" s="37" t="str">
        <x:v>MFLVNV</x:v>
      </x:c>
      <x:c r="D18" s="37" t="str">
        <x:v>MFLVNVT</x:v>
      </x:c>
      <x:c r="E18" s="37" t="str">
        <x:v>MFLVNVT</x:v>
      </x:c>
      <x:c r="F18" s="37" t="n">
        <x:v>20</x:v>
      </x:c>
      <x:c r="G18" s="37" t="n">
        <x:v>10000</x:v>
      </x:c>
      <x:c r="H18" s="37" t="str">
        <x:v>g</x:v>
      </x:c>
      <x:c r="I18" s="37" t="str">
        <x:v>THÙNG</x:v>
      </x:c>
      <x:c r="J18" s="59" t="n">
        <x:v>0</x:v>
      </x:c>
      <x:c r="K18" s="59" t="n">
        <x:v>0</x:v>
      </x:c>
      <x:c r="L18" s="59" t="n">
        <x:v>0</x:v>
      </x:c>
      <x:c r="M18" s="37" t="str">
        <x:v>Bột sữa / milkfoam</x:v>
      </x:c>
      <x:c r="N18" s="37" t="str">
        <x:v>CHƯA CÓ GIÁ LẺ</x:v>
      </x:c>
      <x:c r="O18" s="61" t="n">
        <x:v>0.484</x:v>
      </x:c>
      <x:c r="P18" s="37"/>
      <x:c r="Q18" s="30"/>
      <x:c r="R18" s="30"/>
      <x:c r="S18" s="30"/>
      <x:c r="T18" s="37"/>
      <x:c r="U18" s="59"/>
      <x:c r="V18" s="59"/>
      <x:c r="W18" s="117"/>
      <x:c r="X18" s="59" t="str">
        <x:f>IFERROR(IF(OR($N18="ĐÃ GHÉP - AUTO",$N18="ĐÃ GHÉP - QUY TẮC"),IF($V18="","",IF($T18="THÙNG",$V18/$F18,$V18)),""),"")</x:f>
      </x:c>
      <x:c r="Y18" s="117" t="str">
        <x:f>IF(OR(W18="",F18=""),"",W18*F18)</x:f>
      </x:c>
      <x:c r="Z18" s="59" t="str">
        <x:f>IFERROR(IF(OR($N18="ĐÃ GHÉP - AUTO",$N18="ĐÃ GHÉP - QUY TẮC"),IF($V18="","",IF($T18="THÙNG",$V18,$V18*$F18)),""),"")</x:f>
      </x:c>
      <x:c r="AA18" s="28" t="str">
        <x:f>IFERROR(IF(OR($K18="",$K18=0,$Y18=""),"",($Y18-$K18)/$K18),"")</x:f>
      </x:c>
      <x:c r="AB18" s="37" t="str">
        <x:f>IFERROR(IF($N18="CẦN DUYỆT","DUYỆT MAP",IF($N18="CHƯA CÓ GIÁ LẺ","THIẾU GIÁ",IF(OR($K18="",$K18=0,$Y18=""),"OK",IF(ABS(($Y18-$K18)/$K18)&gt;0.15,"LỆCH GIÁ CŨ","OK")))),"OK")</x:f>
        <x:v>THIẾU GIÁ</x:v>
      </x:c>
      <x:c r="AC18" s="30" t="str">
        <x:v>ứng viên gần nhất=BỘT MILKFOAM ERDOLI; score=0.484</x:v>
      </x:c>
      <x:c r="AD18" s="37" t="str">
        <x:v>MFLVNV</x:v>
      </x:c>
      <x:c r="AE18" s="38" t="str">
        <x:v>MFLVNVT</x:v>
      </x:c>
      <x:c r="AF18" s="123" t="n">
        <x:v>500</x:v>
      </x:c>
      <x:c r="AG18" s="112" t="str">
        <x:v>g</x:v>
      </x:c>
      <x:c r="AH18" s="112" t="str">
        <x:v>BỊCH</x:v>
      </x:c>
      <x:c r="AI18" s="112" t="str">
        <x:v>500 g / BỊCH</x:v>
      </x:c>
      <x:c r="AJ18" s="120" t="n">
        <x:v>0</x:v>
      </x:c>
      <x:c r="AK18" s="120"/>
      <x:c r="AL18" s="120"/>
      <x:c r="AM18" s="112" t="str">
        <x:v>DS SP GIÁ 0 - VẪN THIẾU GIÁ</x:v>
      </x:c>
      <x:c r="AN18" s="126" t="n">
        <x:v>19</x:v>
      </x:c>
      <x:c r="AO18" s="126" t="n">
        <x:v>20</x:v>
      </x:c>
      <x:c r="AP18" s="113" t="str">
        <x:v>20 BỊCH / THÙNG</x:v>
      </x:c>
    </x:row>
    <x:row r="19">
      <x:c r="A19" s="71" t="str">
        <x:v>HẠT NỔ HỒNG LOTUS</x:v>
      </x:c>
      <x:c r="B19" s="30" t="str">
        <x:v>HẠT NỔ HỒNG LOTUS - THÙNG</x:v>
      </x:c>
      <x:c r="C19" s="37" t="str">
        <x:v>NOHGLT</x:v>
      </x:c>
      <x:c r="D19" s="37" t="str">
        <x:v>NOHGLTT</x:v>
      </x:c>
      <x:c r="E19" s="37" t="str">
        <x:v>NOHGLTT</x:v>
      </x:c>
      <x:c r="F19" s="37" t="n">
        <x:v>12</x:v>
      </x:c>
      <x:c r="G19" s="37" t="n">
        <x:v>10200</x:v>
      </x:c>
      <x:c r="H19" s="37" t="str">
        <x:v>g</x:v>
      </x:c>
      <x:c r="I19" s="37" t="str">
        <x:v>THÙNG</x:v>
      </x:c>
      <x:c r="J19" s="59" t="n">
        <x:v>0</x:v>
      </x:c>
      <x:c r="K19" s="59" t="n">
        <x:v>770000</x:v>
      </x:c>
      <x:c r="L19" s="59" t="n">
        <x:v>0</x:v>
      </x:c>
      <x:c r="M19" s="37" t="str">
        <x:v>Khác</x:v>
      </x:c>
      <x:c r="N19" s="37" t="str">
        <x:v>CHƯA CÓ GIÁ LẺ</x:v>
      </x:c>
      <x:c r="O19" s="61" t="n">
        <x:v>0.409</x:v>
      </x:c>
      <x:c r="P19" s="37"/>
      <x:c r="Q19" s="30"/>
      <x:c r="R19" s="30"/>
      <x:c r="S19" s="30"/>
      <x:c r="T19" s="37"/>
      <x:c r="U19" s="59"/>
      <x:c r="V19" s="59"/>
      <x:c r="W19" s="117" t="n">
        <x:v>66000</x:v>
      </x:c>
      <x:c r="X19" s="59" t="str">
        <x:f>IFERROR(IF(OR($N19="ĐÃ GHÉP - AUTO",$N19="ĐÃ GHÉP - QUY TẮC"),IF($V19="","",IF($T19="THÙNG",$V19/$F19,$V19)),""),"")</x:f>
      </x:c>
      <x:c r="Y19" s="117" t="n">
        <x:f>IF(OR(W19="",F19=""),"",W19*F19)</x:f>
        <x:v>792000</x:v>
      </x:c>
      <x:c r="Z19" s="59" t="str">
        <x:f>IFERROR(IF(OR($N19="ĐÃ GHÉP - AUTO",$N19="ĐÃ GHÉP - QUY TẮC"),IF($V19="","",IF($T19="THÙNG",$V19,$V19*$F19)),""),"")</x:f>
      </x:c>
      <x:c r="AA19" s="28" t="n">
        <x:f>IFERROR(IF(OR($K19="",$K19=0,$Y19=""),"",($Y19-$K19)/$K19),"")</x:f>
        <x:v>0.02857142857142857</x:v>
      </x:c>
      <x:c r="AB19" s="37" t="str">
        <x:f>IFERROR(IF($N19="CẦN DUYỆT","DUYỆT MAP",IF($N19="CHƯA CÓ GIÁ LẺ","THIẾU GIÁ",IF(OR($K19="",$K19=0,$Y19=""),"OK",IF(ABS(($Y19-$K19)/$K19)&gt;0.15,"LỆCH GIÁ CŨ","OK")))),"OK")</x:f>
        <x:v>THIẾU GIÁ</x:v>
      </x:c>
      <x:c r="AC19" s="30" t="str">
        <x:v>ứng viên gần nhất=Hạt Chia; score=0.409</x:v>
      </x:c>
      <x:c r="AD19" s="37" t="str">
        <x:v>NOHGLT</x:v>
      </x:c>
      <x:c r="AE19" s="38" t="str">
        <x:v>NOHGLTT</x:v>
      </x:c>
      <x:c r="AF19" s="123" t="n">
        <x:v>850</x:v>
      </x:c>
      <x:c r="AG19" s="112" t="str">
        <x:v>g</x:v>
      </x:c>
      <x:c r="AH19" s="112" t="str">
        <x:v>LON</x:v>
      </x:c>
      <x:c r="AI19" s="112" t="str">
        <x:v>850 g / LON</x:v>
      </x:c>
      <x:c r="AJ19" s="120" t="n">
        <x:v>66000</x:v>
      </x:c>
      <x:c r="AK19" s="120"/>
      <x:c r="AL19" s="120" t="n">
        <x:v>66000</x:v>
      </x:c>
      <x:c r="AM19" s="112" t="str">
        <x:v>BỔ SUNG GIÁ</x:v>
      </x:c>
      <x:c r="AN19" s="126" t="n">
        <x:v>21</x:v>
      </x:c>
      <x:c r="AO19" s="126" t="n">
        <x:v>22</x:v>
      </x:c>
      <x:c r="AP19" s="113" t="str">
        <x:v>12 LON / THÙNG</x:v>
      </x:c>
    </x:row>
    <x:row r="20">
      <x:c r="A20" s="71" t="str">
        <x:v>BỘT PHOMAI ERODELI</x:v>
      </x:c>
      <x:c r="B20" s="30" t="str">
        <x:v>BỘT PHOMAI ERODELI - THÙNG</x:v>
      </x:c>
      <x:c r="C20" s="37" t="str">
        <x:v>BPMEUR</x:v>
      </x:c>
      <x:c r="D20" s="37" t="str">
        <x:v>BPMEURT</x:v>
      </x:c>
      <x:c r="E20" s="37" t="str">
        <x:v>BPMEURT</x:v>
      </x:c>
      <x:c r="F20" s="37" t="n">
        <x:v>20</x:v>
      </x:c>
      <x:c r="G20" s="37" t="n">
        <x:v>20</x:v>
      </x:c>
      <x:c r="H20" s="37" t="str">
        <x:v>kg</x:v>
      </x:c>
      <x:c r="I20" s="37" t="str">
        <x:v>THÙNG</x:v>
      </x:c>
      <x:c r="J20" s="59" t="n">
        <x:v>0</x:v>
      </x:c>
      <x:c r="K20" s="59" t="n">
        <x:v>5500000</x:v>
      </x:c>
      <x:c r="L20" s="59" t="n">
        <x:v>0</x:v>
      </x:c>
      <x:c r="M20" s="37" t="str">
        <x:v>Khác</x:v>
      </x:c>
      <x:c r="N20" s="37" t="str">
        <x:v>CHƯA CÓ GIÁ LẺ</x:v>
      </x:c>
      <x:c r="O20" s="61" t="n">
        <x:v>0.547</x:v>
      </x:c>
      <x:c r="P20" s="37"/>
      <x:c r="Q20" s="30"/>
      <x:c r="R20" s="30"/>
      <x:c r="S20" s="30"/>
      <x:c r="T20" s="37"/>
      <x:c r="U20" s="59"/>
      <x:c r="V20" s="59"/>
      <x:c r="W20" s="117" t="n">
        <x:v>275000</x:v>
      </x:c>
      <x:c r="X20" s="59" t="str">
        <x:f>IFERROR(IF(OR($N20="ĐÃ GHÉP - AUTO",$N20="ĐÃ GHÉP - QUY TẮC"),IF($V20="","",IF($T20="THÙNG",$V20/$F20,$V20)),""),"")</x:f>
      </x:c>
      <x:c r="Y20" s="117" t="n">
        <x:f>IF(OR(W20="",F20=""),"",W20*F20)</x:f>
        <x:v>5500000</x:v>
      </x:c>
      <x:c r="Z20" s="59" t="str">
        <x:f>IFERROR(IF(OR($N20="ĐÃ GHÉP - AUTO",$N20="ĐÃ GHÉP - QUY TẮC"),IF($V20="","",IF($T20="THÙNG",$V20,$V20*$F20)),""),"")</x:f>
      </x:c>
      <x:c r="AA20" s="28" t="n">
        <x:f>IFERROR(IF(OR($K20="",$K20=0,$Y20=""),"",($Y20-$K20)/$K20),"")</x:f>
        <x:v>0</x:v>
      </x:c>
      <x:c r="AB20" s="37" t="str">
        <x:f>IFERROR(IF($N20="CẦN DUYỆT","DUYỆT MAP",IF($N20="CHƯA CÓ GIÁ LẺ","THIẾU GIÁ",IF(OR($K20="",$K20=0,$Y20=""),"OK",IF(ABS(($Y20-$K20)/$K20)&gt;0.15,"LỆCH GIÁ CŨ","OK")))),"OK")</x:f>
        <x:v>THIẾU GIÁ</x:v>
      </x:c>
      <x:c r="AC20" s="30" t="str">
        <x:v>ứng viên gần nhất=BỘT MILKFOAM ERDOLI; score=0.547</x:v>
      </x:c>
      <x:c r="AD20" s="37" t="str">
        <x:v>BPMEUR</x:v>
      </x:c>
      <x:c r="AE20" s="38" t="str">
        <x:v>BPMEURT</x:v>
      </x:c>
      <x:c r="AF20" s="123" t="n">
        <x:v>1</x:v>
      </x:c>
      <x:c r="AG20" s="112" t="str">
        <x:v>kg</x:v>
      </x:c>
      <x:c r="AH20" s="112" t="str">
        <x:v>BỊCH</x:v>
      </x:c>
      <x:c r="AI20" s="112" t="str">
        <x:v>1 kg / BỊCH</x:v>
      </x:c>
      <x:c r="AJ20" s="120" t="n">
        <x:v>275000</x:v>
      </x:c>
      <x:c r="AK20" s="120"/>
      <x:c r="AL20" s="120" t="n">
        <x:v>275000</x:v>
      </x:c>
      <x:c r="AM20" s="112" t="str">
        <x:v>BỔ SUNG GIÁ</x:v>
      </x:c>
      <x:c r="AN20" s="126" t="n">
        <x:v>1224</x:v>
      </x:c>
      <x:c r="AO20" s="126" t="n">
        <x:v>1225</x:v>
      </x:c>
      <x:c r="AP20" s="113" t="str">
        <x:v>20 BỊCH / THÙNG</x:v>
      </x:c>
    </x:row>
    <x:row r="21">
      <x:c r="A21" s="71" t="str">
        <x:v>DỒI SỤN</x:v>
      </x:c>
      <x:c r="B21" s="30" t="str">
        <x:v>DỒI SỤN - THÙNG</x:v>
      </x:c>
      <x:c r="C21" s="37" t="str">
        <x:v>DOISUN</x:v>
      </x:c>
      <x:c r="D21" s="37" t="str">
        <x:v>DOISUNT</x:v>
      </x:c>
      <x:c r="E21" s="37" t="str">
        <x:v>DOISUNT</x:v>
      </x:c>
      <x:c r="F21" s="37" t="n">
        <x:v>20</x:v>
      </x:c>
      <x:c r="G21" s="37" t="n">
        <x:v>10000</x:v>
      </x:c>
      <x:c r="H21" s="37" t="str">
        <x:v>g</x:v>
      </x:c>
      <x:c r="I21" s="37" t="str">
        <x:v>THÙNG</x:v>
      </x:c>
      <x:c r="J21" s="59" t="n">
        <x:v>0</x:v>
      </x:c>
      <x:c r="K21" s="59" t="n">
        <x:v>760000</x:v>
      </x:c>
      <x:c r="L21" s="59" t="n">
        <x:v>0</x:v>
      </x:c>
      <x:c r="M21" s="37" t="str">
        <x:v>Thực phẩm đông lạnh</x:v>
      </x:c>
      <x:c r="N21" s="37" t="str">
        <x:v>ĐÃ GHÉP - AUTO</x:v>
      </x:c>
      <x:c r="O21" s="61" t="n">
        <x:v>0.96</x:v>
      </x:c>
      <x:c r="P21" s="37" t="n">
        <x:v>272</x:v>
      </x:c>
      <x:c r="Q21" s="30" t="str">
        <x:v>Dồi Sụn</x:v>
      </x:c>
      <x:c r="R21" s="30" t="str"/>
      <x:c r="S21" s="30" t="str">
        <x:v>bịch</x:v>
      </x:c>
      <x:c r="T21" s="37" t="str">
        <x:v>ĐƠN VỊ</x:v>
      </x:c>
      <x:c r="U21" s="59" t="n">
        <x:v>39000</x:v>
      </x:c>
      <x:c r="V21" s="59"/>
      <x:c r="W21" s="117" t="n">
        <x:v>38000</x:v>
      </x:c>
      <x:c r="X21" s="59" t="str">
        <x:f>IFERROR(IF(OR($N21="ĐÃ GHÉP - AUTO",$N21="ĐÃ GHÉP - QUY TẮC"),IF($V21="","",IF($T21="THÙNG",$V21/$F21,$V21)),""),"")</x:f>
      </x:c>
      <x:c r="Y21" s="117" t="n">
        <x:f>IF(OR(W21="",F21=""),"",W21*F21)</x:f>
        <x:v>760000</x:v>
      </x:c>
      <x:c r="Z21" s="59" t="str">
        <x:f>IFERROR(IF(OR($N21="ĐÃ GHÉP - AUTO",$N21="ĐÃ GHÉP - QUY TẮC"),IF($V21="","",IF($T21="THÙNG",$V21,$V21*$F21)),""),"")</x:f>
      </x:c>
      <x:c r="AA21" s="28" t="n">
        <x:f>IFERROR(IF(OR($K21="",$K21=0,$Y21=""),"",($Y21-$K21)/$K21),"")</x:f>
        <x:v>0</x:v>
      </x:c>
      <x:c r="AB21" s="37" t="str">
        <x:f>IFERROR(IF($N21="CẦN DUYỆT","DUYỆT MAP",IF($N21="CHƯA CÓ GIÁ LẺ","THIẾU GIÁ",IF(OR($K21="",$K21=0,$Y21=""),"OK",IF(ABS(($Y21-$K21)/$K21)&gt;0.15,"LỆCH GIÁ CŨ","OK")))),"OK")</x:f>
        <x:v>OK</x:v>
      </x:c>
      <x:c r="AC21" s="30" t="str">
        <x:v>score=0.960; gap=0.905</x:v>
      </x:c>
      <x:c r="AD21" s="37" t="str">
        <x:v>DOISUN</x:v>
      </x:c>
      <x:c r="AE21" s="38" t="str">
        <x:v>DOISUNT</x:v>
      </x:c>
      <x:c r="AF21" s="123" t="n">
        <x:v>500</x:v>
      </x:c>
      <x:c r="AG21" s="112" t="str">
        <x:v>g</x:v>
      </x:c>
      <x:c r="AH21" s="112" t="str">
        <x:v>GÓI</x:v>
      </x:c>
      <x:c r="AI21" s="112" t="str">
        <x:v>500 g / GÓI</x:v>
      </x:c>
      <x:c r="AJ21" s="120" t="n">
        <x:v>38000</x:v>
      </x:c>
      <x:c r="AK21" s="120" t="n">
        <x:v>39000</x:v>
      </x:c>
      <x:c r="AL21" s="120" t="n">
        <x:v>38000</x:v>
      </x:c>
      <x:c r="AM21" s="112" t="str">
        <x:v>CẬP NHẬT GIÁ</x:v>
      </x:c>
      <x:c r="AN21" s="126" t="n">
        <x:v>1094</x:v>
      </x:c>
      <x:c r="AO21" s="126" t="n">
        <x:v>1095</x:v>
      </x:c>
      <x:c r="AP21" s="113" t="str">
        <x:v>20 GÓI / THÙNG</x:v>
      </x:c>
    </x:row>
    <x:row r="22">
      <x:c r="A22" s="71" t="str">
        <x:v>VẢI HOÀNG GIA MỚI (MOCHI)</x:v>
      </x:c>
      <x:c r="B22" s="30" t="str">
        <x:v>VẢI HOÀNG GIA MỚI (MOCHI) - THÙNG</x:v>
      </x:c>
      <x:c r="C22" s="37" t="str">
        <x:v>VAIMOC</x:v>
      </x:c>
      <x:c r="D22" s="37" t="str">
        <x:v>VAIMOCT</x:v>
      </x:c>
      <x:c r="E22" s="37" t="str">
        <x:v>VAIMOCT</x:v>
      </x:c>
      <x:c r="F22" s="37" t="n">
        <x:v>12</x:v>
      </x:c>
      <x:c r="G22" s="37" t="n">
        <x:v>12000</x:v>
      </x:c>
      <x:c r="H22" s="37" t="str">
        <x:v>g</x:v>
      </x:c>
      <x:c r="I22" s="37" t="str">
        <x:v>THÙNG</x:v>
      </x:c>
      <x:c r="J22" s="59" t="n">
        <x:v>440000</x:v>
      </x:c>
      <x:c r="K22" s="59" t="n">
        <x:v>460000</x:v>
      </x:c>
      <x:c r="L22" s="59" t="n">
        <x:v>450000</x:v>
      </x:c>
      <x:c r="M22" s="37" t="str">
        <x:v>Trái cây hộp</x:v>
      </x:c>
      <x:c r="N22" s="37" t="str">
        <x:v>CHƯA CÓ GIÁ LẺ</x:v>
      </x:c>
      <x:c r="O22" s="61" t="n">
        <x:v>0.539</x:v>
      </x:c>
      <x:c r="P22" s="37"/>
      <x:c r="Q22" s="30"/>
      <x:c r="R22" s="30"/>
      <x:c r="S22" s="30"/>
      <x:c r="T22" s="37"/>
      <x:c r="U22" s="59"/>
      <x:c r="V22" s="59"/>
      <x:c r="W22" s="117" t="n">
        <x:v>39000</x:v>
      </x:c>
      <x:c r="X22" s="59" t="str">
        <x:f>IFERROR(IF(OR($N22="ĐÃ GHÉP - AUTO",$N22="ĐÃ GHÉP - QUY TẮC"),IF($V22="","",IF($T22="THÙNG",$V22/$F22,$V22)),""),"")</x:f>
      </x:c>
      <x:c r="Y22" s="117" t="n">
        <x:f>IF(OR(W22="",F22=""),"",W22*F22)</x:f>
        <x:v>468000</x:v>
      </x:c>
      <x:c r="Z22" s="59" t="str">
        <x:f>IFERROR(IF(OR($N22="ĐÃ GHÉP - AUTO",$N22="ĐÃ GHÉP - QUY TẮC"),IF($V22="","",IF($T22="THÙNG",$V22,$V22*$F22)),""),"")</x:f>
      </x:c>
      <x:c r="AA22" s="28" t="n">
        <x:f>IFERROR(IF(OR($K22="",$K22=0,$Y22=""),"",($Y22-$K22)/$K22),"")</x:f>
        <x:v>0.017391304347826087</x:v>
      </x:c>
      <x:c r="AB22" s="37" t="str">
        <x:f>IFERROR(IF($N22="CẦN DUYỆT","DUYỆT MAP",IF($N22="CHƯA CÓ GIÁ LẺ","THIẾU GIÁ",IF(OR($K22="",$K22=0,$Y22=""),"OK",IF(ABS(($Y22-$K22)/$K22)&gt;0.15,"LỆCH GIÁ CŨ","OK")))),"OK")</x:f>
        <x:v>THIẾU GIÁ</x:v>
      </x:c>
      <x:c r="AC22" s="30" t="str">
        <x:v>ứng viên gần nhất=VẢI LON MOHCI; score=0.539</x:v>
      </x:c>
      <x:c r="AD22" s="37" t="str">
        <x:v>VAIMOC</x:v>
      </x:c>
      <x:c r="AE22" s="38" t="str">
        <x:v>VAIMOCT</x:v>
      </x:c>
      <x:c r="AF22" s="123" t="n">
        <x:v>900</x:v>
      </x:c>
      <x:c r="AG22" s="112" t="str">
        <x:v>g</x:v>
      </x:c>
      <x:c r="AH22" s="112" t="str">
        <x:v>LON</x:v>
      </x:c>
      <x:c r="AI22" s="112" t="str">
        <x:v>900 g / LON</x:v>
      </x:c>
      <x:c r="AJ22" s="120" t="n">
        <x:v>39000</x:v>
      </x:c>
      <x:c r="AK22" s="120"/>
      <x:c r="AL22" s="120" t="n">
        <x:v>39000</x:v>
      </x:c>
      <x:c r="AM22" s="112" t="str">
        <x:v>BỔ SUNG GIÁ</x:v>
      </x:c>
      <x:c r="AN22" s="126" t="n">
        <x:v>24</x:v>
      </x:c>
      <x:c r="AO22" s="126" t="n">
        <x:v>25</x:v>
      </x:c>
      <x:c r="AP22" s="113" t="str">
        <x:v>12 LON / THÙNG</x:v>
      </x:c>
    </x:row>
    <x:row r="23">
      <x:c r="A23" s="71" t="str">
        <x:v>TINH DẦU ỚT</x:v>
      </x:c>
      <x:c r="B23" s="30" t="str">
        <x:v>TINH DẦU ỚT - THÙNG</x:v>
      </x:c>
      <x:c r="C23" s="37" t="str">
        <x:v>TDOTDO</x:v>
      </x:c>
      <x:c r="D23" s="37" t="str">
        <x:v>TDOTDOT</x:v>
      </x:c>
      <x:c r="E23" s="37" t="str">
        <x:v>TDOTDOT</x:v>
      </x:c>
      <x:c r="F23" s="37" t="n">
        <x:v>12</x:v>
      </x:c>
      <x:c r="G23" s="37" t="n">
        <x:v>6</x:v>
      </x:c>
      <x:c r="H23" s="37" t="str">
        <x:v>kg</x:v>
      </x:c>
      <x:c r="I23" s="37" t="str">
        <x:v>THÙNG</x:v>
      </x:c>
      <x:c r="J23" s="59" t="n">
        <x:v>0</x:v>
      </x:c>
      <x:c r="K23" s="59" t="n">
        <x:v>0</x:v>
      </x:c>
      <x:c r="L23" s="59" t="n">
        <x:v>0</x:v>
      </x:c>
      <x:c r="M23" s="37" t="str">
        <x:v>Nguyên liệu mì cay</x:v>
      </x:c>
      <x:c r="N23" s="37" t="str">
        <x:v>ĐÃ GHÉP - AUTO</x:v>
      </x:c>
      <x:c r="O23" s="61" t="n">
        <x:v>0.93</x:v>
      </x:c>
      <x:c r="P23" s="37" t="n">
        <x:v>250</x:v>
      </x:c>
      <x:c r="Q23" s="30" t="str">
        <x:v>Tinh dầu ớt</x:v>
      </x:c>
      <x:c r="R23" s="30" t="str"/>
      <x:c r="S23" s="30" t="str">
        <x:v>chai</x:v>
      </x:c>
      <x:c r="T23" s="37" t="str">
        <x:v>ĐƠN VỊ</x:v>
      </x:c>
      <x:c r="U23" s="59" t="n">
        <x:v>155000</x:v>
      </x:c>
      <x:c r="V23" s="59"/>
      <x:c r="W23" s="117" t="n">
        <x:v>155000</x:v>
      </x:c>
      <x:c r="X23" s="59" t="str">
        <x:f>IFERROR(IF(OR($N23="ĐÃ GHÉP - AUTO",$N23="ĐÃ GHÉP - QUY TẮC"),IF($V23="","",IF($T23="THÙNG",$V23/$F23,$V23)),""),"")</x:f>
      </x:c>
      <x:c r="Y23" s="117" t="n">
        <x:f>IF(OR(W23="",F23=""),"",W23*F23)</x:f>
        <x:v>1860000</x:v>
      </x:c>
      <x:c r="Z23" s="59" t="str">
        <x:f>IFERROR(IF(OR($N23="ĐÃ GHÉP - AUTO",$N23="ĐÃ GHÉP - QUY TẮC"),IF($V23="","",IF($T23="THÙNG",$V23,$V23*$F23)),""),"")</x:f>
      </x:c>
      <x:c r="AA23" s="28" t="str">
        <x:f>IFERROR(IF(OR($K23="",$K23=0,$Y23=""),"",($Y23-$K23)/$K23),"")</x:f>
      </x:c>
      <x:c r="AB23" s="37" t="str">
        <x:f>IFERROR(IF($N23="CẦN DUYỆT","DUYỆT MAP",IF($N23="CHƯA CÓ GIÁ LẺ","THIẾU GIÁ",IF(OR($K23="",$K23=0,$Y23=""),"OK",IF(ABS(($Y23-$K23)/$K23)&gt;0.15,"LỆCH GIÁ CŨ","OK")))),"OK")</x:f>
        <x:v>OK</x:v>
      </x:c>
      <x:c r="AC23" s="30" t="str">
        <x:v>score=0.930; gap=0.471</x:v>
      </x:c>
      <x:c r="AD23" s="37" t="str">
        <x:v>TDOTDO</x:v>
      </x:c>
      <x:c r="AE23" s="38" t="str">
        <x:v>TDOTDOT</x:v>
      </x:c>
      <x:c r="AF23" s="123" t="n">
        <x:v>0.5</x:v>
      </x:c>
      <x:c r="AG23" s="112" t="str">
        <x:v>kg</x:v>
      </x:c>
      <x:c r="AH23" s="112" t="str">
        <x:v>CHAI</x:v>
      </x:c>
      <x:c r="AI23" s="112" t="str">
        <x:v>0.5 kg / CHAI</x:v>
      </x:c>
      <x:c r="AJ23" s="120" t="n">
        <x:v>155000</x:v>
      </x:c>
      <x:c r="AK23" s="120" t="n">
        <x:v>155000</x:v>
      </x:c>
      <x:c r="AL23" s="120" t="n">
        <x:v>155000</x:v>
      </x:c>
      <x:c r="AM23" s="112" t="str">
        <x:v>GIỮ NGUYÊN - ĐÃ KHỚP</x:v>
      </x:c>
      <x:c r="AN23" s="126" t="n">
        <x:v>386</x:v>
      </x:c>
      <x:c r="AO23" s="126" t="n">
        <x:v>387</x:v>
      </x:c>
      <x:c r="AP23" s="113" t="str">
        <x:v>12 CHAI / THÙNG</x:v>
      </x:c>
    </x:row>
    <x:row r="24">
      <x:c r="A24" s="71" t="str">
        <x:v>TRÀ OLONG TẤM</x:v>
      </x:c>
      <x:c r="B24" s="30" t="str">
        <x:v>TRÀ OLONG TẤM - THÙNG</x:v>
      </x:c>
      <x:c r="C24" s="37" t="str">
        <x:v>TROLTA</x:v>
      </x:c>
      <x:c r="D24" s="37" t="str">
        <x:v>TROLTAT</x:v>
      </x:c>
      <x:c r="E24" s="37" t="str">
        <x:v>TROLTAT</x:v>
      </x:c>
      <x:c r="F24" s="37" t="n">
        <x:v>20</x:v>
      </x:c>
      <x:c r="G24" s="37" t="n">
        <x:v>11000</x:v>
      </x:c>
      <x:c r="H24" s="37" t="str">
        <x:v>g</x:v>
      </x:c>
      <x:c r="I24" s="37" t="str">
        <x:v>THÙNG</x:v>
      </x:c>
      <x:c r="J24" s="59" t="n">
        <x:v>0</x:v>
      </x:c>
      <x:c r="K24" s="59" t="n">
        <x:v>0</x:v>
      </x:c>
      <x:c r="L24" s="59" t="n">
        <x:v>0</x:v>
      </x:c>
      <x:c r="M24" s="37" t="str">
        <x:v>Trà</x:v>
      </x:c>
      <x:c r="N24" s="37" t="str">
        <x:v>CHƯA CÓ GIÁ LẺ</x:v>
      </x:c>
      <x:c r="O24" s="61" t="n">
        <x:v>0.625</x:v>
      </x:c>
      <x:c r="P24" s="37"/>
      <x:c r="Q24" s="30"/>
      <x:c r="R24" s="30"/>
      <x:c r="S24" s="30"/>
      <x:c r="T24" s="37"/>
      <x:c r="U24" s="59"/>
      <x:c r="V24" s="59"/>
      <x:c r="W24" s="117" t="n">
        <x:v>80000</x:v>
      </x:c>
      <x:c r="X24" s="59" t="str">
        <x:f>IFERROR(IF(OR($N24="ĐÃ GHÉP - AUTO",$N24="ĐÃ GHÉP - QUY TẮC"),IF($V24="","",IF($T24="THÙNG",$V24/$F24,$V24)),""),"")</x:f>
      </x:c>
      <x:c r="Y24" s="117" t="n">
        <x:f>IF(OR(W24="",F24=""),"",W24*F24)</x:f>
        <x:v>1600000</x:v>
      </x:c>
      <x:c r="Z24" s="59" t="str">
        <x:f>IFERROR(IF(OR($N24="ĐÃ GHÉP - AUTO",$N24="ĐÃ GHÉP - QUY TẮC"),IF($V24="","",IF($T24="THÙNG",$V24,$V24*$F24)),""),"")</x:f>
      </x:c>
      <x:c r="AA24" s="28" t="str">
        <x:f>IFERROR(IF(OR($K24="",$K24=0,$Y24=""),"",($Y24-$K24)/$K24),"")</x:f>
      </x:c>
      <x:c r="AB24" s="37" t="str">
        <x:f>IFERROR(IF($N24="CẦN DUYỆT","DUYỆT MAP",IF($N24="CHƯA CÓ GIÁ LẺ","THIẾU GIÁ",IF(OR($K24="",$K24=0,$Y24=""),"OK",IF(ABS(($Y24-$K24)/$K24)&gt;0.15,"LỆCH GIÁ CŨ","OK")))),"OK")</x:f>
        <x:v>THIẾU GIÁ</x:v>
      </x:c>
      <x:c r="AC24" s="30" t="str">
        <x:v>ứng viên gần nhất=Trà olong tấm HG 500gr; score=0.625</x:v>
      </x:c>
      <x:c r="AD24" s="37" t="str">
        <x:v>TROLTA</x:v>
      </x:c>
      <x:c r="AE24" s="38" t="str">
        <x:v>TROLTAT</x:v>
      </x:c>
      <x:c r="AF24" s="123" t="n">
        <x:v>500</x:v>
      </x:c>
      <x:c r="AG24" s="112" t="str">
        <x:v>g</x:v>
      </x:c>
      <x:c r="AH24" s="112" t="str">
        <x:v>BỊCH</x:v>
      </x:c>
      <x:c r="AI24" s="112" t="str">
        <x:v>500 g / BỊCH</x:v>
      </x:c>
      <x:c r="AJ24" s="120" t="n">
        <x:v>80000</x:v>
      </x:c>
      <x:c r="AK24" s="120"/>
      <x:c r="AL24" s="120" t="n">
        <x:v>80000</x:v>
      </x:c>
      <x:c r="AM24" s="112" t="str">
        <x:v>BỔ SUNG GIÁ</x:v>
      </x:c>
      <x:c r="AN24" s="126" t="n">
        <x:v>183</x:v>
      </x:c>
      <x:c r="AO24" s="126" t="n">
        <x:v>184</x:v>
      </x:c>
      <x:c r="AP24" s="113" t="str">
        <x:v>20 BỊCH / THÙNG</x:v>
      </x:c>
    </x:row>
    <x:row r="25">
      <x:c r="A25" s="71" t="str">
        <x:v>TRÀ OLONG KHÓI NOVIA</x:v>
      </x:c>
      <x:c r="B25" s="30" t="str">
        <x:v>TRÀ OLONG KHÓI NOVIA - THÙNG</x:v>
      </x:c>
      <x:c r="C25" s="37" t="str">
        <x:v>PVN1253</x:v>
      </x:c>
      <x:c r="D25" s="37" t="str">
        <x:v>PVN1254</x:v>
      </x:c>
      <x:c r="E25" s="37" t="str">
        <x:v>PVN1254</x:v>
      </x:c>
      <x:c r="F25" s="37" t="n">
        <x:v>20</x:v>
      </x:c>
      <x:c r="G25" s="37" t="n">
        <x:v>0</x:v>
      </x:c>
      <x:c r="H25" s="37" t="str">
        <x:v>g</x:v>
      </x:c>
      <x:c r="I25" s="37" t="str">
        <x:v>THÙNG</x:v>
      </x:c>
      <x:c r="J25" s="59" t="n">
        <x:v>0</x:v>
      </x:c>
      <x:c r="K25" s="59" t="n">
        <x:v>0</x:v>
      </x:c>
      <x:c r="L25" s="59" t="n">
        <x:v>0</x:v>
      </x:c>
      <x:c r="M25" s="37" t="str">
        <x:v>Trà</x:v>
      </x:c>
      <x:c r="N25" s="37" t="str">
        <x:v>CHƯA CÓ GIÁ LẺ</x:v>
      </x:c>
      <x:c r="O25" s="61" t="n">
        <x:v>0.613</x:v>
      </x:c>
      <x:c r="P25" s="37"/>
      <x:c r="Q25" s="30"/>
      <x:c r="R25" s="30"/>
      <x:c r="S25" s="30"/>
      <x:c r="T25" s="37"/>
      <x:c r="U25" s="59"/>
      <x:c r="V25" s="59"/>
      <x:c r="W25" s="117"/>
      <x:c r="X25" s="59" t="str">
        <x:f>IFERROR(IF(OR($N25="ĐÃ GHÉP - AUTO",$N25="ĐÃ GHÉP - QUY TẮC"),IF($V25="","",IF($T25="THÙNG",$V25/$F25,$V25)),""),"")</x:f>
      </x:c>
      <x:c r="Y25" s="117" t="str">
        <x:f>IF(OR(W25="",F25=""),"",W25*F25)</x:f>
      </x:c>
      <x:c r="Z25" s="59" t="str">
        <x:f>IFERROR(IF(OR($N25="ĐÃ GHÉP - AUTO",$N25="ĐÃ GHÉP - QUY TẮC"),IF($V25="","",IF($T25="THÙNG",$V25,$V25*$F25)),""),"")</x:f>
      </x:c>
      <x:c r="AA25" s="28" t="str">
        <x:f>IFERROR(IF(OR($K25="",$K25=0,$Y25=""),"",($Y25-$K25)/$K25),"")</x:f>
      </x:c>
      <x:c r="AB25" s="37" t="str">
        <x:f>IFERROR(IF($N25="CẦN DUYỆT","DUYỆT MAP",IF($N25="CHƯA CÓ GIÁ LẺ","THIẾU GIÁ",IF(OR($K25="",$K25=0,$Y25=""),"OK",IF(ABS(($Y25-$K25)/$K25)&gt;0.15,"LỆCH GIÁ CŨ","OK")))),"OK")</x:f>
        <x:v>THIẾU GIÁ</x:v>
      </x:c>
      <x:c r="AC25" s="30" t="str">
        <x:v>ứng viên gần nhất=Trà  lài novia; score=0.613</x:v>
      </x:c>
      <x:c r="AD25" s="37" t="str">
        <x:v>PVN1253</x:v>
      </x:c>
      <x:c r="AE25" s="38" t="str">
        <x:v>PVN1254</x:v>
      </x:c>
      <x:c r="AF25" s="123" t="n">
        <x:v>0</x:v>
      </x:c>
      <x:c r="AG25" s="112" t="str">
        <x:v>g</x:v>
      </x:c>
      <x:c r="AH25" s="112" t="str">
        <x:v>BỊCH</x:v>
      </x:c>
      <x:c r="AI25" s="112" t="str">
        <x:v>0 g / BỊCH</x:v>
      </x:c>
      <x:c r="AJ25" s="120" t="n">
        <x:v>0</x:v>
      </x:c>
      <x:c r="AK25" s="120"/>
      <x:c r="AL25" s="120"/>
      <x:c r="AM25" s="112" t="str">
        <x:v>DS SP GIÁ 0 - VẪN THIẾU GIÁ</x:v>
      </x:c>
      <x:c r="AN25" s="126" t="n">
        <x:v>30</x:v>
      </x:c>
      <x:c r="AO25" s="126" t="n">
        <x:v>31</x:v>
      </x:c>
      <x:c r="AP25" s="113" t="str">
        <x:v>20 BỊCH / THÙNG</x:v>
      </x:c>
    </x:row>
    <x:row r="26">
      <x:c r="A26" s="71" t="str">
        <x:v>TRÀ OLONG NƯỚNG NOVIA</x:v>
      </x:c>
      <x:c r="B26" s="30" t="str">
        <x:v>TRÀ OLONG NƯỚNG NOVIA - THÙNG</x:v>
      </x:c>
      <x:c r="C26" s="37" t="str">
        <x:v>PVN1251</x:v>
      </x:c>
      <x:c r="D26" s="37" t="str">
        <x:v>PVN1252</x:v>
      </x:c>
      <x:c r="E26" s="37" t="str">
        <x:v>PVN1252</x:v>
      </x:c>
      <x:c r="F26" s="37" t="n">
        <x:v>20</x:v>
      </x:c>
      <x:c r="G26" s="37" t="n">
        <x:v>0</x:v>
      </x:c>
      <x:c r="H26" s="37" t="str">
        <x:v>g</x:v>
      </x:c>
      <x:c r="I26" s="37" t="str">
        <x:v>THÙNG</x:v>
      </x:c>
      <x:c r="J26" s="59" t="n">
        <x:v>0</x:v>
      </x:c>
      <x:c r="K26" s="59" t="n">
        <x:v>0</x:v>
      </x:c>
      <x:c r="L26" s="59" t="n">
        <x:v>0</x:v>
      </x:c>
      <x:c r="M26" s="37" t="str">
        <x:v>Trà</x:v>
      </x:c>
      <x:c r="N26" s="37" t="str">
        <x:v>CHƯA CÓ GIÁ LẺ</x:v>
      </x:c>
      <x:c r="O26" s="61" t="n">
        <x:v>0.613</x:v>
      </x:c>
      <x:c r="P26" s="37"/>
      <x:c r="Q26" s="30"/>
      <x:c r="R26" s="30"/>
      <x:c r="S26" s="30"/>
      <x:c r="T26" s="37"/>
      <x:c r="U26" s="59"/>
      <x:c r="V26" s="59"/>
      <x:c r="W26" s="117"/>
      <x:c r="X26" s="59" t="str">
        <x:f>IFERROR(IF(OR($N26="ĐÃ GHÉP - AUTO",$N26="ĐÃ GHÉP - QUY TẮC"),IF($V26="","",IF($T26="THÙNG",$V26/$F26,$V26)),""),"")</x:f>
      </x:c>
      <x:c r="Y26" s="117" t="str">
        <x:f>IF(OR(W26="",F26=""),"",W26*F26)</x:f>
      </x:c>
      <x:c r="Z26" s="59" t="str">
        <x:f>IFERROR(IF(OR($N26="ĐÃ GHÉP - AUTO",$N26="ĐÃ GHÉP - QUY TẮC"),IF($V26="","",IF($T26="THÙNG",$V26,$V26*$F26)),""),"")</x:f>
      </x:c>
      <x:c r="AA26" s="28" t="str">
        <x:f>IFERROR(IF(OR($K26="",$K26=0,$Y26=""),"",($Y26-$K26)/$K26),"")</x:f>
      </x:c>
      <x:c r="AB26" s="37" t="str">
        <x:f>IFERROR(IF($N26="CẦN DUYỆT","DUYỆT MAP",IF($N26="CHƯA CÓ GIÁ LẺ","THIẾU GIÁ",IF(OR($K26="",$K26=0,$Y26=""),"OK",IF(ABS(($Y26-$K26)/$K26)&gt;0.15,"LỆCH GIÁ CŨ","OK")))),"OK")</x:f>
        <x:v>THIẾU GIÁ</x:v>
      </x:c>
      <x:c r="AC26" s="30" t="str">
        <x:v>ứng viên gần nhất=Trà  lài novia; score=0.613</x:v>
      </x:c>
      <x:c r="AD26" s="37" t="str">
        <x:v>PVN1251</x:v>
      </x:c>
      <x:c r="AE26" s="38" t="str">
        <x:v>PVN1252</x:v>
      </x:c>
      <x:c r="AF26" s="123" t="n">
        <x:v>0</x:v>
      </x:c>
      <x:c r="AG26" s="112" t="str">
        <x:v>g</x:v>
      </x:c>
      <x:c r="AH26" s="112" t="str">
        <x:v>GÓI</x:v>
      </x:c>
      <x:c r="AI26" s="112" t="str">
        <x:v>0 g / GÓI</x:v>
      </x:c>
      <x:c r="AJ26" s="120" t="n">
        <x:v>0</x:v>
      </x:c>
      <x:c r="AK26" s="120"/>
      <x:c r="AL26" s="120"/>
      <x:c r="AM26" s="112" t="str">
        <x:v>DS SP GIÁ 0 - VẪN THIẾU GIÁ</x:v>
      </x:c>
      <x:c r="AN26" s="126" t="n">
        <x:v>32</x:v>
      </x:c>
      <x:c r="AO26" s="126" t="n">
        <x:v>33</x:v>
      </x:c>
      <x:c r="AP26" s="113" t="str">
        <x:v>20 GÓI / THÙNG</x:v>
      </x:c>
    </x:row>
    <x:row r="27">
      <x:c r="A27" s="71" t="str">
        <x:v>BONE MILKY</x:v>
      </x:c>
      <x:c r="B27" s="30" t="str">
        <x:v>BONE MILKY - THÙNG</x:v>
      </x:c>
      <x:c r="C27" s="37" t="str">
        <x:v>PVN1249</x:v>
      </x:c>
      <x:c r="D27" s="37" t="str">
        <x:v>PVN1250</x:v>
      </x:c>
      <x:c r="E27" s="37" t="str">
        <x:v>PVN1250</x:v>
      </x:c>
      <x:c r="F27" s="37" t="n">
        <x:v>12</x:v>
      </x:c>
      <x:c r="G27" s="37" t="n">
        <x:v>0</x:v>
      </x:c>
      <x:c r="H27" s="37" t="str">
        <x:v>g</x:v>
      </x:c>
      <x:c r="I27" s="37" t="str">
        <x:v>THÙNG</x:v>
      </x:c>
      <x:c r="J27" s="59" t="n">
        <x:v>0</x:v>
      </x:c>
      <x:c r="K27" s="59" t="n">
        <x:v>0</x:v>
      </x:c>
      <x:c r="L27" s="59" t="n">
        <x:v>0</x:v>
      </x:c>
      <x:c r="M27" s="37" t="str">
        <x:v>Bột sữa / milkfoam</x:v>
      </x:c>
      <x:c r="N27" s="37" t="str">
        <x:v>CHƯA CÓ GIÁ LẺ</x:v>
      </x:c>
      <x:c r="O27" s="61" t="n">
        <x:v>0.081</x:v>
      </x:c>
      <x:c r="P27" s="37"/>
      <x:c r="Q27" s="30"/>
      <x:c r="R27" s="30"/>
      <x:c r="S27" s="30"/>
      <x:c r="T27" s="37"/>
      <x:c r="U27" s="59"/>
      <x:c r="V27" s="59"/>
      <x:c r="W27" s="117"/>
      <x:c r="X27" s="59" t="str">
        <x:f>IFERROR(IF(OR($N27="ĐÃ GHÉP - AUTO",$N27="ĐÃ GHÉP - QUY TẮC"),IF($V27="","",IF($T27="THÙNG",$V27/$F27,$V27)),""),"")</x:f>
      </x:c>
      <x:c r="Y27" s="117" t="str">
        <x:f>IF(OR(W27="",F27=""),"",W27*F27)</x:f>
      </x:c>
      <x:c r="Z27" s="59" t="str">
        <x:f>IFERROR(IF(OR($N27="ĐÃ GHÉP - AUTO",$N27="ĐÃ GHÉP - QUY TẮC"),IF($V27="","",IF($T27="THÙNG",$V27,$V27*$F27)),""),"")</x:f>
      </x:c>
      <x:c r="AA27" s="28" t="str">
        <x:f>IFERROR(IF(OR($K27="",$K27=0,$Y27=""),"",($Y27-$K27)/$K27),"")</x:f>
      </x:c>
      <x:c r="AB27" s="37" t="str">
        <x:f>IFERROR(IF($N27="CẦN DUYỆT","DUYỆT MAP",IF($N27="CHƯA CÓ GIÁ LẺ","THIẾU GIÁ",IF(OR($K27="",$K27=0,$Y27=""),"OK",IF(ABS(($Y27-$K27)/$K27)&gt;0.15,"LỆCH GIÁ CŨ","OK")))),"OK")</x:f>
        <x:v>THIẾU GIÁ</x:v>
      </x:c>
      <x:c r="AC27" s="30" t="str">
        <x:v>ứng viên gần nhất=Bột sữa B one; score=0.081</x:v>
      </x:c>
      <x:c r="AD27" s="37" t="str">
        <x:v>PVN1249</x:v>
      </x:c>
      <x:c r="AE27" s="38" t="str">
        <x:v>PVN1250</x:v>
      </x:c>
      <x:c r="AF27" s="123" t="n">
        <x:v>0</x:v>
      </x:c>
      <x:c r="AG27" s="112" t="str">
        <x:v>g</x:v>
      </x:c>
      <x:c r="AH27" s="112" t="str">
        <x:v>BỊCH</x:v>
      </x:c>
      <x:c r="AI27" s="112" t="str">
        <x:v>0 g / BỊCH</x:v>
      </x:c>
      <x:c r="AJ27" s="120" t="n">
        <x:v>0</x:v>
      </x:c>
      <x:c r="AK27" s="120"/>
      <x:c r="AL27" s="120"/>
      <x:c r="AM27" s="112" t="str">
        <x:v>DS SP GIÁ 0 - VẪN THIẾU GIÁ</x:v>
      </x:c>
      <x:c r="AN27" s="126" t="n">
        <x:v>34</x:v>
      </x:c>
      <x:c r="AO27" s="126" t="n">
        <x:v>35</x:v>
      </x:c>
      <x:c r="AP27" s="113" t="str">
        <x:v>12 BỊCH / THÙNG</x:v>
      </x:c>
    </x:row>
    <x:row r="28">
      <x:c r="A28" s="71" t="str">
        <x:v>ĐÀO GOLDREEF</x:v>
      </x:c>
      <x:c r="B28" s="30" t="str">
        <x:v>ĐÀO GOLDREEF - THÙNG</x:v>
      </x:c>
      <x:c r="C28" s="37" t="str">
        <x:v>DAOGRF</x:v>
      </x:c>
      <x:c r="D28" s="37" t="str">
        <x:v>DAOGRFT</x:v>
      </x:c>
      <x:c r="E28" s="37" t="str">
        <x:v>DAOGRFT</x:v>
      </x:c>
      <x:c r="F28" s="37" t="n">
        <x:v>12</x:v>
      </x:c>
      <x:c r="G28" s="37" t="n">
        <x:v>12</x:v>
      </x:c>
      <x:c r="H28" s="37" t="str">
        <x:v>kg</x:v>
      </x:c>
      <x:c r="I28" s="37" t="str">
        <x:v>THÙNG</x:v>
      </x:c>
      <x:c r="J28" s="59" t="n">
        <x:v>0</x:v>
      </x:c>
      <x:c r="K28" s="59" t="n">
        <x:v>0</x:v>
      </x:c>
      <x:c r="L28" s="59" t="n">
        <x:v>0</x:v>
      </x:c>
      <x:c r="M28" s="37" t="str">
        <x:v>Khác</x:v>
      </x:c>
      <x:c r="N28" s="37" t="str">
        <x:v>CHƯA CÓ GIÁ LẺ</x:v>
      </x:c>
      <x:c r="O28" s="61" t="n">
        <x:v>0.605</x:v>
      </x:c>
      <x:c r="P28" s="37"/>
      <x:c r="Q28" s="30"/>
      <x:c r="R28" s="30"/>
      <x:c r="S28" s="30"/>
      <x:c r="T28" s="37"/>
      <x:c r="U28" s="59"/>
      <x:c r="V28" s="59"/>
      <x:c r="W28" s="117"/>
      <x:c r="X28" s="59" t="str">
        <x:f>IFERROR(IF(OR($N28="ĐÃ GHÉP - AUTO",$N28="ĐÃ GHÉP - QUY TẮC"),IF($V28="","",IF($T28="THÙNG",$V28/$F28,$V28)),""),"")</x:f>
      </x:c>
      <x:c r="Y28" s="117" t="str">
        <x:f>IF(OR(W28="",F28=""),"",W28*F28)</x:f>
      </x:c>
      <x:c r="Z28" s="59" t="str">
        <x:f>IFERROR(IF(OR($N28="ĐÃ GHÉP - AUTO",$N28="ĐÃ GHÉP - QUY TẮC"),IF($V28="","",IF($T28="THÙNG",$V28,$V28*$F28)),""),"")</x:f>
      </x:c>
      <x:c r="AA28" s="28" t="str">
        <x:f>IFERROR(IF(OR($K28="",$K28=0,$Y28=""),"",($Y28-$K28)/$K28),"")</x:f>
      </x:c>
      <x:c r="AB28" s="37" t="str">
        <x:f>IFERROR(IF($N28="CẦN DUYỆT","DUYỆT MAP",IF($N28="CHƯA CÓ GIÁ LẺ","THIẾU GIÁ",IF(OR($K28="",$K28=0,$Y28=""),"OK",IF(ABS(($Y28-$K28)/$K28)&gt;0.15,"LỆCH GIÁ CŨ","OK")))),"OK")</x:f>
        <x:v>THIẾU GIÁ</x:v>
      </x:c>
      <x:c r="AC28" s="30" t="str">
        <x:v>ứng viên gần nhất=Sinh Tố Gold Đào; score=0.605</x:v>
      </x:c>
      <x:c r="AD28" s="37" t="str">
        <x:v>DAOGRF</x:v>
      </x:c>
      <x:c r="AE28" s="38" t="str">
        <x:v>DAOGRFT</x:v>
      </x:c>
      <x:c r="AF28" s="123" t="n">
        <x:v>1</x:v>
      </x:c>
      <x:c r="AG28" s="112" t="str">
        <x:v>kg</x:v>
      </x:c>
      <x:c r="AH28" s="112" t="str">
        <x:v>LON</x:v>
      </x:c>
      <x:c r="AI28" s="112" t="str">
        <x:v>1 kg / LON</x:v>
      </x:c>
      <x:c r="AJ28" s="120" t="n">
        <x:v>0</x:v>
      </x:c>
      <x:c r="AK28" s="120"/>
      <x:c r="AL28" s="120"/>
      <x:c r="AM28" s="112" t="str">
        <x:v>DS SP GIÁ 0 - VẪN THIẾU GIÁ</x:v>
      </x:c>
      <x:c r="AN28" s="126" t="n">
        <x:v>39</x:v>
      </x:c>
      <x:c r="AO28" s="126" t="n">
        <x:v>40</x:v>
      </x:c>
      <x:c r="AP28" s="113" t="str">
        <x:v>12 LON / THÙNG</x:v>
      </x:c>
    </x:row>
    <x:row r="29">
      <x:c r="A29" s="71" t="str">
        <x:v>ĐẬM ĐẶC MÃNG CẦU</x:v>
      </x:c>
      <x:c r="B29" s="30" t="str">
        <x:v>ĐẬM ĐẶC MÃNG CẦU - THÙNG</x:v>
      </x:c>
      <x:c r="C29" s="37" t="str">
        <x:v>DDGMCA</x:v>
      </x:c>
      <x:c r="D29" s="37" t="str">
        <x:v>DDGMCAT</x:v>
      </x:c>
      <x:c r="E29" s="37" t="str">
        <x:v>DDGMCAT</x:v>
      </x:c>
      <x:c r="F29" s="37" t="n">
        <x:v>12</x:v>
      </x:c>
      <x:c r="G29" s="37" t="n">
        <x:v>16</x:v>
      </x:c>
      <x:c r="H29" s="37" t="str">
        <x:v>kg</x:v>
      </x:c>
      <x:c r="I29" s="37" t="str">
        <x:v>THÙNG</x:v>
      </x:c>
      <x:c r="J29" s="59" t="n">
        <x:v>0</x:v>
      </x:c>
      <x:c r="K29" s="59" t="n">
        <x:v>0</x:v>
      </x:c>
      <x:c r="L29" s="59" t="n">
        <x:v>0</x:v>
      </x:c>
      <x:c r="M29" s="37" t="str">
        <x:v>Khác</x:v>
      </x:c>
      <x:c r="N29" s="37" t="str">
        <x:v>CẦN DUYỆT</x:v>
      </x:c>
      <x:c r="O29" s="61" t="n">
        <x:v>0.669</x:v>
      </x:c>
      <x:c r="P29" s="37" t="n">
        <x:v>42</x:v>
      </x:c>
      <x:c r="Q29" s="30" t="str">
        <x:v>Sinh  To mang câu glod</x:v>
      </x:c>
      <x:c r="R29" s="30" t="str">
        <x:v>Thung 12 chai</x:v>
      </x:c>
      <x:c r="S29" s="30" t="str">
        <x:v>chai</x:v>
      </x:c>
      <x:c r="T29" s="37" t="str">
        <x:v>ĐƠN VỊ</x:v>
      </x:c>
      <x:c r="U29" s="59" t="n">
        <x:v>117000</x:v>
      </x:c>
      <x:c r="V29" s="59"/>
      <x:c r="W29" s="117"/>
      <x:c r="X29" s="59" t="str">
        <x:f>IFERROR(IF(OR($N29="ĐÃ GHÉP - AUTO",$N29="ĐÃ GHÉP - QUY TẮC"),IF($V29="","",IF($T29="THÙNG",$V29/$F29,$V29)),""),"")</x:f>
      </x:c>
      <x:c r="Y29" s="117" t="str">
        <x:f>IF(OR(W29="",F29=""),"",W29*F29)</x:f>
      </x:c>
      <x:c r="Z29" s="59" t="str">
        <x:f>IFERROR(IF(OR($N29="ĐÃ GHÉP - AUTO",$N29="ĐÃ GHÉP - QUY TẮC"),IF($V29="","",IF($T29="THÙNG",$V29,$V29*$F29)),""),"")</x:f>
      </x:c>
      <x:c r="AA29" s="28" t="str">
        <x:f>IFERROR(IF(OR($K29="",$K29=0,$Y29=""),"",($Y29-$K29)/$K29),"")</x:f>
      </x:c>
      <x:c r="AB29" s="37" t="str">
        <x:f>IFERROR(IF($N29="CẦN DUYỆT","DUYỆT MAP",IF($N29="CHƯA CÓ GIÁ LẺ","THIẾU GIÁ",IF(OR($K29="",$K29=0,$Y29=""),"OK",IF(ABS(($Y29-$K29)/$K29)&gt;0.15,"LỆCH GIÁ CŨ","OK")))),"OK")</x:f>
        <x:v>DUYỆT MAP</x:v>
      </x:c>
      <x:c r="AC29" s="30" t="str">
        <x:v>score=0.669; gap=0.101; phương án 2=SINH TỐ VINA MÃNG CẦU</x:v>
      </x:c>
      <x:c r="AD29" s="37" t="str">
        <x:v>DDGMCA</x:v>
      </x:c>
      <x:c r="AE29" s="38" t="str">
        <x:v>DDGMCAT</x:v>
      </x:c>
      <x:c r="AF29" s="123" t="n">
        <x:v>1.2</x:v>
      </x:c>
      <x:c r="AG29" s="112" t="str">
        <x:v>kg</x:v>
      </x:c>
      <x:c r="AH29" s="112" t="str">
        <x:v>CHAI</x:v>
      </x:c>
      <x:c r="AI29" s="112" t="str">
        <x:v>1.2 kg / CHAI</x:v>
      </x:c>
      <x:c r="AJ29" s="120" t="n">
        <x:v>0</x:v>
      </x:c>
      <x:c r="AK29" s="120"/>
      <x:c r="AL29" s="120"/>
      <x:c r="AM29" s="112" t="str">
        <x:v>DS SP GIÁ 0 - VẪN THIẾU GIÁ</x:v>
      </x:c>
      <x:c r="AN29" s="126" t="n">
        <x:v>43</x:v>
      </x:c>
      <x:c r="AO29" s="126" t="n">
        <x:v>44</x:v>
      </x:c>
      <x:c r="AP29" s="113" t="str">
        <x:v>12 CHAI / THÙNG</x:v>
      </x:c>
    </x:row>
    <x:row r="30">
      <x:c r="A30" s="71" t="str">
        <x:v>LY 700 UKP</x:v>
      </x:c>
      <x:c r="B30" s="30" t="str">
        <x:v>LY 700 UKP - THÙNG</x:v>
      </x:c>
      <x:c r="C30" s="37" t="str">
        <x:v>LYU700</x:v>
      </x:c>
      <x:c r="D30" s="37" t="str">
        <x:v>LYU700T</x:v>
      </x:c>
      <x:c r="E30" s="37" t="str">
        <x:v>LYU700T</x:v>
      </x:c>
      <x:c r="F30" s="37" t="n">
        <x:v>20</x:v>
      </x:c>
      <x:c r="G30" s="37" t="n">
        <x:v>0</x:v>
      </x:c>
      <x:c r="H30" s="37" t="str">
        <x:v>g</x:v>
      </x:c>
      <x:c r="I30" s="37" t="str">
        <x:v>THÙNG</x:v>
      </x:c>
      <x:c r="J30" s="59" t="n">
        <x:v>0</x:v>
      </x:c>
      <x:c r="K30" s="59" t="n">
        <x:v>0</x:v>
      </x:c>
      <x:c r="L30" s="59" t="n">
        <x:v>0</x:v>
      </x:c>
      <x:c r="M30" s="37" t="str">
        <x:v>Khác</x:v>
      </x:c>
      <x:c r="N30" s="37" t="str">
        <x:v>CHƯA CÓ GIÁ LẺ</x:v>
      </x:c>
      <x:c r="O30" s="61" t="n">
        <x:v>0.768</x:v>
      </x:c>
      <x:c r="P30" s="37"/>
      <x:c r="Q30" s="30"/>
      <x:c r="R30" s="30"/>
      <x:c r="S30" s="30"/>
      <x:c r="T30" s="37"/>
      <x:c r="U30" s="59"/>
      <x:c r="V30" s="59"/>
      <x:c r="W30" s="117" t="n">
        <x:v>26000</x:v>
      </x:c>
      <x:c r="X30" s="59" t="str">
        <x:f>IFERROR(IF(OR($N30="ĐÃ GHÉP - AUTO",$N30="ĐÃ GHÉP - QUY TẮC"),IF($V30="","",IF($T30="THÙNG",$V30/$F30,$V30)),""),"")</x:f>
      </x:c>
      <x:c r="Y30" s="117" t="n">
        <x:f>IF(OR(W30="",F30=""),"",W30*F30)</x:f>
        <x:v>520000</x:v>
      </x:c>
      <x:c r="Z30" s="59" t="str">
        <x:f>IFERROR(IF(OR($N30="ĐÃ GHÉP - AUTO",$N30="ĐÃ GHÉP - QUY TẮC"),IF($V30="","",IF($T30="THÙNG",$V30,$V30*$F30)),""),"")</x:f>
      </x:c>
      <x:c r="AA30" s="28" t="str">
        <x:f>IFERROR(IF(OR($K30="",$K30=0,$Y30=""),"",($Y30-$K30)/$K30),"")</x:f>
      </x:c>
      <x:c r="AB30" s="37" t="str">
        <x:f>IFERROR(IF($N30="CẦN DUYỆT","DUYỆT MAP",IF($N30="CHƯA CÓ GIÁ LẺ","THIẾU GIÁ",IF(OR($K30="",$K30=0,$Y30=""),"OK",IF(ABS(($Y30-$K30)/$K30)&gt;0.15,"LỆCH GIÁ CŨ","OK")))),"OK")</x:f>
        <x:v>THIẾU GIÁ</x:v>
      </x:c>
      <x:c r="AC30" s="30" t="str">
        <x:v>Không dùng giá Muỗng UKP cho Ly UKP</x:v>
      </x:c>
      <x:c r="AD30" s="37" t="str">
        <x:v>LYU700</x:v>
      </x:c>
      <x:c r="AE30" s="38" t="str">
        <x:v>LYU700T</x:v>
      </x:c>
      <x:c r="AF30" s="123" t="n">
        <x:v>0</x:v>
      </x:c>
      <x:c r="AG30" s="112" t="str">
        <x:v>g</x:v>
      </x:c>
      <x:c r="AH30" s="112" t="str">
        <x:v>CÂY</x:v>
      </x:c>
      <x:c r="AI30" s="112" t="str">
        <x:v>0 g / CÂY</x:v>
      </x:c>
      <x:c r="AJ30" s="120" t="n">
        <x:v>26000</x:v>
      </x:c>
      <x:c r="AK30" s="120"/>
      <x:c r="AL30" s="120" t="n">
        <x:v>26000</x:v>
      </x:c>
      <x:c r="AM30" s="112" t="str">
        <x:v>BỔ SUNG GIÁ</x:v>
      </x:c>
      <x:c r="AN30" s="126" t="n">
        <x:v>937</x:v>
      </x:c>
      <x:c r="AO30" s="126" t="n">
        <x:v>938</x:v>
      </x:c>
      <x:c r="AP30" s="113" t="str">
        <x:v>20 CÂY / THÙNG</x:v>
      </x:c>
    </x:row>
    <x:row r="31">
      <x:c r="A31" s="71" t="str">
        <x:v>HẠT NỔ TRẮNG DEDU</x:v>
      </x:c>
      <x:c r="B31" s="30" t="str">
        <x:v>HẠT NỔ TRẮNG DEDU - THÙNG</x:v>
      </x:c>
      <x:c r="C31" s="37" t="str">
        <x:v>NOTRDD</x:v>
      </x:c>
      <x:c r="D31" s="37" t="str">
        <x:v>NOTRDDT</x:v>
      </x:c>
      <x:c r="E31" s="37" t="str">
        <x:v>NOTRDDT</x:v>
      </x:c>
      <x:c r="F31" s="37" t="n">
        <x:v>12</x:v>
      </x:c>
      <x:c r="G31" s="37" t="n">
        <x:v>13</x:v>
      </x:c>
      <x:c r="H31" s="37" t="str">
        <x:v>kg</x:v>
      </x:c>
      <x:c r="I31" s="37" t="str">
        <x:v>THÙNG</x:v>
      </x:c>
      <x:c r="J31" s="59" t="n">
        <x:v>0</x:v>
      </x:c>
      <x:c r="K31" s="59" t="n">
        <x:v>836000</x:v>
      </x:c>
      <x:c r="L31" s="59" t="n">
        <x:v>0</x:v>
      </x:c>
      <x:c r="M31" s="37" t="str">
        <x:v>Khác</x:v>
      </x:c>
      <x:c r="N31" s="37" t="str">
        <x:v>CHƯA CÓ GIÁ LẺ</x:v>
      </x:c>
      <x:c r="O31" s="61" t="n">
        <x:v>0.425</x:v>
      </x:c>
      <x:c r="P31" s="37"/>
      <x:c r="Q31" s="30"/>
      <x:c r="R31" s="30"/>
      <x:c r="S31" s="30"/>
      <x:c r="T31" s="37"/>
      <x:c r="U31" s="59"/>
      <x:c r="V31" s="59"/>
      <x:c r="W31" s="117" t="n">
        <x:v>71000</x:v>
      </x:c>
      <x:c r="X31" s="59" t="str">
        <x:f>IFERROR(IF(OR($N31="ĐÃ GHÉP - AUTO",$N31="ĐÃ GHÉP - QUY TẮC"),IF($V31="","",IF($T31="THÙNG",$V31/$F31,$V31)),""),"")</x:f>
      </x:c>
      <x:c r="Y31" s="117" t="n">
        <x:f>IF(OR(W31="",F31=""),"",W31*F31)</x:f>
        <x:v>852000</x:v>
      </x:c>
      <x:c r="Z31" s="59" t="str">
        <x:f>IFERROR(IF(OR($N31="ĐÃ GHÉP - AUTO",$N31="ĐÃ GHÉP - QUY TẮC"),IF($V31="","",IF($T31="THÙNG",$V31,$V31*$F31)),""),"")</x:f>
      </x:c>
      <x:c r="AA31" s="28" t="n">
        <x:f>IFERROR(IF(OR($K31="",$K31=0,$Y31=""),"",($Y31-$K31)/$K31),"")</x:f>
        <x:v>0.019138755980861243</x:v>
      </x:c>
      <x:c r="AB31" s="37" t="str">
        <x:f>IFERROR(IF($N31="CẦN DUYỆT","DUYỆT MAP",IF($N31="CHƯA CÓ GIÁ LẺ","THIẾU GIÁ",IF(OR($K31="",$K31=0,$Y31=""),"OK",IF(ABS(($Y31-$K31)/$K31)&gt;0.15,"LỆCH GIÁ CŨ","OK")))),"OK")</x:f>
        <x:v>THIẾU GIÁ</x:v>
      </x:c>
      <x:c r="AC31" s="30" t="str">
        <x:v>ứng viên gần nhất=ong hut trang phi 6/8; score=0.425</x:v>
      </x:c>
      <x:c r="AD31" s="37" t="str">
        <x:v>NOTRDD</x:v>
      </x:c>
      <x:c r="AE31" s="38" t="str">
        <x:v>NOTRDDT</x:v>
      </x:c>
      <x:c r="AF31" s="123" t="n">
        <x:v>1</x:v>
      </x:c>
      <x:c r="AG31" s="112" t="str">
        <x:v>kg</x:v>
      </x:c>
      <x:c r="AH31" s="112" t="str">
        <x:v>LON</x:v>
      </x:c>
      <x:c r="AI31" s="112" t="str">
        <x:v>1 kg / LON</x:v>
      </x:c>
      <x:c r="AJ31" s="120" t="n">
        <x:v>71000</x:v>
      </x:c>
      <x:c r="AK31" s="120"/>
      <x:c r="AL31" s="120" t="n">
        <x:v>71000</x:v>
      </x:c>
      <x:c r="AM31" s="112" t="str">
        <x:v>BỔ SUNG GIÁ</x:v>
      </x:c>
      <x:c r="AN31" s="126" t="n">
        <x:v>47</x:v>
      </x:c>
      <x:c r="AO31" s="126" t="n">
        <x:v>48</x:v>
      </x:c>
      <x:c r="AP31" s="113" t="str">
        <x:v>12 LON / THÙNG</x:v>
      </x:c>
    </x:row>
    <x:row r="32">
      <x:c r="A32" s="71" t="str">
        <x:v>COZY HOÀ TAN BÍ ĐAO</x:v>
      </x:c>
      <x:c r="B32" s="30" t="str">
        <x:v>COZY HOÀ TAN BÍ ĐAO - THÙNG</x:v>
      </x:c>
      <x:c r="C32" s="37" t="str">
        <x:v>COHTBD</x:v>
      </x:c>
      <x:c r="D32" s="37" t="str">
        <x:v>COHTBDT</x:v>
      </x:c>
      <x:c r="E32" s="37" t="str">
        <x:v>COHTBDT</x:v>
      </x:c>
      <x:c r="F32" s="37" t="n">
        <x:v>30</x:v>
      </x:c>
      <x:c r="G32" s="37" t="n">
        <x:v>10000</x:v>
      </x:c>
      <x:c r="H32" s="37" t="str">
        <x:v>g</x:v>
      </x:c>
      <x:c r="I32" s="37" t="str">
        <x:v>THÙNG</x:v>
      </x:c>
      <x:c r="J32" s="59" t="n">
        <x:v>0</x:v>
      </x:c>
      <x:c r="K32" s="59" t="n">
        <x:v>0</x:v>
      </x:c>
      <x:c r="L32" s="59" t="n">
        <x:v>0</x:v>
      </x:c>
      <x:c r="M32" s="37" t="str">
        <x:v>Trà</x:v>
      </x:c>
      <x:c r="N32" s="37" t="str">
        <x:v>ĐÃ GHÉP - AUTO</x:v>
      </x:c>
      <x:c r="O32" s="61" t="n">
        <x:v>0.88</x:v>
      </x:c>
      <x:c r="P32" s="37" t="n">
        <x:v>186</x:v>
      </x:c>
      <x:c r="Q32" s="30" t="str">
        <x:v>Trà Cozy Hòa tan</x:v>
      </x:c>
      <x:c r="R32" s="30" t="str">
        <x:v>Thùng 30 gói</x:v>
      </x:c>
      <x:c r="S32" s="30" t="str">
        <x:v>hộp</x:v>
      </x:c>
      <x:c r="T32" s="37" t="str">
        <x:v>ĐƠN VỊ</x:v>
      </x:c>
      <x:c r="U32" s="59" t="n">
        <x:v>36000</x:v>
      </x:c>
      <x:c r="V32" s="59"/>
      <x:c r="W32" s="117" t="n">
        <x:v>36000</x:v>
      </x:c>
      <x:c r="X32" s="59" t="str">
        <x:f>IFERROR(IF(OR($N32="ĐÃ GHÉP - AUTO",$N32="ĐÃ GHÉP - QUY TẮC"),IF($V32="","",IF($T32="THÙNG",$V32/$F32,$V32)),""),"")</x:f>
      </x:c>
      <x:c r="Y32" s="117" t="n">
        <x:f>IF(OR(W32="",F32=""),"",W32*F32)</x:f>
        <x:v>1080000</x:v>
      </x:c>
      <x:c r="Z32" s="59" t="str">
        <x:f>IFERROR(IF(OR($N32="ĐÃ GHÉP - AUTO",$N32="ĐÃ GHÉP - QUY TẮC"),IF($V32="","",IF($T32="THÙNG",$V32,$V32*$F32)),""),"")</x:f>
      </x:c>
      <x:c r="AA32" s="28" t="str">
        <x:f>IFERROR(IF(OR($K32="",$K32=0,$Y32=""),"",($Y32-$K32)/$K32),"")</x:f>
      </x:c>
      <x:c r="AB32" s="37" t="str">
        <x:f>IFERROR(IF($N32="CẦN DUYỆT","DUYỆT MAP",IF($N32="CHƯA CÓ GIÁ LẺ","THIẾU GIÁ",IF(OR($K32="",$K32=0,$Y32=""),"OK",IF(ABS(($Y32-$K32)/$K32)&gt;0.15,"LỆCH GIÁ CŨ","OK")))),"OK")</x:f>
        <x:v>OK</x:v>
      </x:c>
      <x:c r="AC32" s="30" t="str">
        <x:v>score=0.880; gap=0.125</x:v>
      </x:c>
      <x:c r="AD32" s="37" t="str">
        <x:v>COHTBD</x:v>
      </x:c>
      <x:c r="AE32" s="38" t="str">
        <x:v>COHTBDT</x:v>
      </x:c>
      <x:c r="AF32" s="123" t="n">
        <x:v>0</x:v>
      </x:c>
      <x:c r="AG32" s="112" t="str">
        <x:v>g</x:v>
      </x:c>
      <x:c r="AH32" s="112" t="str">
        <x:v>HỘP</x:v>
      </x:c>
      <x:c r="AI32" s="112" t="str">
        <x:v>0 g / HỘP</x:v>
      </x:c>
      <x:c r="AJ32" s="120" t="n">
        <x:v>0</x:v>
      </x:c>
      <x:c r="AK32" s="120" t="n">
        <x:v>36000</x:v>
      </x:c>
      <x:c r="AL32" s="120" t="n">
        <x:v>36000</x:v>
      </x:c>
      <x:c r="AM32" s="112" t="str">
        <x:v>DS SP GIÁ 0 - GIỮ GIÁ CŨ</x:v>
      </x:c>
      <x:c r="AN32" s="126" t="n">
        <x:v>49</x:v>
      </x:c>
      <x:c r="AO32" s="126" t="n">
        <x:v>50</x:v>
      </x:c>
      <x:c r="AP32" s="113" t="str">
        <x:v>30 HỘP / THÙNG</x:v>
      </x:c>
    </x:row>
    <x:row r="33">
      <x:c r="A33" s="71" t="str">
        <x:v>3Q ZION ĐEN</x:v>
      </x:c>
      <x:c r="B33" s="30" t="str">
        <x:v>3Q ZION ĐEN - THÙNG</x:v>
      </x:c>
      <x:c r="C33" s="37" t="str">
        <x:v>3QZIDE</x:v>
      </x:c>
      <x:c r="D33" s="37" t="str">
        <x:v>3QZIDET</x:v>
      </x:c>
      <x:c r="E33" s="37" t="str">
        <x:v>3QZIDET</x:v>
      </x:c>
      <x:c r="F33" s="37" t="n">
        <x:v>6</x:v>
      </x:c>
      <x:c r="G33" s="37" t="n">
        <x:v>13</x:v>
      </x:c>
      <x:c r="H33" s="37" t="str">
        <x:v>kg</x:v>
      </x:c>
      <x:c r="I33" s="37" t="str">
        <x:v>THÙNG</x:v>
      </x:c>
      <x:c r="J33" s="59" t="n">
        <x:v>0</x:v>
      </x:c>
      <x:c r="K33" s="59" t="n">
        <x:v>285000</x:v>
      </x:c>
      <x:c r="L33" s="59" t="n">
        <x:v>0</x:v>
      </x:c>
      <x:c r="M33" s="37" t="str">
        <x:v>3Q / thạch hũ</x:v>
      </x:c>
      <x:c r="N33" s="37" t="str">
        <x:v>ĐÃ GHÉP - AUTO</x:v>
      </x:c>
      <x:c r="O33" s="61" t="n">
        <x:v>0.991</x:v>
      </x:c>
      <x:c r="P33" s="37" t="n">
        <x:v>90</x:v>
      </x:c>
      <x:c r="Q33" s="30" t="str">
        <x:v>3Q Zion đen</x:v>
      </x:c>
      <x:c r="R33" s="30" t="str">
        <x:v>Thùng 6 gói</x:v>
      </x:c>
      <x:c r="S33" s="30" t="str">
        <x:v>bịch</x:v>
      </x:c>
      <x:c r="T33" s="37" t="str">
        <x:v>ĐƠN VỊ</x:v>
      </x:c>
      <x:c r="U33" s="59" t="n">
        <x:v>52000</x:v>
      </x:c>
      <x:c r="V33" s="59"/>
      <x:c r="W33" s="117" t="n">
        <x:v>55000</x:v>
      </x:c>
      <x:c r="X33" s="59" t="str">
        <x:f>IFERROR(IF(OR($N33="ĐÃ GHÉP - AUTO",$N33="ĐÃ GHÉP - QUY TẮC"),IF($V33="","",IF($T33="THÙNG",$V33/$F33,$V33)),""),"")</x:f>
      </x:c>
      <x:c r="Y33" s="117" t="n">
        <x:f>IF(OR(W33="",F33=""),"",W33*F33)</x:f>
        <x:v>330000</x:v>
      </x:c>
      <x:c r="Z33" s="59" t="str">
        <x:f>IFERROR(IF(OR($N33="ĐÃ GHÉP - AUTO",$N33="ĐÃ GHÉP - QUY TẮC"),IF($V33="","",IF($T33="THÙNG",$V33,$V33*$F33)),""),"")</x:f>
      </x:c>
      <x:c r="AA33" s="28" t="n">
        <x:f>IFERROR(IF(OR($K33="",$K33=0,$Y33=""),"",($Y33-$K33)/$K33),"")</x:f>
        <x:v>0.15789473684210525</x:v>
      </x:c>
      <x:c r="AB33" s="37" t="str">
        <x:f>IFERROR(IF($N33="CẦN DUYỆT","DUYỆT MAP",IF($N33="CHƯA CÓ GIÁ LẺ","THIẾU GIÁ",IF(OR($K33="",$K33=0,$Y33=""),"OK",IF(ABS(($Y33-$K33)/$K33)&gt;0.15,"LỆCH GIÁ CŨ","OK")))),"OK")</x:f>
        <x:v>LỆCH GIÁ CŨ</x:v>
      </x:c>
      <x:c r="AC33" s="30" t="str">
        <x:v>score=0.991; gap=0.288</x:v>
      </x:c>
      <x:c r="AD33" s="37" t="str">
        <x:v>3QZIDE</x:v>
      </x:c>
      <x:c r="AE33" s="38" t="str">
        <x:v>3QZIDET</x:v>
      </x:c>
      <x:c r="AF33" s="123" t="n">
        <x:v>2</x:v>
      </x:c>
      <x:c r="AG33" s="112" t="str">
        <x:v>kg</x:v>
      </x:c>
      <x:c r="AH33" s="112" t="str">
        <x:v>GÓI</x:v>
      </x:c>
      <x:c r="AI33" s="112" t="str">
        <x:v>2 kg / GÓI</x:v>
      </x:c>
      <x:c r="AJ33" s="120" t="n">
        <x:v>55000</x:v>
      </x:c>
      <x:c r="AK33" s="120" t="n">
        <x:v>52000</x:v>
      </x:c>
      <x:c r="AL33" s="120" t="n">
        <x:v>55000</x:v>
      </x:c>
      <x:c r="AM33" s="112" t="str">
        <x:v>CẬP NHẬT GIÁ</x:v>
      </x:c>
      <x:c r="AN33" s="126" t="n">
        <x:v>52</x:v>
      </x:c>
      <x:c r="AO33" s="126" t="n">
        <x:v>53</x:v>
      </x:c>
      <x:c r="AP33" s="113" t="str">
        <x:v>6 GÓI / THÙNG</x:v>
      </x:c>
    </x:row>
    <x:row r="34">
      <x:c r="A34" s="71" t="str">
        <x:v>MUỖNG DÀI ĐEN BỌC MÀNG</x:v>
      </x:c>
      <x:c r="B34" s="30" t="str">
        <x:v>MUỖNG DÀI ĐEN BỌC MÀNG - THÙNG</x:v>
      </x:c>
      <x:c r="C34" s="37" t="str">
        <x:v>MUDDMA</x:v>
      </x:c>
      <x:c r="D34" s="37" t="str">
        <x:v>MUDDMAT</x:v>
      </x:c>
      <x:c r="E34" s="37" t="str">
        <x:v>MUDDMAT</x:v>
      </x:c>
      <x:c r="F34" s="37" t="n">
        <x:v>40</x:v>
      </x:c>
      <x:c r="G34" s="37" t="n">
        <x:v>0</x:v>
      </x:c>
      <x:c r="H34" s="37" t="str">
        <x:v>g</x:v>
      </x:c>
      <x:c r="I34" s="37" t="str">
        <x:v>THÙNG</x:v>
      </x:c>
      <x:c r="J34" s="59" t="n">
        <x:v>0</x:v>
      </x:c>
      <x:c r="K34" s="59" t="n">
        <x:v>0</x:v>
      </x:c>
      <x:c r="L34" s="59" t="n">
        <x:v>0</x:v>
      </x:c>
      <x:c r="M34" s="37" t="str">
        <x:v>Muỗng</x:v>
      </x:c>
      <x:c r="N34" s="37" t="str">
        <x:v>CẦN DUYỆT</x:v>
      </x:c>
      <x:c r="O34" s="61" t="n">
        <x:v>0.754</x:v>
      </x:c>
      <x:c r="P34" s="37" t="n">
        <x:v>232</x:v>
      </x:c>
      <x:c r="Q34" s="30" t="str">
        <x:v>Muỗng dài</x:v>
      </x:c>
      <x:c r="R34" s="30" t="str">
        <x:v>Thung 2500 cai</x:v>
      </x:c>
      <x:c r="S34" s="30" t="str">
        <x:v>bich</x:v>
      </x:c>
      <x:c r="T34" s="37" t="str">
        <x:v>ĐƠN VỊ</x:v>
      </x:c>
      <x:c r="U34" s="59" t="n">
        <x:v>11000</x:v>
      </x:c>
      <x:c r="V34" s="59"/>
      <x:c r="W34" s="117" t="n">
        <x:v>580000</x:v>
      </x:c>
      <x:c r="X34" s="59" t="str">
        <x:f>IFERROR(IF(OR($N34="ĐÃ GHÉP - AUTO",$N34="ĐÃ GHÉP - QUY TẮC"),IF($V34="","",IF($T34="THÙNG",$V34/$F34,$V34)),""),"")</x:f>
      </x:c>
      <x:c r="Y34" s="117" t="n">
        <x:f>IF(OR(W34="",F34=""),"",W34*F34)</x:f>
        <x:v>23200000</x:v>
      </x:c>
      <x:c r="Z34" s="59" t="str">
        <x:f>IFERROR(IF(OR($N34="ĐÃ GHÉP - AUTO",$N34="ĐÃ GHÉP - QUY TẮC"),IF($V34="","",IF($T34="THÙNG",$V34,$V34*$F34)),""),"")</x:f>
      </x:c>
      <x:c r="AA34" s="28" t="str">
        <x:f>IFERROR(IF(OR($K34="",$K34=0,$Y34=""),"",($Y34-$K34)/$K34),"")</x:f>
      </x:c>
      <x:c r="AB34" s="37" t="str">
        <x:f>IFERROR(IF($N34="CẦN DUYỆT","DUYỆT MAP",IF($N34="CHƯA CÓ GIÁ LẺ","THIẾU GIÁ",IF(OR($K34="",$K34=0,$Y34=""),"OK",IF(ABS(($Y34-$K34)/$K34)&gt;0.15,"LỆCH GIÁ CŨ","OK")))),"OK")</x:f>
        <x:v>DUYỆT MAP</x:v>
      </x:c>
      <x:c r="AC34" s="30" t="str">
        <x:v>score=0.754; gap=0.458; phương án 2=Sương sáo đen mota</x:v>
      </x:c>
      <x:c r="AD34" s="37" t="str">
        <x:v>MUDDMA</x:v>
      </x:c>
      <x:c r="AE34" s="38" t="str">
        <x:v>MUDDMAT</x:v>
      </x:c>
      <x:c r="AF34" s="123" t="n">
        <x:v>0</x:v>
      </x:c>
      <x:c r="AG34" s="112" t="str">
        <x:v>g</x:v>
      </x:c>
      <x:c r="AH34" s="112" t="str">
        <x:v>BỊCH</x:v>
      </x:c>
      <x:c r="AI34" s="112" t="str">
        <x:v>0 g / BỊCH</x:v>
      </x:c>
      <x:c r="AJ34" s="120" t="n">
        <x:v>580000</x:v>
      </x:c>
      <x:c r="AK34" s="120"/>
      <x:c r="AL34" s="120" t="n">
        <x:v>580000</x:v>
      </x:c>
      <x:c r="AM34" s="112" t="str">
        <x:v>BỔ SUNG GIÁ</x:v>
      </x:c>
      <x:c r="AN34" s="126" t="n">
        <x:v>56</x:v>
      </x:c>
      <x:c r="AO34" s="126" t="n">
        <x:v>57</x:v>
      </x:c>
      <x:c r="AP34" s="113" t="str">
        <x:v>40 BỊCH / THÙNG</x:v>
      </x:c>
    </x:row>
    <x:row r="35">
      <x:c r="A35" s="71" t="str">
        <x:v>SỐT SAIJANG</x:v>
      </x:c>
      <x:c r="B35" s="30" t="str">
        <x:v>SỐT SAIJANG - THÙNG</x:v>
      </x:c>
      <x:c r="C35" s="37" t="str">
        <x:v>SAIJANG</x:v>
      </x:c>
      <x:c r="D35" s="37" t="str">
        <x:v>SAIJANGT</x:v>
      </x:c>
      <x:c r="E35" s="37" t="str">
        <x:v>SAIJANGT</x:v>
      </x:c>
      <x:c r="F35" s="37" t="n">
        <x:v>20</x:v>
      </x:c>
      <x:c r="G35" s="37" t="n">
        <x:v>20</x:v>
      </x:c>
      <x:c r="H35" s="37" t="str">
        <x:v>kg</x:v>
      </x:c>
      <x:c r="I35" s="37" t="str">
        <x:v>THÙNG</x:v>
      </x:c>
      <x:c r="J35" s="59" t="n">
        <x:v>0</x:v>
      </x:c>
      <x:c r="K35" s="59" t="n">
        <x:v>0</x:v>
      </x:c>
      <x:c r="L35" s="59" t="n">
        <x:v>0</x:v>
      </x:c>
      <x:c r="M35" s="37" t="str">
        <x:v>Sốt topping</x:v>
      </x:c>
      <x:c r="N35" s="37" t="str">
        <x:v>CHƯA CÓ GIÁ LẺ</x:v>
      </x:c>
      <x:c r="O35" s="61" t="n">
        <x:v>0.047</x:v>
      </x:c>
      <x:c r="P35" s="37"/>
      <x:c r="Q35" s="30"/>
      <x:c r="R35" s="30"/>
      <x:c r="S35" s="30"/>
      <x:c r="T35" s="37"/>
      <x:c r="U35" s="59"/>
      <x:c r="V35" s="59"/>
      <x:c r="W35" s="117" t="n">
        <x:v>53000</x:v>
      </x:c>
      <x:c r="X35" s="59" t="str">
        <x:f>IFERROR(IF(OR($N35="ĐÃ GHÉP - AUTO",$N35="ĐÃ GHÉP - QUY TẮC"),IF($V35="","",IF($T35="THÙNG",$V35/$F35,$V35)),""),"")</x:f>
      </x:c>
      <x:c r="Y35" s="117" t="n">
        <x:f>IF(OR(W35="",F35=""),"",W35*F35)</x:f>
        <x:v>1060000</x:v>
      </x:c>
      <x:c r="Z35" s="59" t="str">
        <x:f>IFERROR(IF(OR($N35="ĐÃ GHÉP - AUTO",$N35="ĐÃ GHÉP - QUY TẮC"),IF($V35="","",IF($T35="THÙNG",$V35,$V35*$F35)),""),"")</x:f>
      </x:c>
      <x:c r="AA35" s="28" t="str">
        <x:f>IFERROR(IF(OR($K35="",$K35=0,$Y35=""),"",($Y35-$K35)/$K35),"")</x:f>
      </x:c>
      <x:c r="AB35" s="37" t="str">
        <x:f>IFERROR(IF($N35="CẦN DUYỆT","DUYỆT MAP",IF($N35="CHƯA CÓ GIÁ LẺ","THIẾU GIÁ",IF(OR($K35="",$K35=0,$Y35=""),"OK",IF(ABS(($Y35-$K35)/$K35)&gt;0.15,"LỆCH GIÁ CŨ","OK")))),"OK")</x:f>
        <x:v>THIẾU GIÁ</x:v>
      </x:c>
      <x:c r="AC35" s="30" t="str">
        <x:v>ứng viên gần nhất=Sốt Douxian các loại; score=0.047</x:v>
      </x:c>
      <x:c r="AD35" s="37" t="str">
        <x:v>SAIJANG</x:v>
      </x:c>
      <x:c r="AE35" s="38" t="str">
        <x:v>SAIJANGT</x:v>
      </x:c>
      <x:c r="AF35" s="123" t="n">
        <x:v>1</x:v>
      </x:c>
      <x:c r="AG35" s="112" t="str">
        <x:v>kg</x:v>
      </x:c>
      <x:c r="AH35" s="112" t="str">
        <x:v>GÓI</x:v>
      </x:c>
      <x:c r="AI35" s="112" t="str">
        <x:v>1 kg / GÓI</x:v>
      </x:c>
      <x:c r="AJ35" s="120" t="n">
        <x:v>53000</x:v>
      </x:c>
      <x:c r="AK35" s="120"/>
      <x:c r="AL35" s="120" t="n">
        <x:v>53000</x:v>
      </x:c>
      <x:c r="AM35" s="112" t="str">
        <x:v>BỔ SUNG GIÁ</x:v>
      </x:c>
      <x:c r="AN35" s="126" t="n">
        <x:v>484</x:v>
      </x:c>
      <x:c r="AO35" s="126" t="n">
        <x:v>485</x:v>
      </x:c>
      <x:c r="AP35" s="113" t="str">
        <x:v>20 GÓI / THÙNG</x:v>
      </x:c>
    </x:row>
    <x:row r="36">
      <x:c r="A36" s="71" t="str">
        <x:v>ĐẬU HỦ PHO MAI NGON</x:v>
      </x:c>
      <x:c r="B36" s="30" t="str">
        <x:v>ĐẬU HỦ PHO MAI NGON - THÙNG</x:v>
      </x:c>
      <x:c r="C36" s="37" t="str">
        <x:v>DHUPMN</x:v>
      </x:c>
      <x:c r="D36" s="37" t="str">
        <x:v>DHUPMNT</x:v>
      </x:c>
      <x:c r="E36" s="37" t="str">
        <x:v>DHUPMNT</x:v>
      </x:c>
      <x:c r="F36" s="37" t="n">
        <x:v>20</x:v>
      </x:c>
      <x:c r="G36" s="37" t="n">
        <x:v>10000</x:v>
      </x:c>
      <x:c r="H36" s="37" t="str">
        <x:v>g</x:v>
      </x:c>
      <x:c r="I36" s="37" t="str">
        <x:v>THÙNG</x:v>
      </x:c>
      <x:c r="J36" s="59" t="n">
        <x:v>0</x:v>
      </x:c>
      <x:c r="K36" s="59" t="n">
        <x:v>0</x:v>
      </x:c>
      <x:c r="L36" s="59" t="n">
        <x:v>0</x:v>
      </x:c>
      <x:c r="M36" s="37" t="str">
        <x:v>Thực phẩm đông lạnh</x:v>
      </x:c>
      <x:c r="N36" s="37" t="str">
        <x:v>ĐÃ GHÉP - QUY TẮC</x:v>
      </x:c>
      <x:c r="O36" s="61" t="n">
        <x:v>0.99</x:v>
      </x:c>
      <x:c r="P36" s="37" t="n">
        <x:v>262</x:v>
      </x:c>
      <x:c r="Q36" s="30" t="str">
        <x:v>Đậu hủ phomai ngon</x:v>
      </x:c>
      <x:c r="R36" s="30" t="str"/>
      <x:c r="S36" s="30" t="str">
        <x:v>bịch</x:v>
      </x:c>
      <x:c r="T36" s="37" t="str">
        <x:v>ĐƠN VỊ</x:v>
      </x:c>
      <x:c r="U36" s="59" t="n">
        <x:v>48000</x:v>
      </x:c>
      <x:c r="V36" s="59"/>
      <x:c r="W36" s="117" t="n">
        <x:v>48000</x:v>
      </x:c>
      <x:c r="X36" s="59" t="str">
        <x:f>IFERROR(IF(OR($N36="ĐÃ GHÉP - AUTO",$N36="ĐÃ GHÉP - QUY TẮC"),IF($V36="","",IF($T36="THÙNG",$V36/$F36,$V36)),""),"")</x:f>
      </x:c>
      <x:c r="Y36" s="117" t="n">
        <x:f>IF(OR(W36="",F36=""),"",W36*F36)</x:f>
        <x:v>960000</x:v>
      </x:c>
      <x:c r="Z36" s="59" t="str">
        <x:f>IFERROR(IF(OR($N36="ĐÃ GHÉP - AUTO",$N36="ĐÃ GHÉP - QUY TẮC"),IF($V36="","",IF($T36="THÙNG",$V36,$V36*$F36)),""),"")</x:f>
      </x:c>
      <x:c r="AA36" s="28" t="str">
        <x:f>IFERROR(IF(OR($K36="",$K36=0,$Y36=""),"",($Y36-$K36)/$K36),"")</x:f>
      </x:c>
      <x:c r="AB36" s="37" t="str">
        <x:f>IFERROR(IF($N36="CẦN DUYỆT","DUYỆT MAP",IF($N36="CHƯA CÓ GIÁ LẺ","THIẾU GIÁ",IF(OR($K36="",$K36=0,$Y36=""),"OK",IF(ABS(($Y36-$K36)/$K36)&gt;0.15,"LỆCH GIÁ CŨ","OK")))),"OK")</x:f>
        <x:v>OK</x:v>
      </x:c>
      <x:c r="AC36" s="30" t="str">
        <x:v>Khớp đúng tên sản phẩm</x:v>
      </x:c>
      <x:c r="AD36" s="37" t="str">
        <x:v>DHUPMN</x:v>
      </x:c>
      <x:c r="AE36" s="38" t="str">
        <x:v>DHUPMNT</x:v>
      </x:c>
      <x:c r="AF36" s="123" t="n">
        <x:v>500</x:v>
      </x:c>
      <x:c r="AG36" s="112" t="str">
        <x:v>g</x:v>
      </x:c>
      <x:c r="AH36" s="112" t="str">
        <x:v>GÓI</x:v>
      </x:c>
      <x:c r="AI36" s="112" t="str">
        <x:v>500 g / GÓI</x:v>
      </x:c>
      <x:c r="AJ36" s="120" t="n">
        <x:v>48000</x:v>
      </x:c>
      <x:c r="AK36" s="120" t="n">
        <x:v>48000</x:v>
      </x:c>
      <x:c r="AL36" s="120" t="n">
        <x:v>48000</x:v>
      </x:c>
      <x:c r="AM36" s="112" t="str">
        <x:v>GIỮ NGUYÊN - ĐÃ KHỚP</x:v>
      </x:c>
      <x:c r="AN36" s="126" t="n">
        <x:v>1050</x:v>
      </x:c>
      <x:c r="AO36" s="126" t="n">
        <x:v>1051</x:v>
      </x:c>
      <x:c r="AP36" s="113" t="str">
        <x:v>20 GÓI / THÙNG</x:v>
      </x:c>
    </x:row>
    <x:row r="37">
      <x:c r="A37" s="71" t="str">
        <x:v>BODU XOÀI</x:v>
      </x:c>
      <x:c r="B37" s="30" t="str">
        <x:v>BODU XOÀI - THÙNG</x:v>
      </x:c>
      <x:c r="C37" s="37" t="str">
        <x:v>BODUXO</x:v>
      </x:c>
      <x:c r="D37" s="37" t="str">
        <x:v>BODUXOT</x:v>
      </x:c>
      <x:c r="E37" s="37" t="str">
        <x:v>BODUXOT</x:v>
      </x:c>
      <x:c r="F37" s="37" t="n">
        <x:v>12</x:v>
      </x:c>
      <x:c r="G37" s="37" t="n">
        <x:v>17000</x:v>
      </x:c>
      <x:c r="H37" s="37" t="str">
        <x:v>g</x:v>
      </x:c>
      <x:c r="I37" s="37" t="str">
        <x:v>THÙNG</x:v>
      </x:c>
      <x:c r="J37" s="59" t="n">
        <x:v>0</x:v>
      </x:c>
      <x:c r="K37" s="59" t="n">
        <x:v>0</x:v>
      </x:c>
      <x:c r="L37" s="59" t="n">
        <x:v>0</x:v>
      </x:c>
      <x:c r="M37" s="37" t="str">
        <x:v>Khác</x:v>
      </x:c>
      <x:c r="N37" s="37" t="str">
        <x:v>CHƯA CÓ GIÁ LẺ</x:v>
      </x:c>
      <x:c r="O37" s="61" t="n">
        <x:v>0.622</x:v>
      </x:c>
      <x:c r="P37" s="37"/>
      <x:c r="Q37" s="30"/>
      <x:c r="R37" s="30"/>
      <x:c r="S37" s="30"/>
      <x:c r="T37" s="37"/>
      <x:c r="U37" s="59"/>
      <x:c r="V37" s="59"/>
      <x:c r="W37" s="117"/>
      <x:c r="X37" s="59" t="str">
        <x:f>IFERROR(IF(OR($N37="ĐÃ GHÉP - AUTO",$N37="ĐÃ GHÉP - QUY TẮC"),IF($V37="","",IF($T37="THÙNG",$V37/$F37,$V37)),""),"")</x:f>
      </x:c>
      <x:c r="Y37" s="117" t="str">
        <x:f>IF(OR(W37="",F37=""),"",W37*F37)</x:f>
      </x:c>
      <x:c r="Z37" s="59" t="str">
        <x:f>IFERROR(IF(OR($N37="ĐÃ GHÉP - AUTO",$N37="ĐÃ GHÉP - QUY TẮC"),IF($V37="","",IF($T37="THÙNG",$V37,$V37*$F37)),""),"")</x:f>
      </x:c>
      <x:c r="AA37" s="28" t="str">
        <x:f>IFERROR(IF(OR($K37="",$K37=0,$Y37=""),"",($Y37-$K37)/$K37),"")</x:f>
      </x:c>
      <x:c r="AB37" s="37" t="str">
        <x:f>IFERROR(IF($N37="CẦN DUYỆT","DUYỆT MAP",IF($N37="CHƯA CÓ GIÁ LẺ","THIẾU GIÁ",IF(OR($K37="",$K37=0,$Y37=""),"OK",IF(ABS(($Y37-$K37)/$K37)&gt;0.15,"LỆCH GIÁ CŨ","OK")))),"OK")</x:f>
        <x:v>THIẾU GIÁ</x:v>
      </x:c>
      <x:c r="AC37" s="30" t="str">
        <x:v>ứng viên gần nhất=Sinh Tố Gold Xoài; score=0.622</x:v>
      </x:c>
      <x:c r="AD37" s="37" t="str">
        <x:v>BODUXO</x:v>
      </x:c>
      <x:c r="AE37" s="38" t="str">
        <x:v>BODUXOT</x:v>
      </x:c>
      <x:c r="AF37" s="123" t="n">
        <x:v>1400</x:v>
      </x:c>
      <x:c r="AG37" s="112" t="str">
        <x:v>g</x:v>
      </x:c>
      <x:c r="AH37" s="112" t="str">
        <x:v>HỦ</x:v>
      </x:c>
      <x:c r="AI37" s="112" t="str">
        <x:v>1400 g / HỦ</x:v>
      </x:c>
      <x:c r="AJ37" s="120" t="n">
        <x:v>0</x:v>
      </x:c>
      <x:c r="AK37" s="120"/>
      <x:c r="AL37" s="120"/>
      <x:c r="AM37" s="112" t="str">
        <x:v>DS SP GIÁ 0 - VẪN THIẾU GIÁ</x:v>
      </x:c>
      <x:c r="AN37" s="126" t="n">
        <x:v>62</x:v>
      </x:c>
      <x:c r="AO37" s="126" t="n">
        <x:v>63</x:v>
      </x:c>
      <x:c r="AP37" s="113" t="str">
        <x:v>12 HỦ / THÙNG</x:v>
      </x:c>
    </x:row>
    <x:row r="38">
      <x:c r="A38" s="71" t="str">
        <x:v>SIRO CASALANCA MÃNG CẦU</x:v>
      </x:c>
      <x:c r="B38" s="30" t="str">
        <x:v>SIRO CASALANCA MÃNG CẦU - THÙNG</x:v>
      </x:c>
      <x:c r="C38" s="37" t="str">
        <x:v>CSAMCA</x:v>
      </x:c>
      <x:c r="D38" s="37" t="str">
        <x:v>CSAMCAT</x:v>
      </x:c>
      <x:c r="E38" s="37" t="str">
        <x:v>CSAMCAT</x:v>
      </x:c>
      <x:c r="F38" s="37" t="n">
        <x:v>12</x:v>
      </x:c>
      <x:c r="G38" s="37" t="n">
        <x:v>14400</x:v>
      </x:c>
      <x:c r="H38" s="37" t="str">
        <x:v>g</x:v>
      </x:c>
      <x:c r="I38" s="37" t="str">
        <x:v>THÙNG</x:v>
      </x:c>
      <x:c r="J38" s="59" t="n">
        <x:v>0</x:v>
      </x:c>
      <x:c r="K38" s="59" t="n">
        <x:v>0</x:v>
      </x:c>
      <x:c r="L38" s="59" t="n">
        <x:v>0</x:v>
      </x:c>
      <x:c r="M38" s="37" t="str">
        <x:v>Siro</x:v>
      </x:c>
      <x:c r="N38" s="37" t="str">
        <x:v>CHƯA CÓ GIÁ LẺ</x:v>
      </x:c>
      <x:c r="O38" s="61" t="n">
        <x:v>0.059</x:v>
      </x:c>
      <x:c r="P38" s="37"/>
      <x:c r="Q38" s="30"/>
      <x:c r="R38" s="30"/>
      <x:c r="S38" s="30"/>
      <x:c r="T38" s="37"/>
      <x:c r="U38" s="59"/>
      <x:c r="V38" s="59"/>
      <x:c r="W38" s="117"/>
      <x:c r="X38" s="59" t="str">
        <x:f>IFERROR(IF(OR($N38="ĐÃ GHÉP - AUTO",$N38="ĐÃ GHÉP - QUY TẮC"),IF($V38="","",IF($T38="THÙNG",$V38/$F38,$V38)),""),"")</x:f>
      </x:c>
      <x:c r="Y38" s="117" t="str">
        <x:f>IF(OR(W38="",F38=""),"",W38*F38)</x:f>
      </x:c>
      <x:c r="Z38" s="59" t="str">
        <x:f>IFERROR(IF(OR($N38="ĐÃ GHÉP - AUTO",$N38="ĐÃ GHÉP - QUY TẮC"),IF($V38="","",IF($T38="THÙNG",$V38,$V38*$F38)),""),"")</x:f>
      </x:c>
      <x:c r="AA38" s="28" t="str">
        <x:f>IFERROR(IF(OR($K38="",$K38=0,$Y38=""),"",($Y38-$K38)/$K38),"")</x:f>
      </x:c>
      <x:c r="AB38" s="37" t="str">
        <x:f>IFERROR(IF($N38="CẦN DUYỆT","DUYỆT MAP",IF($N38="CHƯA CÓ GIÁ LẺ","THIẾU GIÁ",IF(OR($K38="",$K38=0,$Y38=""),"OK",IF(ABS(($Y38-$K38)/$K38)&gt;0.15,"LỆCH GIÁ CŨ","OK")))),"OK")</x:f>
        <x:v>THIẾU GIÁ</x:v>
      </x:c>
      <x:c r="AC38" s="30" t="str">
        <x:v>ứng viên gần nhất=Siro Sâm Dứa Vina; score=0.059</x:v>
      </x:c>
      <x:c r="AD38" s="37" t="str">
        <x:v>CSAMCA</x:v>
      </x:c>
      <x:c r="AE38" s="38" t="str">
        <x:v>CSAMCAT</x:v>
      </x:c>
      <x:c r="AF38" s="123" t="n">
        <x:v>1200</x:v>
      </x:c>
      <x:c r="AG38" s="112" t="str">
        <x:v>g</x:v>
      </x:c>
      <x:c r="AH38" s="112" t="str">
        <x:v>CHAI</x:v>
      </x:c>
      <x:c r="AI38" s="112" t="str">
        <x:v>1200 g / CHAI</x:v>
      </x:c>
      <x:c r="AJ38" s="120" t="n">
        <x:v>0</x:v>
      </x:c>
      <x:c r="AK38" s="120"/>
      <x:c r="AL38" s="120"/>
      <x:c r="AM38" s="112" t="str">
        <x:v>DS SP GIÁ 0 - VẪN THIẾU GIÁ</x:v>
      </x:c>
      <x:c r="AN38" s="126" t="n">
        <x:v>64</x:v>
      </x:c>
      <x:c r="AO38" s="126" t="n">
        <x:v>65</x:v>
      </x:c>
      <x:c r="AP38" s="113" t="str">
        <x:v>12 CHAI / THÙNG</x:v>
      </x:c>
    </x:row>
    <x:row r="39">
      <x:c r="A39" s="71" t="str">
        <x:v>SIRO CASALANCA TẮC</x:v>
      </x:c>
      <x:c r="B39" s="30" t="str">
        <x:v>SIRO CASALANCA TẮC - THÙNG</x:v>
      </x:c>
      <x:c r="C39" s="37" t="str">
        <x:v>CSATAC</x:v>
      </x:c>
      <x:c r="D39" s="37" t="str">
        <x:v>CSATACT</x:v>
      </x:c>
      <x:c r="E39" s="37" t="str">
        <x:v>CSATACT</x:v>
      </x:c>
      <x:c r="F39" s="37" t="n">
        <x:v>12</x:v>
      </x:c>
      <x:c r="G39" s="37" t="n">
        <x:v>16000</x:v>
      </x:c>
      <x:c r="H39" s="37" t="str">
        <x:v>g</x:v>
      </x:c>
      <x:c r="I39" s="37" t="str">
        <x:v>THÙNG</x:v>
      </x:c>
      <x:c r="J39" s="59" t="n">
        <x:v>0</x:v>
      </x:c>
      <x:c r="K39" s="59" t="n">
        <x:v>0</x:v>
      </x:c>
      <x:c r="L39" s="59" t="n">
        <x:v>0</x:v>
      </x:c>
      <x:c r="M39" s="37" t="str">
        <x:v>Siro</x:v>
      </x:c>
      <x:c r="N39" s="37" t="str">
        <x:v>CHƯA CÓ GIÁ LẺ</x:v>
      </x:c>
      <x:c r="O39" s="61" t="n">
        <x:v>0.066</x:v>
      </x:c>
      <x:c r="P39" s="37"/>
      <x:c r="Q39" s="30"/>
      <x:c r="R39" s="30"/>
      <x:c r="S39" s="30"/>
      <x:c r="T39" s="37"/>
      <x:c r="U39" s="59"/>
      <x:c r="V39" s="59"/>
      <x:c r="W39" s="117"/>
      <x:c r="X39" s="59" t="str">
        <x:f>IFERROR(IF(OR($N39="ĐÃ GHÉP - AUTO",$N39="ĐÃ GHÉP - QUY TẮC"),IF($V39="","",IF($T39="THÙNG",$V39/$F39,$V39)),""),"")</x:f>
      </x:c>
      <x:c r="Y39" s="117" t="str">
        <x:f>IF(OR(W39="",F39=""),"",W39*F39)</x:f>
      </x:c>
      <x:c r="Z39" s="59" t="str">
        <x:f>IFERROR(IF(OR($N39="ĐÃ GHÉP - AUTO",$N39="ĐÃ GHÉP - QUY TẮC"),IF($V39="","",IF($T39="THÙNG",$V39,$V39*$F39)),""),"")</x:f>
      </x:c>
      <x:c r="AA39" s="28" t="str">
        <x:f>IFERROR(IF(OR($K39="",$K39=0,$Y39=""),"",($Y39-$K39)/$K39),"")</x:f>
      </x:c>
      <x:c r="AB39" s="37" t="str">
        <x:f>IFERROR(IF($N39="CẦN DUYỆT","DUYỆT MAP",IF($N39="CHƯA CÓ GIÁ LẺ","THIẾU GIÁ",IF(OR($K39="",$K39=0,$Y39=""),"OK",IF(ABS(($Y39-$K39)/$K39)&gt;0.15,"LỆCH GIÁ CŨ","OK")))),"OK")</x:f>
        <x:v>THIẾU GIÁ</x:v>
      </x:c>
      <x:c r="AC39" s="30" t="str">
        <x:v>ứng viên gần nhất=Siro Changthai; score=0.066</x:v>
      </x:c>
      <x:c r="AD39" s="37" t="str">
        <x:v>CSATAC</x:v>
      </x:c>
      <x:c r="AE39" s="38" t="str">
        <x:v>CSATACT</x:v>
      </x:c>
      <x:c r="AF39" s="123" t="n">
        <x:v>1200</x:v>
      </x:c>
      <x:c r="AG39" s="112" t="str">
        <x:v>g</x:v>
      </x:c>
      <x:c r="AH39" s="112" t="str">
        <x:v>CHAI</x:v>
      </x:c>
      <x:c r="AI39" s="112" t="str">
        <x:v>1200 g / CHAI</x:v>
      </x:c>
      <x:c r="AJ39" s="120" t="n">
        <x:v>0</x:v>
      </x:c>
      <x:c r="AK39" s="120"/>
      <x:c r="AL39" s="120"/>
      <x:c r="AM39" s="112" t="str">
        <x:v>DS SP GIÁ 0 - VẪN THIẾU GIÁ</x:v>
      </x:c>
      <x:c r="AN39" s="126" t="n">
        <x:v>66</x:v>
      </x:c>
      <x:c r="AO39" s="126" t="n">
        <x:v>67</x:v>
      </x:c>
      <x:c r="AP39" s="113" t="str">
        <x:v>12 CHAI / THÙNG</x:v>
      </x:c>
    </x:row>
    <x:row r="40">
      <x:c r="A40" s="71" t="str">
        <x:v>SIRO A+ NHO</x:v>
      </x:c>
      <x:c r="B40" s="30" t="str">
        <x:v>SIRO A+ NHO - THÙNG</x:v>
      </x:c>
      <x:c r="C40" s="37" t="str">
        <x:v>SRANHO</x:v>
      </x:c>
      <x:c r="D40" s="37" t="str">
        <x:v>SRANHOT</x:v>
      </x:c>
      <x:c r="E40" s="37" t="str">
        <x:v>SRANHOT</x:v>
      </x:c>
      <x:c r="F40" s="37" t="n">
        <x:v>24</x:v>
      </x:c>
      <x:c r="G40" s="37" t="n">
        <x:v>16000</x:v>
      </x:c>
      <x:c r="H40" s="37" t="str">
        <x:v>g</x:v>
      </x:c>
      <x:c r="I40" s="37" t="str">
        <x:v>THÙNG</x:v>
      </x:c>
      <x:c r="J40" s="59" t="n">
        <x:v>0</x:v>
      </x:c>
      <x:c r="K40" s="59" t="n">
        <x:v>0</x:v>
      </x:c>
      <x:c r="L40" s="59" t="n">
        <x:v>0</x:v>
      </x:c>
      <x:c r="M40" s="37" t="str">
        <x:v>Siro</x:v>
      </x:c>
      <x:c r="N40" s="37" t="str">
        <x:v>CHƯA CÓ GIÁ LẺ</x:v>
      </x:c>
      <x:c r="O40" s="61" t="n">
        <x:v>0.05</x:v>
      </x:c>
      <x:c r="P40" s="37"/>
      <x:c r="Q40" s="30"/>
      <x:c r="R40" s="30"/>
      <x:c r="S40" s="30"/>
      <x:c r="T40" s="37"/>
      <x:c r="U40" s="59"/>
      <x:c r="V40" s="59"/>
      <x:c r="W40" s="117"/>
      <x:c r="X40" s="59" t="str">
        <x:f>IFERROR(IF(OR($N40="ĐÃ GHÉP - AUTO",$N40="ĐÃ GHÉP - QUY TẮC"),IF($V40="","",IF($T40="THÙNG",$V40/$F40,$V40)),""),"")</x:f>
      </x:c>
      <x:c r="Y40" s="117" t="str">
        <x:f>IF(OR(W40="",F40=""),"",W40*F40)</x:f>
      </x:c>
      <x:c r="Z40" s="59" t="str">
        <x:f>IFERROR(IF(OR($N40="ĐÃ GHÉP - AUTO",$N40="ĐÃ GHÉP - QUY TẮC"),IF($V40="","",IF($T40="THÙNG",$V40,$V40*$F40)),""),"")</x:f>
      </x:c>
      <x:c r="AA40" s="28" t="str">
        <x:f>IFERROR(IF(OR($K40="",$K40=0,$Y40=""),"",($Y40-$K40)/$K40),"")</x:f>
      </x:c>
      <x:c r="AB40" s="37" t="str">
        <x:f>IFERROR(IF($N40="CẦN DUYỆT","DUYỆT MAP",IF($N40="CHƯA CÓ GIÁ LẺ","THIẾU GIÁ",IF(OR($K40="",$K40=0,$Y40=""),"OK",IF(ABS(($Y40-$K40)/$K40)&gt;0.15,"LỆCH GIÁ CŨ","OK")))),"OK")</x:f>
        <x:v>THIẾU GIÁ</x:v>
      </x:c>
      <x:c r="AC40" s="30" t="str">
        <x:v>ứng viên gần nhất=Siro Changthai; score=0.050</x:v>
      </x:c>
      <x:c r="AD40" s="37" t="str">
        <x:v>SRANHO</x:v>
      </x:c>
      <x:c r="AE40" s="38" t="str">
        <x:v>SRANHOT</x:v>
      </x:c>
      <x:c r="AF40" s="123" t="n">
        <x:v>650</x:v>
      </x:c>
      <x:c r="AG40" s="112" t="str">
        <x:v>g</x:v>
      </x:c>
      <x:c r="AH40" s="112" t="str">
        <x:v>CHAI</x:v>
      </x:c>
      <x:c r="AI40" s="112" t="str">
        <x:v>650 g / CHAI</x:v>
      </x:c>
      <x:c r="AJ40" s="120" t="n">
        <x:v>0</x:v>
      </x:c>
      <x:c r="AK40" s="120"/>
      <x:c r="AL40" s="120"/>
      <x:c r="AM40" s="112" t="str">
        <x:v>DS SP GIÁ 0 - VẪN THIẾU GIÁ</x:v>
      </x:c>
      <x:c r="AN40" s="126" t="n">
        <x:v>68</x:v>
      </x:c>
      <x:c r="AO40" s="126" t="n">
        <x:v>69</x:v>
      </x:c>
      <x:c r="AP40" s="113" t="str">
        <x:v>24 CHAI / THÙNG</x:v>
      </x:c>
    </x:row>
    <x:row r="41">
      <x:c r="A41" s="71" t="str">
        <x:v>SIRO TRÒN DÂU</x:v>
      </x:c>
      <x:c r="B41" s="30" t="str">
        <x:v>SIRO TRÒN DÂU - THÙNG</x:v>
      </x:c>
      <x:c r="C41" s="37" t="str">
        <x:v>SRDAUT</x:v>
      </x:c>
      <x:c r="D41" s="37" t="str">
        <x:v>SRDAUTT</x:v>
      </x:c>
      <x:c r="E41" s="37" t="str">
        <x:v>SRDAUTT</x:v>
      </x:c>
      <x:c r="F41" s="37" t="n">
        <x:v>6</x:v>
      </x:c>
      <x:c r="G41" s="37" t="n">
        <x:v>16500</x:v>
      </x:c>
      <x:c r="H41" s="37" t="str">
        <x:v>g</x:v>
      </x:c>
      <x:c r="I41" s="37" t="str">
        <x:v>THÙNG</x:v>
      </x:c>
      <x:c r="J41" s="59" t="n">
        <x:v>0</x:v>
      </x:c>
      <x:c r="K41" s="59" t="n">
        <x:v>0</x:v>
      </x:c>
      <x:c r="L41" s="59" t="n">
        <x:v>0</x:v>
      </x:c>
      <x:c r="M41" s="37" t="str">
        <x:v>Siro</x:v>
      </x:c>
      <x:c r="N41" s="37" t="str">
        <x:v>CHƯA CÓ GIÁ LẺ</x:v>
      </x:c>
      <x:c r="O41" s="61" t="n">
        <x:v>0.509</x:v>
      </x:c>
      <x:c r="P41" s="37"/>
      <x:c r="Q41" s="30"/>
      <x:c r="R41" s="30"/>
      <x:c r="S41" s="30"/>
      <x:c r="T41" s="37"/>
      <x:c r="U41" s="59"/>
      <x:c r="V41" s="59"/>
      <x:c r="W41" s="117"/>
      <x:c r="X41" s="59" t="str">
        <x:f>IFERROR(IF(OR($N41="ĐÃ GHÉP - AUTO",$N41="ĐÃ GHÉP - QUY TẮC"),IF($V41="","",IF($T41="THÙNG",$V41/$F41,$V41)),""),"")</x:f>
      </x:c>
      <x:c r="Y41" s="117" t="str">
        <x:f>IF(OR(W41="",F41=""),"",W41*F41)</x:f>
      </x:c>
      <x:c r="Z41" s="59" t="str">
        <x:f>IFERROR(IF(OR($N41="ĐÃ GHÉP - AUTO",$N41="ĐÃ GHÉP - QUY TẮC"),IF($V41="","",IF($T41="THÙNG",$V41,$V41*$F41)),""),"")</x:f>
      </x:c>
      <x:c r="AA41" s="28" t="str">
        <x:f>IFERROR(IF(OR($K41="",$K41=0,$Y41=""),"",($Y41-$K41)/$K41),"")</x:f>
      </x:c>
      <x:c r="AB41" s="37" t="str">
        <x:f>IFERROR(IF($N41="CẦN DUYỆT","DUYỆT MAP",IF($N41="CHƯA CÓ GIÁ LẺ","THIẾU GIÁ",IF(OR($K41="",$K41=0,$Y41=""),"OK",IF(ABS(($Y41-$K41)/$K41)&gt;0.15,"LỆCH GIÁ CŨ","OK")))),"OK")</x:f>
        <x:v>THIẾU GIÁ</x:v>
      </x:c>
      <x:c r="AC41" s="30" t="str">
        <x:v>ứng viên gần nhất=Siro Douxian 2l tròn; score=0.509</x:v>
      </x:c>
      <x:c r="AD41" s="37" t="str">
        <x:v>SRDAUT</x:v>
      </x:c>
      <x:c r="AE41" s="38" t="str">
        <x:v>SRDAUTT</x:v>
      </x:c>
      <x:c r="AF41" s="123" t="n">
        <x:v>2600</x:v>
      </x:c>
      <x:c r="AG41" s="112" t="str">
        <x:v>g</x:v>
      </x:c>
      <x:c r="AH41" s="112" t="str">
        <x:v>BÌNH</x:v>
      </x:c>
      <x:c r="AI41" s="112" t="str">
        <x:v>2600 g / BÌNH</x:v>
      </x:c>
      <x:c r="AJ41" s="120" t="n">
        <x:v>0</x:v>
      </x:c>
      <x:c r="AK41" s="120"/>
      <x:c r="AL41" s="120"/>
      <x:c r="AM41" s="112" t="str">
        <x:v>DS SP GIÁ 0 - VẪN THIẾU GIÁ</x:v>
      </x:c>
      <x:c r="AN41" s="126" t="n">
        <x:v>70</x:v>
      </x:c>
      <x:c r="AO41" s="126" t="n">
        <x:v>71</x:v>
      </x:c>
      <x:c r="AP41" s="113" t="str">
        <x:v>6 BÌNH / THÙNG</x:v>
      </x:c>
    </x:row>
    <x:row r="42">
      <x:c r="A42" s="71" t="str">
        <x:v>VẢI LON THÁI</x:v>
      </x:c>
      <x:c r="B42" s="30" t="str">
        <x:v>VẢI LON THÁI - THÙNG</x:v>
      </x:c>
      <x:c r="C42" s="37" t="str">
        <x:v>VAIYOT</x:v>
      </x:c>
      <x:c r="D42" s="37" t="str">
        <x:v>VAIYOTT</x:v>
      </x:c>
      <x:c r="E42" s="37" t="str">
        <x:v>VAIYOTT</x:v>
      </x:c>
      <x:c r="F42" s="37" t="n">
        <x:v>24</x:v>
      </x:c>
      <x:c r="G42" s="37" t="n">
        <x:v>14400</x:v>
      </x:c>
      <x:c r="H42" s="37" t="str">
        <x:v>g</x:v>
      </x:c>
      <x:c r="I42" s="37" t="str">
        <x:v>THÙNG</x:v>
      </x:c>
      <x:c r="J42" s="59" t="n">
        <x:v>720000</x:v>
      </x:c>
      <x:c r="K42" s="59" t="n">
        <x:v>756000</x:v>
      </x:c>
      <x:c r="L42" s="59" t="n">
        <x:v>740000</x:v>
      </x:c>
      <x:c r="M42" s="37" t="str">
        <x:v>Trái cây hộp</x:v>
      </x:c>
      <x:c r="N42" s="37" t="str">
        <x:v>ĐÃ GHÉP - AUTO</x:v>
      </x:c>
      <x:c r="O42" s="61" t="n">
        <x:v>1</x:v>
      </x:c>
      <x:c r="P42" s="37" t="n">
        <x:v>109</x:v>
      </x:c>
      <x:c r="Q42" s="30" t="str">
        <x:v>VẢI LON THÁI</x:v>
      </x:c>
      <x:c r="R42" s="30" t="str">
        <x:v>Thùng 24 lon</x:v>
      </x:c>
      <x:c r="S42" s="30" t="str">
        <x:v>lon</x:v>
      </x:c>
      <x:c r="T42" s="37" t="str">
        <x:v>ĐƠN VỊ</x:v>
      </x:c>
      <x:c r="U42" s="59" t="n">
        <x:v>32000</x:v>
      </x:c>
      <x:c r="V42" s="59"/>
      <x:c r="W42" s="117" t="n">
        <x:v>32000</x:v>
      </x:c>
      <x:c r="X42" s="59" t="str">
        <x:f>IFERROR(IF(OR($N42="ĐÃ GHÉP - AUTO",$N42="ĐÃ GHÉP - QUY TẮC"),IF($V42="","",IF($T42="THÙNG",$V42/$F42,$V42)),""),"")</x:f>
      </x:c>
      <x:c r="Y42" s="117" t="n">
        <x:f>IF(OR(W42="",F42=""),"",W42*F42)</x:f>
        <x:v>768000</x:v>
      </x:c>
      <x:c r="Z42" s="59" t="str">
        <x:f>IFERROR(IF(OR($N42="ĐÃ GHÉP - AUTO",$N42="ĐÃ GHÉP - QUY TẮC"),IF($V42="","",IF($T42="THÙNG",$V42,$V42*$F42)),""),"")</x:f>
      </x:c>
      <x:c r="AA42" s="28" t="n">
        <x:f>IFERROR(IF(OR($K42="",$K42=0,$Y42=""),"",($Y42-$K42)/$K42),"")</x:f>
        <x:v>0.015873015873015872</x:v>
      </x:c>
      <x:c r="AB42" s="37" t="str">
        <x:f>IFERROR(IF($N42="CẦN DUYỆT","DUYỆT MAP",IF($N42="CHƯA CÓ GIÁ LẺ","THIẾU GIÁ",IF(OR($K42="",$K42=0,$Y42=""),"OK",IF(ABS(($Y42-$K42)/$K42)&gt;0.15,"LỆCH GIÁ CŨ","OK")))),"OK")</x:f>
        <x:v>OK</x:v>
      </x:c>
      <x:c r="AC42" s="30" t="str">
        <x:v>score=1.000; gap=0.464</x:v>
      </x:c>
      <x:c r="AD42" s="37" t="str">
        <x:v>VAIYOT</x:v>
      </x:c>
      <x:c r="AE42" s="38" t="str">
        <x:v>VAIYOTT</x:v>
      </x:c>
      <x:c r="AF42" s="123" t="n">
        <x:v>600</x:v>
      </x:c>
      <x:c r="AG42" s="112" t="str">
        <x:v>g</x:v>
      </x:c>
      <x:c r="AH42" s="112" t="str">
        <x:v>LON</x:v>
      </x:c>
      <x:c r="AI42" s="112" t="str">
        <x:v>600 g / LON</x:v>
      </x:c>
      <x:c r="AJ42" s="120" t="n">
        <x:v>32000</x:v>
      </x:c>
      <x:c r="AK42" s="120" t="n">
        <x:v>32000</x:v>
      </x:c>
      <x:c r="AL42" s="120" t="n">
        <x:v>32000</x:v>
      </x:c>
      <x:c r="AM42" s="112" t="str">
        <x:v>GIỮ NGUYÊN - ĐÃ KHỚP</x:v>
      </x:c>
      <x:c r="AN42" s="126" t="n">
        <x:v>73</x:v>
      </x:c>
      <x:c r="AO42" s="126" t="n">
        <x:v>74</x:v>
      </x:c>
      <x:c r="AP42" s="113" t="str">
        <x:v>24 LON / THÙNG</x:v>
      </x:c>
    </x:row>
    <x:row r="43">
      <x:c r="A43" s="71" t="str">
        <x:v>MỨT DOUXIAN DƯA LƯỚI</x:v>
      </x:c>
      <x:c r="B43" s="30" t="str">
        <x:v>MỨT DOUXIAN DƯA LƯỚI - THÙNG</x:v>
      </x:c>
      <x:c r="C43" s="37" t="str">
        <x:v>STDXDL</x:v>
      </x:c>
      <x:c r="D43" s="37" t="str">
        <x:v>STDXDLT</x:v>
      </x:c>
      <x:c r="E43" s="37" t="str">
        <x:v>STDXDLT</x:v>
      </x:c>
      <x:c r="F43" s="37" t="n">
        <x:v>12</x:v>
      </x:c>
      <x:c r="G43" s="37" t="n">
        <x:v>15600</x:v>
      </x:c>
      <x:c r="H43" s="37" t="str">
        <x:v>g</x:v>
      </x:c>
      <x:c r="I43" s="37" t="str">
        <x:v>THÙNG</x:v>
      </x:c>
      <x:c r="J43" s="59" t="n">
        <x:v>0</x:v>
      </x:c>
      <x:c r="K43" s="59" t="n">
        <x:v>0</x:v>
      </x:c>
      <x:c r="L43" s="59" t="n">
        <x:v>0</x:v>
      </x:c>
      <x:c r="M43" s="37" t="str">
        <x:v>Khác</x:v>
      </x:c>
      <x:c r="N43" s="37" t="str">
        <x:v>CHƯA CÓ GIÁ LẺ</x:v>
      </x:c>
      <x:c r="O43" s="61" t="n">
        <x:v>0.784</x:v>
      </x:c>
      <x:c r="P43" s="37"/>
      <x:c r="Q43" s="30"/>
      <x:c r="R43" s="30"/>
      <x:c r="S43" s="30"/>
      <x:c r="T43" s="37"/>
      <x:c r="U43" s="59"/>
      <x:c r="V43" s="59"/>
      <x:c r="W43" s="117"/>
      <x:c r="X43" s="59" t="str">
        <x:f>IFERROR(IF(OR($N43="ĐÃ GHÉP - AUTO",$N43="ĐÃ GHÉP - QUY TẮC"),IF($V43="","",IF($T43="THÙNG",$V43/$F43,$V43)),""),"")</x:f>
      </x:c>
      <x:c r="Y43" s="117" t="str">
        <x:f>IF(OR(W43="",F43=""),"",W43*F43)</x:f>
      </x:c>
      <x:c r="Z43" s="59" t="str">
        <x:f>IFERROR(IF(OR($N43="ĐÃ GHÉP - AUTO",$N43="ĐÃ GHÉP - QUY TẮC"),IF($V43="","",IF($T43="THÙNG",$V43,$V43*$F43)),""),"")</x:f>
      </x:c>
      <x:c r="AA43" s="28" t="str">
        <x:f>IFERROR(IF(OR($K43="",$K43=0,$Y43=""),"",($Y43-$K43)/$K43),"")</x:f>
      </x:c>
      <x:c r="AB43" s="37" t="str">
        <x:f>IFERROR(IF($N43="CẦN DUYỆT","DUYỆT MAP",IF($N43="CHƯA CÓ GIÁ LẺ","THIẾU GIÁ",IF(OR($K43="",$K43=0,$Y43=""),"OK",IF(ABS(($Y43-$K43)/$K43)&gt;0.15,"LỆCH GIÁ CŨ","OK")))),"OK")</x:f>
        <x:v>THIẾU GIÁ</x:v>
      </x:c>
      <x:c r="AC43" s="30" t="str">
        <x:v>Không dùng giá Sốt/Đường Douxian cho Mứt Douxian</x:v>
      </x:c>
      <x:c r="AD43" s="37" t="str">
        <x:v>STDXDL</x:v>
      </x:c>
      <x:c r="AE43" s="38" t="str">
        <x:v>STDXDLT</x:v>
      </x:c>
      <x:c r="AF43" s="123" t="n">
        <x:v>1300</x:v>
      </x:c>
      <x:c r="AG43" s="112" t="str">
        <x:v>g</x:v>
      </x:c>
      <x:c r="AH43" s="112" t="str">
        <x:v>CHAI</x:v>
      </x:c>
      <x:c r="AI43" s="112" t="str">
        <x:v>1300 g / CHAI</x:v>
      </x:c>
      <x:c r="AJ43" s="120" t="n">
        <x:v>0</x:v>
      </x:c>
      <x:c r="AK43" s="120"/>
      <x:c r="AL43" s="120"/>
      <x:c r="AM43" s="112" t="str">
        <x:v>DS SP GIÁ 0 - VẪN THIẾU GIÁ</x:v>
      </x:c>
      <x:c r="AN43" s="126" t="n">
        <x:v>76</x:v>
      </x:c>
      <x:c r="AO43" s="126" t="n">
        <x:v>77</x:v>
      </x:c>
      <x:c r="AP43" s="113" t="str">
        <x:v>12 CHAI / THÙNG</x:v>
      </x:c>
    </x:row>
    <x:row r="44">
      <x:c r="A44" s="71" t="str">
        <x:v>TORANI DƯA LƯỚI</x:v>
      </x:c>
      <x:c r="B44" s="30" t="str">
        <x:v>TORANI DƯA LƯỚI - THÙNG</x:v>
      </x:c>
      <x:c r="C44" s="37" t="str">
        <x:v>TORDLU</x:v>
      </x:c>
      <x:c r="D44" s="37" t="str">
        <x:v>TORDLUT</x:v>
      </x:c>
      <x:c r="E44" s="37" t="str">
        <x:v>TORDLUT</x:v>
      </x:c>
      <x:c r="F44" s="37" t="n">
        <x:v>12</x:v>
      </x:c>
      <x:c r="G44" s="37" t="n">
        <x:v>18000</x:v>
      </x:c>
      <x:c r="H44" s="37" t="str">
        <x:v>g</x:v>
      </x:c>
      <x:c r="I44" s="37" t="str">
        <x:v>THÙNG</x:v>
      </x:c>
      <x:c r="J44" s="59" t="n">
        <x:v>0</x:v>
      </x:c>
      <x:c r="K44" s="59" t="n">
        <x:v>0</x:v>
      </x:c>
      <x:c r="L44" s="59" t="n">
        <x:v>0</x:v>
      </x:c>
      <x:c r="M44" s="37" t="str">
        <x:v>Siro</x:v>
      </x:c>
      <x:c r="N44" s="37" t="str">
        <x:v>ĐÃ GHÉP - AUTO</x:v>
      </x:c>
      <x:c r="O44" s="61" t="n">
        <x:v>0.852</x:v>
      </x:c>
      <x:c r="P44" s="37" t="n">
        <x:v>4</x:v>
      </x:c>
      <x:c r="Q44" s="30" t="str">
        <x:v>Siro Torani</x:v>
      </x:c>
      <x:c r="R44" s="30" t="str">
        <x:v>Thùng 12 chai</x:v>
      </x:c>
      <x:c r="S44" s="30" t="str">
        <x:v>chai</x:v>
      </x:c>
      <x:c r="T44" s="37" t="str">
        <x:v>ĐƠN VỊ</x:v>
      </x:c>
      <x:c r="U44" s="59" t="n">
        <x:v>180000</x:v>
      </x:c>
      <x:c r="V44" s="59"/>
      <x:c r="W44" s="117" t="n">
        <x:v>180000</x:v>
      </x:c>
      <x:c r="X44" s="59" t="str">
        <x:f>IFERROR(IF(OR($N44="ĐÃ GHÉP - AUTO",$N44="ĐÃ GHÉP - QUY TẮC"),IF($V44="","",IF($T44="THÙNG",$V44/$F44,$V44)),""),"")</x:f>
      </x:c>
      <x:c r="Y44" s="117" t="n">
        <x:f>IF(OR(W44="",F44=""),"",W44*F44)</x:f>
        <x:v>2160000</x:v>
      </x:c>
      <x:c r="Z44" s="59" t="str">
        <x:f>IFERROR(IF(OR($N44="ĐÃ GHÉP - AUTO",$N44="ĐÃ GHÉP - QUY TẮC"),IF($V44="","",IF($T44="THÙNG",$V44,$V44*$F44)),""),"")</x:f>
      </x:c>
      <x:c r="AA44" s="28" t="str">
        <x:f>IFERROR(IF(OR($K44="",$K44=0,$Y44=""),"",($Y44-$K44)/$K44),"")</x:f>
      </x:c>
      <x:c r="AB44" s="37" t="str">
        <x:f>IFERROR(IF($N44="CẦN DUYỆT","DUYỆT MAP",IF($N44="CHƯA CÓ GIÁ LẺ","THIẾU GIÁ",IF(OR($K44="",$K44=0,$Y44=""),"OK",IF(ABS(($Y44-$K44)/$K44)&gt;0.15,"LỆCH GIÁ CŨ","OK")))),"OK")</x:f>
        <x:v>OK</x:v>
      </x:c>
      <x:c r="AC44" s="30" t="str">
        <x:v>score=0.852; gap=0.446</x:v>
      </x:c>
      <x:c r="AD44" s="37" t="str">
        <x:v>TORDLU</x:v>
      </x:c>
      <x:c r="AE44" s="38" t="str">
        <x:v>TORDLUT</x:v>
      </x:c>
      <x:c r="AF44" s="123" t="n">
        <x:v>1500</x:v>
      </x:c>
      <x:c r="AG44" s="112" t="str">
        <x:v>g</x:v>
      </x:c>
      <x:c r="AH44" s="112" t="str">
        <x:v>CHAI</x:v>
      </x:c>
      <x:c r="AI44" s="112" t="str">
        <x:v>1500 g / CHAI</x:v>
      </x:c>
      <x:c r="AJ44" s="120" t="n">
        <x:v>0</x:v>
      </x:c>
      <x:c r="AK44" s="120" t="n">
        <x:v>180000</x:v>
      </x:c>
      <x:c r="AL44" s="120" t="n">
        <x:v>180000</x:v>
      </x:c>
      <x:c r="AM44" s="112" t="str">
        <x:v>DS SP GIÁ 0 - GIỮ GIÁ CŨ</x:v>
      </x:c>
      <x:c r="AN44" s="126" t="n">
        <x:v>79</x:v>
      </x:c>
      <x:c r="AO44" s="126" t="n">
        <x:v>80</x:v>
      </x:c>
      <x:c r="AP44" s="113" t="str">
        <x:v>12 CHAI / THÙNG</x:v>
      </x:c>
    </x:row>
    <x:row r="45">
      <x:c r="A45" s="71" t="str">
        <x:v>SIRO CASALANCA BLUE CURACAO</x:v>
      </x:c>
      <x:c r="B45" s="30" t="str">
        <x:v>SIRO CASALANCA BLUE CURACAO - THÙNG</x:v>
      </x:c>
      <x:c r="C45" s="37" t="str">
        <x:v>CSABLU</x:v>
      </x:c>
      <x:c r="D45" s="37" t="str">
        <x:v>CSABLUT</x:v>
      </x:c>
      <x:c r="E45" s="37" t="str">
        <x:v>CSABLUT</x:v>
      </x:c>
      <x:c r="F45" s="37" t="n">
        <x:v>12</x:v>
      </x:c>
      <x:c r="G45" s="37" t="n">
        <x:v>13000</x:v>
      </x:c>
      <x:c r="H45" s="37" t="str">
        <x:v>g</x:v>
      </x:c>
      <x:c r="I45" s="37" t="str">
        <x:v>THÙNG</x:v>
      </x:c>
      <x:c r="J45" s="59" t="n">
        <x:v>0</x:v>
      </x:c>
      <x:c r="K45" s="59" t="n">
        <x:v>0</x:v>
      </x:c>
      <x:c r="L45" s="59" t="n">
        <x:v>0</x:v>
      </x:c>
      <x:c r="M45" s="37" t="str">
        <x:v>Siro</x:v>
      </x:c>
      <x:c r="N45" s="37" t="str">
        <x:v>CHƯA CÓ GIÁ LẺ</x:v>
      </x:c>
      <x:c r="O45" s="61" t="n">
        <x:v>0.06</x:v>
      </x:c>
      <x:c r="P45" s="37"/>
      <x:c r="Q45" s="30"/>
      <x:c r="R45" s="30"/>
      <x:c r="S45" s="30"/>
      <x:c r="T45" s="37"/>
      <x:c r="U45" s="59"/>
      <x:c r="V45" s="59"/>
      <x:c r="W45" s="117"/>
      <x:c r="X45" s="59" t="str">
        <x:f>IFERROR(IF(OR($N45="ĐÃ GHÉP - AUTO",$N45="ĐÃ GHÉP - QUY TẮC"),IF($V45="","",IF($T45="THÙNG",$V45/$F45,$V45)),""),"")</x:f>
      </x:c>
      <x:c r="Y45" s="117" t="str">
        <x:f>IF(OR(W45="",F45=""),"",W45*F45)</x:f>
      </x:c>
      <x:c r="Z45" s="59" t="str">
        <x:f>IFERROR(IF(OR($N45="ĐÃ GHÉP - AUTO",$N45="ĐÃ GHÉP - QUY TẮC"),IF($V45="","",IF($T45="THÙNG",$V45,$V45*$F45)),""),"")</x:f>
      </x:c>
      <x:c r="AA45" s="28" t="str">
        <x:f>IFERROR(IF(OR($K45="",$K45=0,$Y45=""),"",($Y45-$K45)/$K45),"")</x:f>
      </x:c>
      <x:c r="AB45" s="37" t="str">
        <x:f>IFERROR(IF($N45="CẦN DUYỆT","DUYỆT MAP",IF($N45="CHƯA CÓ GIÁ LẺ","THIẾU GIÁ",IF(OR($K45="",$K45=0,$Y45=""),"OK",IF(ABS(($Y45-$K45)/$K45)&gt;0.15,"LỆCH GIÁ CŨ","OK")))),"OK")</x:f>
        <x:v>THIẾU GIÁ</x:v>
      </x:c>
      <x:c r="AC45" s="30" t="str">
        <x:v>ứng viên gần nhất=Siro Sâm Dứa Vina; score=0.060</x:v>
      </x:c>
      <x:c r="AD45" s="37" t="str">
        <x:v>CSABLU</x:v>
      </x:c>
      <x:c r="AE45" s="38" t="str">
        <x:v>CSABLUT</x:v>
      </x:c>
      <x:c r="AF45" s="123" t="n">
        <x:v>1000</x:v>
      </x:c>
      <x:c r="AG45" s="112" t="str">
        <x:v>g</x:v>
      </x:c>
      <x:c r="AH45" s="112" t="str">
        <x:v>CHAI</x:v>
      </x:c>
      <x:c r="AI45" s="112" t="str">
        <x:v>1000 g / CHAI</x:v>
      </x:c>
      <x:c r="AJ45" s="120" t="n">
        <x:v>0</x:v>
      </x:c>
      <x:c r="AK45" s="120"/>
      <x:c r="AL45" s="120"/>
      <x:c r="AM45" s="112" t="str">
        <x:v>DS SP GIÁ 0 - VẪN THIẾU GIÁ</x:v>
      </x:c>
      <x:c r="AN45" s="126" t="n">
        <x:v>81</x:v>
      </x:c>
      <x:c r="AO45" s="126" t="n">
        <x:v>82</x:v>
      </x:c>
      <x:c r="AP45" s="113" t="str">
        <x:v>12 CHAI / THÙNG</x:v>
      </x:c>
    </x:row>
    <x:row r="46">
      <x:c r="A46" s="71" t="str">
        <x:v>CARISA SOCOLA</x:v>
      </x:c>
      <x:c r="B46" s="30" t="str">
        <x:v>CARISA SOCOLA - THÙNG</x:v>
      </x:c>
      <x:c r="C46" s="37" t="str">
        <x:v>CRSSCL</x:v>
      </x:c>
      <x:c r="D46" s="37" t="str">
        <x:v>CRSSCLT</x:v>
      </x:c>
      <x:c r="E46" s="37" t="str">
        <x:v>CRSSCLT</x:v>
      </x:c>
      <x:c r="F46" s="37" t="n">
        <x:v>24</x:v>
      </x:c>
      <x:c r="G46" s="37" t="n">
        <x:v>0</x:v>
      </x:c>
      <x:c r="H46" s="37" t="str">
        <x:v>g</x:v>
      </x:c>
      <x:c r="I46" s="37" t="str">
        <x:v>THÙNG</x:v>
      </x:c>
      <x:c r="J46" s="59" t="n">
        <x:v>0</x:v>
      </x:c>
      <x:c r="K46" s="59" t="n">
        <x:v>0</x:v>
      </x:c>
      <x:c r="L46" s="59" t="n">
        <x:v>0</x:v>
      </x:c>
      <x:c r="M46" s="37" t="str">
        <x:v>Siro</x:v>
      </x:c>
      <x:c r="N46" s="37" t="str">
        <x:v>ĐÃ GHÉP - AUTO</x:v>
      </x:c>
      <x:c r="O46" s="61" t="n">
        <x:v>0.872</x:v>
      </x:c>
      <x:c r="P46" s="37" t="n">
        <x:v>14</x:v>
      </x:c>
      <x:c r="Q46" s="30" t="str">
        <x:v>Siro Carisa</x:v>
      </x:c>
      <x:c r="R46" s="30" t="str">
        <x:v>Thùng 24 chai</x:v>
      </x:c>
      <x:c r="S46" s="30" t="str">
        <x:v>Chai</x:v>
      </x:c>
      <x:c r="T46" s="37" t="str">
        <x:v>ĐƠN VỊ</x:v>
      </x:c>
      <x:c r="U46" s="59" t="n">
        <x:v>30000</x:v>
      </x:c>
      <x:c r="V46" s="59"/>
      <x:c r="W46" s="117" t="n">
        <x:v>30000</x:v>
      </x:c>
      <x:c r="X46" s="59" t="str">
        <x:f>IFERROR(IF(OR($N46="ĐÃ GHÉP - AUTO",$N46="ĐÃ GHÉP - QUY TẮC"),IF($V46="","",IF($T46="THÙNG",$V46/$F46,$V46)),""),"")</x:f>
      </x:c>
      <x:c r="Y46" s="117" t="n">
        <x:f>IF(OR(W46="",F46=""),"",W46*F46)</x:f>
        <x:v>720000</x:v>
      </x:c>
      <x:c r="Z46" s="59" t="str">
        <x:f>IFERROR(IF(OR($N46="ĐÃ GHÉP - AUTO",$N46="ĐÃ GHÉP - QUY TẮC"),IF($V46="","",IF($T46="THÙNG",$V46,$V46*$F46)),""),"")</x:f>
      </x:c>
      <x:c r="AA46" s="28" t="str">
        <x:f>IFERROR(IF(OR($K46="",$K46=0,$Y46=""),"",($Y46-$K46)/$K46),"")</x:f>
      </x:c>
      <x:c r="AB46" s="37" t="str">
        <x:f>IFERROR(IF($N46="CẦN DUYỆT","DUYỆT MAP",IF($N46="CHƯA CÓ GIÁ LẺ","THIẾU GIÁ",IF(OR($K46="",$K46=0,$Y46=""),"OK",IF(ABS(($Y46-$K46)/$K46)&gt;0.15,"LỆCH GIÁ CŨ","OK")))),"OK")</x:f>
        <x:v>OK</x:v>
      </x:c>
      <x:c r="AC46" s="30" t="str">
        <x:v>score=0.872; gap=0.828</x:v>
      </x:c>
      <x:c r="AD46" s="37" t="str">
        <x:v>CRSSCL</x:v>
      </x:c>
      <x:c r="AE46" s="38" t="str">
        <x:v>CRSSCLT</x:v>
      </x:c>
      <x:c r="AF46" s="123" t="n">
        <x:v>0</x:v>
      </x:c>
      <x:c r="AG46" s="112" t="str">
        <x:v>g</x:v>
      </x:c>
      <x:c r="AH46" s="112" t="str">
        <x:v>CHAI</x:v>
      </x:c>
      <x:c r="AI46" s="112" t="str">
        <x:v>0 g / CHAI</x:v>
      </x:c>
      <x:c r="AJ46" s="120" t="n">
        <x:v>0</x:v>
      </x:c>
      <x:c r="AK46" s="120" t="n">
        <x:v>30000</x:v>
      </x:c>
      <x:c r="AL46" s="120" t="n">
        <x:v>30000</x:v>
      </x:c>
      <x:c r="AM46" s="112" t="str">
        <x:v>DS SP GIÁ 0 - GIỮ GIÁ CŨ</x:v>
      </x:c>
      <x:c r="AN46" s="126" t="n">
        <x:v>84</x:v>
      </x:c>
      <x:c r="AO46" s="126" t="n">
        <x:v>85</x:v>
      </x:c>
      <x:c r="AP46" s="113" t="str">
        <x:v>24 CHAI / THÙNG</x:v>
      </x:c>
    </x:row>
    <x:row r="47">
      <x:c r="A47" s="71" t="str">
        <x:v>TC ĐEN 5S</x:v>
      </x:c>
      <x:c r="B47" s="30" t="str">
        <x:v>TC ĐEN 5S - THÙNG</x:v>
      </x:c>
      <x:c r="C47" s="37" t="str">
        <x:v>TCDD5S</x:v>
      </x:c>
      <x:c r="D47" s="37" t="str">
        <x:v>TCDD5ST</x:v>
      </x:c>
      <x:c r="E47" s="37" t="str">
        <x:v>TCDD5ST</x:v>
      </x:c>
      <x:c r="F47" s="37" t="n">
        <x:v>10</x:v>
      </x:c>
      <x:c r="G47" s="37" t="n">
        <x:v>21000</x:v>
      </x:c>
      <x:c r="H47" s="37" t="str">
        <x:v>g</x:v>
      </x:c>
      <x:c r="I47" s="37" t="str">
        <x:v>THÙNG</x:v>
      </x:c>
      <x:c r="J47" s="59" t="n">
        <x:v>500000</x:v>
      </x:c>
      <x:c r="K47" s="59" t="n">
        <x:v>515000</x:v>
      </x:c>
      <x:c r="L47" s="59" t="n">
        <x:v>0</x:v>
      </x:c>
      <x:c r="M47" s="37" t="str">
        <x:v>Trân châu</x:v>
      </x:c>
      <x:c r="N47" s="37" t="str">
        <x:v>CHƯA CÓ GIÁ LẺ</x:v>
      </x:c>
      <x:c r="O47" s="61" t="n">
        <x:v>0.498</x:v>
      </x:c>
      <x:c r="P47" s="37"/>
      <x:c r="Q47" s="30"/>
      <x:c r="R47" s="30"/>
      <x:c r="S47" s="30"/>
      <x:c r="T47" s="37"/>
      <x:c r="U47" s="59"/>
      <x:c r="V47" s="59"/>
      <x:c r="W47" s="117" t="n">
        <x:v>52000</x:v>
      </x:c>
      <x:c r="X47" s="59" t="str">
        <x:f>IFERROR(IF(OR($N47="ĐÃ GHÉP - AUTO",$N47="ĐÃ GHÉP - QUY TẮC"),IF($V47="","",IF($T47="THÙNG",$V47/$F47,$V47)),""),"")</x:f>
      </x:c>
      <x:c r="Y47" s="117" t="n">
        <x:f>IF(OR(W47="",F47=""),"",W47*F47)</x:f>
        <x:v>520000</x:v>
      </x:c>
      <x:c r="Z47" s="59" t="str">
        <x:f>IFERROR(IF(OR($N47="ĐÃ GHÉP - AUTO",$N47="ĐÃ GHÉP - QUY TẮC"),IF($V47="","",IF($T47="THÙNG",$V47,$V47*$F47)),""),"")</x:f>
      </x:c>
      <x:c r="AA47" s="28" t="n">
        <x:f>IFERROR(IF(OR($K47="",$K47=0,$Y47=""),"",($Y47-$K47)/$K47),"")</x:f>
        <x:v>0.009708737864077669</x:v>
      </x:c>
      <x:c r="AB47" s="37" t="str">
        <x:f>IFERROR(IF($N47="CẦN DUYỆT","DUYỆT MAP",IF($N47="CHƯA CÓ GIÁ LẺ","THIẾU GIÁ",IF(OR($K47="",$K47=0,$Y47=""),"OK",IF(ABS(($Y47-$K47)/$K47)&gt;0.15,"LỆCH GIÁ CŨ","OK")))),"OK")</x:f>
        <x:v>THIẾU GIÁ</x:v>
      </x:c>
      <x:c r="AC47" s="30" t="str">
        <x:v>ứng viên gần nhất=Tc đường đen Gia Uy; score=0.498</x:v>
      </x:c>
      <x:c r="AD47" s="37" t="str">
        <x:v>TCDD5S</x:v>
      </x:c>
      <x:c r="AE47" s="38" t="str">
        <x:v>TCDD5ST</x:v>
      </x:c>
      <x:c r="AF47" s="123" t="n">
        <x:v>2100</x:v>
      </x:c>
      <x:c r="AG47" s="112" t="str">
        <x:v>g</x:v>
      </x:c>
      <x:c r="AH47" s="112" t="str">
        <x:v>GÓI</x:v>
      </x:c>
      <x:c r="AI47" s="112" t="str">
        <x:v>2100 g / GÓI</x:v>
      </x:c>
      <x:c r="AJ47" s="120" t="n">
        <x:v>52000</x:v>
      </x:c>
      <x:c r="AK47" s="120"/>
      <x:c r="AL47" s="120" t="n">
        <x:v>52000</x:v>
      </x:c>
      <x:c r="AM47" s="112" t="str">
        <x:v>BỔ SUNG GIÁ</x:v>
      </x:c>
      <x:c r="AN47" s="126" t="n">
        <x:v>86</x:v>
      </x:c>
      <x:c r="AO47" s="126" t="n">
        <x:v>87</x:v>
      </x:c>
      <x:c r="AP47" s="113" t="str">
        <x:v>10 GÓI / THÙNG</x:v>
      </x:c>
    </x:row>
    <x:row r="48">
      <x:c r="A48" s="71" t="str">
        <x:v>TRÀ ONA OLONG TỨ QUÝ</x:v>
      </x:c>
      <x:c r="B48" s="30" t="str">
        <x:v>TRÀ ONA OLONG TỨ QUÝ - THÙNG</x:v>
      </x:c>
      <x:c r="C48" s="37" t="str">
        <x:v>TROLTQ</x:v>
      </x:c>
      <x:c r="D48" s="37" t="str">
        <x:v>TROLTQT</x:v>
      </x:c>
      <x:c r="E48" s="37" t="str">
        <x:v>TROLTQT</x:v>
      </x:c>
      <x:c r="F48" s="37" t="n">
        <x:v>20</x:v>
      </x:c>
      <x:c r="G48" s="37" t="n">
        <x:v>11000</x:v>
      </x:c>
      <x:c r="H48" s="37" t="str">
        <x:v>g</x:v>
      </x:c>
      <x:c r="I48" s="37" t="str">
        <x:v>THÙNG</x:v>
      </x:c>
      <x:c r="J48" s="59" t="n">
        <x:v>2640000</x:v>
      </x:c>
      <x:c r="K48" s="59" t="n">
        <x:v>0</x:v>
      </x:c>
      <x:c r="L48" s="59" t="n">
        <x:v>0</x:v>
      </x:c>
      <x:c r="M48" s="37" t="str">
        <x:v>Trà</x:v>
      </x:c>
      <x:c r="N48" s="37" t="str">
        <x:v>ĐÃ GHÉP - AUTO</x:v>
      </x:c>
      <x:c r="O48" s="61" t="n">
        <x:v>0.908</x:v>
      </x:c>
      <x:c r="P48" s="37" t="n">
        <x:v>198</x:v>
      </x:c>
      <x:c r="Q48" s="30" t="str">
        <x:v>TRÀ OLONG TỨ QUÝ</x:v>
      </x:c>
      <x:c r="R48" s="30" t="str">
        <x:v>Thùng 20 gói</x:v>
      </x:c>
      <x:c r="S48" s="30" t="str">
        <x:v>gói 500g</x:v>
      </x:c>
      <x:c r="T48" s="37" t="str">
        <x:v>ĐƠN VỊ</x:v>
      </x:c>
      <x:c r="U48" s="59" t="n">
        <x:v>153000</x:v>
      </x:c>
      <x:c r="V48" s="59"/>
      <x:c r="W48" s="117" t="n">
        <x:v>153000</x:v>
      </x:c>
      <x:c r="X48" s="59" t="str">
        <x:f>IFERROR(IF(OR($N48="ĐÃ GHÉP - AUTO",$N48="ĐÃ GHÉP - QUY TẮC"),IF($V48="","",IF($T48="THÙNG",$V48/$F48,$V48)),""),"")</x:f>
      </x:c>
      <x:c r="Y48" s="117" t="n">
        <x:f>IF(OR(W48="",F48=""),"",W48*F48)</x:f>
        <x:v>3060000</x:v>
      </x:c>
      <x:c r="Z48" s="59" t="str">
        <x:f>IFERROR(IF(OR($N48="ĐÃ GHÉP - AUTO",$N48="ĐÃ GHÉP - QUY TẮC"),IF($V48="","",IF($T48="THÙNG",$V48,$V48*$F48)),""),"")</x:f>
      </x:c>
      <x:c r="AA48" s="28" t="str">
        <x:f>IFERROR(IF(OR($K48="",$K48=0,$Y48=""),"",($Y48-$K48)/$K48),"")</x:f>
      </x:c>
      <x:c r="AB48" s="37" t="str">
        <x:f>IFERROR(IF($N48="CẦN DUYỆT","DUYỆT MAP",IF($N48="CHƯA CÓ GIÁ LẺ","THIẾU GIÁ",IF(OR($K48="",$K48=0,$Y48=""),"OK",IF(ABS(($Y48-$K48)/$K48)&gt;0.15,"LỆCH GIÁ CŨ","OK")))),"OK")</x:f>
        <x:v>OK</x:v>
      </x:c>
      <x:c r="AC48" s="30" t="str">
        <x:v>score=0.908; gap=0.415</x:v>
      </x:c>
      <x:c r="AD48" s="37" t="str">
        <x:v>TROLTQ</x:v>
      </x:c>
      <x:c r="AE48" s="38" t="str">
        <x:v>TROLTQT</x:v>
      </x:c>
      <x:c r="AF48" s="123" t="n">
        <x:v>500</x:v>
      </x:c>
      <x:c r="AG48" s="112" t="str">
        <x:v>g</x:v>
      </x:c>
      <x:c r="AH48" s="112" t="str">
        <x:v>GÓI</x:v>
      </x:c>
      <x:c r="AI48" s="112" t="str">
        <x:v>500 g / GÓI</x:v>
      </x:c>
      <x:c r="AJ48" s="120" t="n">
        <x:v>153000</x:v>
      </x:c>
      <x:c r="AK48" s="120" t="n">
        <x:v>153000</x:v>
      </x:c>
      <x:c r="AL48" s="120" t="n">
        <x:v>153000</x:v>
      </x:c>
      <x:c r="AM48" s="112" t="str">
        <x:v>GIỮ NGUYÊN - ĐÃ KHỚP</x:v>
      </x:c>
      <x:c r="AN48" s="126" t="n">
        <x:v>107</x:v>
      </x:c>
      <x:c r="AO48" s="126" t="n">
        <x:v>108</x:v>
      </x:c>
      <x:c r="AP48" s="113" t="str">
        <x:v>20 GÓI / THÙNG</x:v>
      </x:c>
    </x:row>
    <x:row r="49">
      <x:c r="A49" s="71" t="str">
        <x:v>TRÀ ONA GẠO RANG</x:v>
      </x:c>
      <x:c r="B49" s="30" t="str">
        <x:v>TRÀ ONA GẠO RANG - THÙNG</x:v>
      </x:c>
      <x:c r="C49" s="37" t="str">
        <x:v>TRGAON</x:v>
      </x:c>
      <x:c r="D49" s="37" t="str">
        <x:v>TRGAONT</x:v>
      </x:c>
      <x:c r="E49" s="37" t="str">
        <x:v>TRGAONT</x:v>
      </x:c>
      <x:c r="F49" s="37" t="n">
        <x:v>20</x:v>
      </x:c>
      <x:c r="G49" s="37" t="n">
        <x:v>11000</x:v>
      </x:c>
      <x:c r="H49" s="37" t="str">
        <x:v>g</x:v>
      </x:c>
      <x:c r="I49" s="37" t="str">
        <x:v>THÙNG</x:v>
      </x:c>
      <x:c r="J49" s="59" t="n">
        <x:v>2376000</x:v>
      </x:c>
      <x:c r="K49" s="59" t="n">
        <x:v>0</x:v>
      </x:c>
      <x:c r="L49" s="59" t="n">
        <x:v>0</x:v>
      </x:c>
      <x:c r="M49" s="37" t="str">
        <x:v>Trà</x:v>
      </x:c>
      <x:c r="N49" s="37" t="str">
        <x:v>ĐÃ GHÉP - AUTO</x:v>
      </x:c>
      <x:c r="O49" s="61" t="n">
        <x:v>0.964</x:v>
      </x:c>
      <x:c r="P49" s="37" t="n">
        <x:v>197</x:v>
      </x:c>
      <x:c r="Q49" s="30" t="str">
        <x:v>TRÀ GẠO RANG ONA</x:v>
      </x:c>
      <x:c r="R49" s="30" t="str">
        <x:v>Thùng 20 gói</x:v>
      </x:c>
      <x:c r="S49" s="30" t="str">
        <x:v>gói 500g</x:v>
      </x:c>
      <x:c r="T49" s="37" t="str">
        <x:v>ĐƠN VỊ</x:v>
      </x:c>
      <x:c r="U49" s="59" t="n">
        <x:v>127000</x:v>
      </x:c>
      <x:c r="V49" s="59"/>
      <x:c r="W49" s="117" t="n">
        <x:v>127000</x:v>
      </x:c>
      <x:c r="X49" s="59" t="str">
        <x:f>IFERROR(IF(OR($N49="ĐÃ GHÉP - AUTO",$N49="ĐÃ GHÉP - QUY TẮC"),IF($V49="","",IF($T49="THÙNG",$V49/$F49,$V49)),""),"")</x:f>
      </x:c>
      <x:c r="Y49" s="117" t="n">
        <x:f>IF(OR(W49="",F49=""),"",W49*F49)</x:f>
        <x:v>2540000</x:v>
      </x:c>
      <x:c r="Z49" s="59" t="str">
        <x:f>IFERROR(IF(OR($N49="ĐÃ GHÉP - AUTO",$N49="ĐÃ GHÉP - QUY TẮC"),IF($V49="","",IF($T49="THÙNG",$V49,$V49*$F49)),""),"")</x:f>
      </x:c>
      <x:c r="AA49" s="28" t="str">
        <x:f>IFERROR(IF(OR($K49="",$K49=0,$Y49=""),"",($Y49-$K49)/$K49),"")</x:f>
      </x:c>
      <x:c r="AB49" s="37" t="str">
        <x:f>IFERROR(IF($N49="CẦN DUYỆT","DUYỆT MAP",IF($N49="CHƯA CÓ GIÁ LẺ","THIẾU GIÁ",IF(OR($K49="",$K49=0,$Y49=""),"OK",IF(ABS(($Y49-$K49)/$K49)&gt;0.15,"LỆCH GIÁ CŨ","OK")))),"OK")</x:f>
        <x:v>OK</x:v>
      </x:c>
      <x:c r="AC49" s="30" t="str">
        <x:v>score=0.964; gap=0.433</x:v>
      </x:c>
      <x:c r="AD49" s="37" t="str">
        <x:v>TRGAON</x:v>
      </x:c>
      <x:c r="AE49" s="38" t="str">
        <x:v>TRGAONT</x:v>
      </x:c>
      <x:c r="AF49" s="123" t="n">
        <x:v>500</x:v>
      </x:c>
      <x:c r="AG49" s="112" t="str">
        <x:v>g</x:v>
      </x:c>
      <x:c r="AH49" s="112" t="str">
        <x:v>GÓI</x:v>
      </x:c>
      <x:c r="AI49" s="112" t="str">
        <x:v>500 g / GÓI</x:v>
      </x:c>
      <x:c r="AJ49" s="120" t="n">
        <x:v>127000</x:v>
      </x:c>
      <x:c r="AK49" s="120" t="n">
        <x:v>127000</x:v>
      </x:c>
      <x:c r="AL49" s="120" t="n">
        <x:v>127000</x:v>
      </x:c>
      <x:c r="AM49" s="112" t="str">
        <x:v>GIỮ NGUYÊN - ĐÃ KHỚP</x:v>
      </x:c>
      <x:c r="AN49" s="126" t="n">
        <x:v>105</x:v>
      </x:c>
      <x:c r="AO49" s="126" t="n">
        <x:v>106</x:v>
      </x:c>
      <x:c r="AP49" s="113" t="str">
        <x:v>20 GÓI / THÙNG</x:v>
      </x:c>
    </x:row>
    <x:row r="50">
      <x:c r="A50" s="71" t="str">
        <x:v>TRÀ ONA LÀI NHƯ Ý</x:v>
      </x:c>
      <x:c r="B50" s="30" t="str">
        <x:v>TRÀ ONA LÀI NHƯ Ý - THÙNG</x:v>
      </x:c>
      <x:c r="C50" s="37" t="str">
        <x:v>TRLANY</x:v>
      </x:c>
      <x:c r="D50" s="37" t="str">
        <x:v>TRLANYT</x:v>
      </x:c>
      <x:c r="E50" s="37" t="str">
        <x:v>TRLANYT</x:v>
      </x:c>
      <x:c r="F50" s="37" t="n">
        <x:v>20</x:v>
      </x:c>
      <x:c r="G50" s="37" t="n">
        <x:v>11000</x:v>
      </x:c>
      <x:c r="H50" s="37" t="str">
        <x:v>g</x:v>
      </x:c>
      <x:c r="I50" s="37" t="str">
        <x:v>THÙNG</x:v>
      </x:c>
      <x:c r="J50" s="59" t="n">
        <x:v>1394000</x:v>
      </x:c>
      <x:c r="K50" s="59" t="n">
        <x:v>0</x:v>
      </x:c>
      <x:c r="L50" s="59" t="n">
        <x:v>0</x:v>
      </x:c>
      <x:c r="M50" s="37" t="str">
        <x:v>Trà</x:v>
      </x:c>
      <x:c r="N50" s="37" t="str">
        <x:v>ĐÃ GHÉP - AUTO</x:v>
      </x:c>
      <x:c r="O50" s="61" t="n">
        <x:v>0.928</x:v>
      </x:c>
      <x:c r="P50" s="37" t="n">
        <x:v>196</x:v>
      </x:c>
      <x:c r="Q50" s="30" t="str">
        <x:v>TRÀ LÀI NHƯ Ý</x:v>
      </x:c>
      <x:c r="R50" s="30" t="str">
        <x:v>Thùng 20 gói</x:v>
      </x:c>
      <x:c r="S50" s="30" t="str">
        <x:v>gói 500g</x:v>
      </x:c>
      <x:c r="T50" s="37" t="str">
        <x:v>ĐƠN VỊ</x:v>
      </x:c>
      <x:c r="U50" s="59" t="n">
        <x:v>80000</x:v>
      </x:c>
      <x:c r="V50" s="59"/>
      <x:c r="W50" s="117" t="n">
        <x:v>80000</x:v>
      </x:c>
      <x:c r="X50" s="59" t="str">
        <x:f>IFERROR(IF(OR($N50="ĐÃ GHÉP - AUTO",$N50="ĐÃ GHÉP - QUY TẮC"),IF($V50="","",IF($T50="THÙNG",$V50/$F50,$V50)),""),"")</x:f>
      </x:c>
      <x:c r="Y50" s="117" t="n">
        <x:f>IF(OR(W50="",F50=""),"",W50*F50)</x:f>
        <x:v>1600000</x:v>
      </x:c>
      <x:c r="Z50" s="59" t="str">
        <x:f>IFERROR(IF(OR($N50="ĐÃ GHÉP - AUTO",$N50="ĐÃ GHÉP - QUY TẮC"),IF($V50="","",IF($T50="THÙNG",$V50,$V50*$F50)),""),"")</x:f>
      </x:c>
      <x:c r="AA50" s="28" t="str">
        <x:f>IFERROR(IF(OR($K50="",$K50=0,$Y50=""),"",($Y50-$K50)/$K50),"")</x:f>
      </x:c>
      <x:c r="AB50" s="37" t="str">
        <x:f>IFERROR(IF($N50="CẦN DUYỆT","DUYỆT MAP",IF($N50="CHƯA CÓ GIÁ LẺ","THIẾU GIÁ",IF(OR($K50="",$K50=0,$Y50=""),"OK",IF(ABS(($Y50-$K50)/$K50)&gt;0.15,"LỆCH GIÁ CŨ","OK")))),"OK")</x:f>
        <x:v>OK</x:v>
      </x:c>
      <x:c r="AC50" s="30" t="str">
        <x:v>score=0.928; gap=0.426</x:v>
      </x:c>
      <x:c r="AD50" s="37" t="str">
        <x:v>TRLANY</x:v>
      </x:c>
      <x:c r="AE50" s="38" t="str">
        <x:v>TRLANYT</x:v>
      </x:c>
      <x:c r="AF50" s="123" t="n">
        <x:v>500</x:v>
      </x:c>
      <x:c r="AG50" s="112" t="str">
        <x:v>g</x:v>
      </x:c>
      <x:c r="AH50" s="112" t="str">
        <x:v>GÓI</x:v>
      </x:c>
      <x:c r="AI50" s="112" t="str">
        <x:v>500 g / GÓI</x:v>
      </x:c>
      <x:c r="AJ50" s="120" t="n">
        <x:v>80000</x:v>
      </x:c>
      <x:c r="AK50" s="120" t="n">
        <x:v>80000</x:v>
      </x:c>
      <x:c r="AL50" s="120" t="n">
        <x:v>80000</x:v>
      </x:c>
      <x:c r="AM50" s="112" t="str">
        <x:v>GIỮ NGUYÊN - ĐÃ KHỚP</x:v>
      </x:c>
      <x:c r="AN50" s="126" t="n">
        <x:v>101</x:v>
      </x:c>
      <x:c r="AO50" s="126" t="n">
        <x:v>102</x:v>
      </x:c>
      <x:c r="AP50" s="113" t="str">
        <x:v>20 GÓI / THÙNG</x:v>
      </x:c>
    </x:row>
    <x:row r="51">
      <x:c r="A51" s="71" t="str">
        <x:v>TRÀ ONA LÀI CÔ GÁI</x:v>
      </x:c>
      <x:c r="B51" s="30" t="str">
        <x:v>TRÀ ONA LÀI CÔ GÁI - THÙNG</x:v>
      </x:c>
      <x:c r="C51" s="37" t="str">
        <x:v>TRLACG</x:v>
      </x:c>
      <x:c r="D51" s="37" t="str">
        <x:v>TRLACGT</x:v>
      </x:c>
      <x:c r="E51" s="37" t="str">
        <x:v>TRLACGT</x:v>
      </x:c>
      <x:c r="F51" s="37" t="n">
        <x:v>20</x:v>
      </x:c>
      <x:c r="G51" s="37" t="n">
        <x:v>11000</x:v>
      </x:c>
      <x:c r="H51" s="37" t="str">
        <x:v>g</x:v>
      </x:c>
      <x:c r="I51" s="37" t="str">
        <x:v>THÙNG</x:v>
      </x:c>
      <x:c r="J51" s="59" t="n">
        <x:v>1476000</x:v>
      </x:c>
      <x:c r="K51" s="59" t="n">
        <x:v>0</x:v>
      </x:c>
      <x:c r="L51" s="59" t="n">
        <x:v>0</x:v>
      </x:c>
      <x:c r="M51" s="37" t="str">
        <x:v>Trà</x:v>
      </x:c>
      <x:c r="N51" s="37" t="str">
        <x:v>CẦN DUYỆT</x:v>
      </x:c>
      <x:c r="O51" s="61" t="n">
        <x:v>0.923</x:v>
      </x:c>
      <x:c r="P51" s="37" t="n">
        <x:v>195</x:v>
      </x:c>
      <x:c r="Q51" s="30" t="str">
        <x:v>TRÀ LÀI CÔ GÁI</x:v>
      </x:c>
      <x:c r="R51" s="30" t="str">
        <x:v>Thùng 20 gói</x:v>
      </x:c>
      <x:c r="S51" s="30" t="str">
        <x:v>gói 500g</x:v>
      </x:c>
      <x:c r="T51" s="37" t="str">
        <x:v>ĐƠN VỊ</x:v>
      </x:c>
      <x:c r="U51" s="59" t="n">
        <x:v>84000</x:v>
      </x:c>
      <x:c r="V51" s="59"/>
      <x:c r="W51" s="117" t="n">
        <x:v>84000</x:v>
      </x:c>
      <x:c r="X51" s="59" t="str">
        <x:f>IFERROR(IF(OR($N51="ĐÃ GHÉP - AUTO",$N51="ĐÃ GHÉP - QUY TẮC"),IF($V51="","",IF($T51="THÙNG",$V51/$F51,$V51)),""),"")</x:f>
      </x:c>
      <x:c r="Y51" s="117" t="n">
        <x:f>IF(OR(W51="",F51=""),"",W51*F51)</x:f>
        <x:v>1680000</x:v>
      </x:c>
      <x:c r="Z51" s="59" t="str">
        <x:f>IFERROR(IF(OR($N51="ĐÃ GHÉP - AUTO",$N51="ĐÃ GHÉP - QUY TẮC"),IF($V51="","",IF($T51="THÙNG",$V51,$V51*$F51)),""),"")</x:f>
      </x:c>
      <x:c r="AA51" s="28" t="str">
        <x:f>IFERROR(IF(OR($K51="",$K51=0,$Y51=""),"",($Y51-$K51)/$K51),"")</x:f>
      </x:c>
      <x:c r="AB51" s="37" t="str">
        <x:f>IFERROR(IF($N51="CẦN DUYỆT","DUYỆT MAP",IF($N51="CHƯA CÓ GIÁ LẺ","THIẾU GIÁ",IF(OR($K51="",$K51=0,$Y51=""),"OK",IF(ABS(($Y51-$K51)/$K51)&gt;0.15,"LỆCH GIÁ CŨ","OK")))),"OK")</x:f>
        <x:v>DUYỆT MAP</x:v>
      </x:c>
      <x:c r="AC51" s="30" t="str">
        <x:v>score=0.923; gap=0.037; phương án 2=HỒNG TRÀ CÔ GÁI</x:v>
      </x:c>
      <x:c r="AD51" s="37" t="str">
        <x:v>TRLACG</x:v>
      </x:c>
      <x:c r="AE51" s="38" t="str">
        <x:v>TRLACGT</x:v>
      </x:c>
      <x:c r="AF51" s="123" t="n">
        <x:v>500</x:v>
      </x:c>
      <x:c r="AG51" s="112" t="str">
        <x:v>g</x:v>
      </x:c>
      <x:c r="AH51" s="112" t="str">
        <x:v>GÓI</x:v>
      </x:c>
      <x:c r="AI51" s="112" t="str">
        <x:v>500 g / GÓI</x:v>
      </x:c>
      <x:c r="AJ51" s="120" t="n">
        <x:v>84000</x:v>
      </x:c>
      <x:c r="AK51" s="120"/>
      <x:c r="AL51" s="120" t="n">
        <x:v>84000</x:v>
      </x:c>
      <x:c r="AM51" s="112" t="str">
        <x:v>BỔ SUNG GIÁ</x:v>
      </x:c>
      <x:c r="AN51" s="126" t="n">
        <x:v>109</x:v>
      </x:c>
      <x:c r="AO51" s="126" t="n">
        <x:v>110</x:v>
      </x:c>
      <x:c r="AP51" s="113" t="str">
        <x:v>20 GÓI / THÙNG</x:v>
      </x:c>
    </x:row>
    <x:row r="52">
      <x:c r="A52" s="71" t="str">
        <x:v>HỒNG TRÀ CÔ GÁI ONA</x:v>
      </x:c>
      <x:c r="B52" s="30" t="str">
        <x:v>HỒNG TRÀ CÔ GÁI ONA - THÙNG</x:v>
      </x:c>
      <x:c r="C52" s="37" t="str">
        <x:v>HTRCGA</x:v>
      </x:c>
      <x:c r="D52" s="37" t="str">
        <x:v>HTRCGAT</x:v>
      </x:c>
      <x:c r="E52" s="37" t="str">
        <x:v>HTRCGAT</x:v>
      </x:c>
      <x:c r="F52" s="37" t="n">
        <x:v>20</x:v>
      </x:c>
      <x:c r="G52" s="37" t="n">
        <x:v>10000</x:v>
      </x:c>
      <x:c r="H52" s="37" t="str">
        <x:v>g</x:v>
      </x:c>
      <x:c r="I52" s="37" t="str">
        <x:v>THÙNG</x:v>
      </x:c>
      <x:c r="J52" s="59" t="n">
        <x:v>1968000</x:v>
      </x:c>
      <x:c r="K52" s="59" t="n">
        <x:v>0</x:v>
      </x:c>
      <x:c r="L52" s="59" t="n">
        <x:v>0</x:v>
      </x:c>
      <x:c r="M52" s="37" t="str">
        <x:v>Trà</x:v>
      </x:c>
      <x:c r="N52" s="37" t="str">
        <x:v>ĐÃ GHÉP - AUTO</x:v>
      </x:c>
      <x:c r="O52" s="61" t="n">
        <x:v>0.907</x:v>
      </x:c>
      <x:c r="P52" s="37" t="n">
        <x:v>193</x:v>
      </x:c>
      <x:c r="Q52" s="30" t="str">
        <x:v>HỒNG TRÀ CÔ GÁI</x:v>
      </x:c>
      <x:c r="R52" s="30" t="str">
        <x:v>Thùng 20 gói</x:v>
      </x:c>
      <x:c r="S52" s="30" t="str">
        <x:v>gói 500g</x:v>
      </x:c>
      <x:c r="T52" s="37" t="str">
        <x:v>ĐƠN VỊ</x:v>
      </x:c>
      <x:c r="U52" s="59" t="n">
        <x:v>110000</x:v>
      </x:c>
      <x:c r="V52" s="59"/>
      <x:c r="W52" s="117" t="n">
        <x:v>110000</x:v>
      </x:c>
      <x:c r="X52" s="59" t="str">
        <x:f>IFERROR(IF(OR($N52="ĐÃ GHÉP - AUTO",$N52="ĐÃ GHÉP - QUY TẮC"),IF($V52="","",IF($T52="THÙNG",$V52/$F52,$V52)),""),"")</x:f>
      </x:c>
      <x:c r="Y52" s="117" t="n">
        <x:f>IF(OR(W52="",F52=""),"",W52*F52)</x:f>
        <x:v>2200000</x:v>
      </x:c>
      <x:c r="Z52" s="59" t="str">
        <x:f>IFERROR(IF(OR($N52="ĐÃ GHÉP - AUTO",$N52="ĐÃ GHÉP - QUY TẮC"),IF($V52="","",IF($T52="THÙNG",$V52,$V52*$F52)),""),"")</x:f>
      </x:c>
      <x:c r="AA52" s="28" t="str">
        <x:f>IFERROR(IF(OR($K52="",$K52=0,$Y52=""),"",($Y52-$K52)/$K52),"")</x:f>
      </x:c>
      <x:c r="AB52" s="37" t="str">
        <x:f>IFERROR(IF($N52="CẦN DUYỆT","DUYỆT MAP",IF($N52="CHƯA CÓ GIÁ LẺ","THIẾU GIÁ",IF(OR($K52="",$K52=0,$Y52=""),"OK",IF(ABS(($Y52-$K52)/$K52)&gt;0.15,"LỆCH GIÁ CŨ","OK")))),"OK")</x:f>
        <x:v>OK</x:v>
      </x:c>
      <x:c r="AC52" s="30" t="str">
        <x:v>score=0.907; gap=0.177</x:v>
      </x:c>
      <x:c r="AD52" s="37" t="str">
        <x:v>HTRCGA</x:v>
      </x:c>
      <x:c r="AE52" s="38" t="str">
        <x:v>HTRCGAT</x:v>
      </x:c>
      <x:c r="AF52" s="123" t="n">
        <x:v>500</x:v>
      </x:c>
      <x:c r="AG52" s="112" t="str">
        <x:v>g</x:v>
      </x:c>
      <x:c r="AH52" s="112" t="str">
        <x:v>GÓI</x:v>
      </x:c>
      <x:c r="AI52" s="112" t="str">
        <x:v>500 g / GÓI</x:v>
      </x:c>
      <x:c r="AJ52" s="120" t="n">
        <x:v>110000</x:v>
      </x:c>
      <x:c r="AK52" s="120" t="n">
        <x:v>110000</x:v>
      </x:c>
      <x:c r="AL52" s="120" t="n">
        <x:v>110000</x:v>
      </x:c>
      <x:c r="AM52" s="112" t="str">
        <x:v>GIỮ NGUYÊN - ĐÃ KHỚP</x:v>
      </x:c>
      <x:c r="AN52" s="126" t="n">
        <x:v>103</x:v>
      </x:c>
      <x:c r="AO52" s="126" t="n">
        <x:v>104</x:v>
      </x:c>
      <x:c r="AP52" s="113" t="str">
        <x:v>20 GÓI / THÙNG</x:v>
      </x:c>
    </x:row>
    <x:row r="53">
      <x:c r="A53" s="71" t="str">
        <x:v>TRÀ ONA ĐEN CÔ GÁI</x:v>
      </x:c>
      <x:c r="B53" s="30" t="str">
        <x:v>TRÀ ONA ĐEN CÔ GÁI - THÙNG</x:v>
      </x:c>
      <x:c r="C53" s="37" t="str">
        <x:v>TRDECG</x:v>
      </x:c>
      <x:c r="D53" s="37" t="str">
        <x:v>TRDECGT</x:v>
      </x:c>
      <x:c r="E53" s="37" t="str">
        <x:v>TRDECGT</x:v>
      </x:c>
      <x:c r="F53" s="37" t="n">
        <x:v>20</x:v>
      </x:c>
      <x:c r="G53" s="37" t="n">
        <x:v>11000</x:v>
      </x:c>
      <x:c r="H53" s="37" t="str">
        <x:v>g</x:v>
      </x:c>
      <x:c r="I53" s="37" t="str">
        <x:v>THÙNG</x:v>
      </x:c>
      <x:c r="J53" s="59" t="n">
        <x:v>1476000</x:v>
      </x:c>
      <x:c r="K53" s="59" t="n">
        <x:v>0</x:v>
      </x:c>
      <x:c r="L53" s="59" t="n">
        <x:v>0</x:v>
      </x:c>
      <x:c r="M53" s="37" t="str">
        <x:v>Trà</x:v>
      </x:c>
      <x:c r="N53" s="37" t="str">
        <x:v>ĐÃ GHÉP - AUTO</x:v>
      </x:c>
      <x:c r="O53" s="61" t="n">
        <x:v>0.924</x:v>
      </x:c>
      <x:c r="P53" s="37" t="n">
        <x:v>194</x:v>
      </x:c>
      <x:c r="Q53" s="30" t="str">
        <x:v>TRÀ ĐEN CÔ GÁI</x:v>
      </x:c>
      <x:c r="R53" s="30" t="str">
        <x:v>Thùng 20 gói</x:v>
      </x:c>
      <x:c r="S53" s="30" t="str">
        <x:v>gói 500g</x:v>
      </x:c>
      <x:c r="T53" s="37" t="str">
        <x:v>ĐƠN VỊ</x:v>
      </x:c>
      <x:c r="U53" s="59" t="n">
        <x:v>84000</x:v>
      </x:c>
      <x:c r="V53" s="59"/>
      <x:c r="W53" s="117" t="n">
        <x:v>84000</x:v>
      </x:c>
      <x:c r="X53" s="59" t="str">
        <x:f>IFERROR(IF(OR($N53="ĐÃ GHÉP - AUTO",$N53="ĐÃ GHÉP - QUY TẮC"),IF($V53="","",IF($T53="THÙNG",$V53/$F53,$V53)),""),"")</x:f>
      </x:c>
      <x:c r="Y53" s="117" t="n">
        <x:f>IF(OR(W53="",F53=""),"",W53*F53)</x:f>
        <x:v>1680000</x:v>
      </x:c>
      <x:c r="Z53" s="59" t="str">
        <x:f>IFERROR(IF(OR($N53="ĐÃ GHÉP - AUTO",$N53="ĐÃ GHÉP - QUY TẮC"),IF($V53="","",IF($T53="THÙNG",$V53,$V53*$F53)),""),"")</x:f>
      </x:c>
      <x:c r="AA53" s="28" t="str">
        <x:f>IFERROR(IF(OR($K53="",$K53=0,$Y53=""),"",($Y53-$K53)/$K53),"")</x:f>
      </x:c>
      <x:c r="AB53" s="37" t="str">
        <x:f>IFERROR(IF($N53="CẦN DUYỆT","DUYỆT MAP",IF($N53="CHƯA CÓ GIÁ LẺ","THIẾU GIÁ",IF(OR($K53="",$K53=0,$Y53=""),"OK",IF(ABS(($Y53-$K53)/$K53)&gt;0.15,"LỆCH GIÁ CŨ","OK")))),"OK")</x:f>
        <x:v>OK</x:v>
      </x:c>
      <x:c r="AC53" s="30" t="str">
        <x:v>score=0.924; gap=0.041</x:v>
      </x:c>
      <x:c r="AD53" s="37" t="str">
        <x:v>TRDECG</x:v>
      </x:c>
      <x:c r="AE53" s="38" t="str">
        <x:v>TRDECGT</x:v>
      </x:c>
      <x:c r="AF53" s="123" t="n">
        <x:v>500</x:v>
      </x:c>
      <x:c r="AG53" s="112" t="str">
        <x:v>g</x:v>
      </x:c>
      <x:c r="AH53" s="112" t="str">
        <x:v>GÓI</x:v>
      </x:c>
      <x:c r="AI53" s="112" t="str">
        <x:v>500 g / GÓI</x:v>
      </x:c>
      <x:c r="AJ53" s="120" t="n">
        <x:v>84000</x:v>
      </x:c>
      <x:c r="AK53" s="120" t="n">
        <x:v>84000</x:v>
      </x:c>
      <x:c r="AL53" s="120" t="n">
        <x:v>84000</x:v>
      </x:c>
      <x:c r="AM53" s="112" t="str">
        <x:v>GIỮ NGUYÊN - ĐÃ KHỚP</x:v>
      </x:c>
      <x:c r="AN53" s="126" t="n">
        <x:v>111</x:v>
      </x:c>
      <x:c r="AO53" s="126" t="n">
        <x:v>112</x:v>
      </x:c>
      <x:c r="AP53" s="113" t="str">
        <x:v>20 GÓI / THÙNG</x:v>
      </x:c>
    </x:row>
    <x:row r="54">
      <x:c r="A54" s="71" t="str">
        <x:v>MÌ ACECOOK DELI</x:v>
      </x:c>
      <x:c r="B54" s="30" t="str">
        <x:v>MÌ ACECOOK DELI - THÙNG</x:v>
      </x:c>
      <x:c r="C54" s="37" t="str">
        <x:v>MIAC80</x:v>
      </x:c>
      <x:c r="D54" s="37" t="str">
        <x:v>MIAC80T</x:v>
      </x:c>
      <x:c r="E54" s="37" t="str">
        <x:v>MIAC80T</x:v>
      </x:c>
      <x:c r="F54" s="37" t="n">
        <x:v>80</x:v>
      </x:c>
      <x:c r="G54" s="37" t="n">
        <x:v>8800</x:v>
      </x:c>
      <x:c r="H54" s="37" t="str">
        <x:v>g</x:v>
      </x:c>
      <x:c r="I54" s="37" t="str">
        <x:v>THÙNG</x:v>
      </x:c>
      <x:c r="J54" s="59" t="n">
        <x:v>395000</x:v>
      </x:c>
      <x:c r="K54" s="59" t="n">
        <x:v>420000</x:v>
      </x:c>
      <x:c r="L54" s="59" t="n">
        <x:v>420000</x:v>
      </x:c>
      <x:c r="M54" s="37" t="str">
        <x:v>Nguyên liệu mì cay</x:v>
      </x:c>
      <x:c r="N54" s="37" t="str">
        <x:v>CẦN DUYỆT</x:v>
      </x:c>
      <x:c r="O54" s="61" t="n">
        <x:v>0.94</x:v>
      </x:c>
      <x:c r="P54" s="37" t="n">
        <x:v>246</x:v>
      </x:c>
      <x:c r="Q54" s="30" t="str">
        <x:v>MÌ ACECOOK DELI</x:v>
      </x:c>
      <x:c r="R54" s="30" t="str">
        <x:v>Thùng 80 gói</x:v>
      </x:c>
      <x:c r="S54" s="30" t="str">
        <x:v>Thùng</x:v>
      </x:c>
      <x:c r="T54" s="37" t="str">
        <x:v>THÙNG</x:v>
      </x:c>
      <x:c r="U54" s="59" t="n">
        <x:v>420000</x:v>
      </x:c>
      <x:c r="V54" s="59"/>
      <x:c r="W54" s="117"/>
      <x:c r="X54" s="59" t="str">
        <x:f>IFERROR(IF(OR($N54="ĐÃ GHÉP - AUTO",$N54="ĐÃ GHÉP - QUY TẮC"),IF($V54="","",IF($T54="THÙNG",$V54/$F54,$V54)),""),"")</x:f>
      </x:c>
      <x:c r="Y54" s="117" t="str">
        <x:f>IF(OR(W54="",F54=""),"",W54*F54)</x:f>
      </x:c>
      <x:c r="Z54" s="59" t="str">
        <x:f>IFERROR(IF(OR($N54="ĐÃ GHÉP - AUTO",$N54="ĐÃ GHÉP - QUY TẮC"),IF($V54="","",IF($T54="THÙNG",$V54,$V54*$F54)),""),"")</x:f>
      </x:c>
      <x:c r="AA54" s="28" t="str">
        <x:f>IFERROR(IF(OR($K54="",$K54=0,$Y54=""),"",($Y54-$K54)/$K54),"")</x:f>
      </x:c>
      <x:c r="AB54" s="37" t="str">
        <x:f>IFERROR(IF($N54="CẦN DUYỆT","DUYỆT MAP",IF($N54="CHƯA CÓ GIÁ LẺ","THIẾU GIÁ",IF(OR($K54="",$K54=0,$Y54=""),"OK",IF(ABS(($Y54-$K54)/$K54)&gt;0.15,"LỆCH GIÁ CŨ","OK")))),"OK")</x:f>
        <x:v>DUYỆT MAP</x:v>
      </x:c>
      <x:c r="AC54" s="30" t="str">
        <x:v>score=0.940; gap=0.561; lệch giá thùng cũ 99%</x:v>
      </x:c>
      <x:c r="AD54" s="37" t="str">
        <x:v>MIAC80</x:v>
      </x:c>
      <x:c r="AE54" s="38" t="str">
        <x:v>MIAC80T</x:v>
      </x:c>
      <x:c r="AF54" s="123" t="n">
        <x:v>110</x:v>
      </x:c>
      <x:c r="AG54" s="112" t="str">
        <x:v>g</x:v>
      </x:c>
      <x:c r="AH54" s="112" t="str">
        <x:v>GÓI</x:v>
      </x:c>
      <x:c r="AI54" s="112" t="str">
        <x:v>110 g / GÓI</x:v>
      </x:c>
      <x:c r="AJ54" s="120" t="n">
        <x:v>0</x:v>
      </x:c>
      <x:c r="AK54" s="120"/>
      <x:c r="AL54" s="120"/>
      <x:c r="AM54" s="112" t="str">
        <x:v>DS SP GIÁ 0 - VẪN THIẾU GIÁ</x:v>
      </x:c>
      <x:c r="AN54" s="126" t="n">
        <x:v>91</x:v>
      </x:c>
      <x:c r="AO54" s="126" t="n">
        <x:v>92</x:v>
      </x:c>
      <x:c r="AP54" s="113" t="str">
        <x:v>80 GÓI / THÙNG</x:v>
      </x:c>
    </x:row>
    <x:row r="55">
      <x:c r="A55" s="71" t="str">
        <x:v>SỮA FRIMA TÚI 1KG</x:v>
      </x:c>
      <x:c r="B55" s="30" t="str">
        <x:v>SỮA FRIMA TÚI 1KG - THÙNG</x:v>
      </x:c>
      <x:c r="C55" s="37" t="str">
        <x:v>FRIM1K</x:v>
      </x:c>
      <x:c r="D55" s="37" t="str">
        <x:v>FRIM1KT</x:v>
      </x:c>
      <x:c r="E55" s="37" t="str">
        <x:v>FRIM1KT</x:v>
      </x:c>
      <x:c r="F55" s="37" t="n">
        <x:v>12</x:v>
      </x:c>
      <x:c r="G55" s="37" t="n">
        <x:v>13</x:v>
      </x:c>
      <x:c r="H55" s="37" t="str">
        <x:v>kg</x:v>
      </x:c>
      <x:c r="I55" s="37" t="str">
        <x:v>THÙNG</x:v>
      </x:c>
      <x:c r="J55" s="59" t="n">
        <x:v>0</x:v>
      </x:c>
      <x:c r="K55" s="59" t="n">
        <x:v>1100000</x:v>
      </x:c>
      <x:c r="L55" s="59" t="n">
        <x:v>0</x:v>
      </x:c>
      <x:c r="M55" s="37" t="str">
        <x:v>Bột sữa / milkfoam</x:v>
      </x:c>
      <x:c r="N55" s="37" t="str">
        <x:v>ĐÃ GHÉP - AUTO</x:v>
      </x:c>
      <x:c r="O55" s="61" t="n">
        <x:v>1</x:v>
      </x:c>
      <x:c r="P55" s="37" t="n">
        <x:v>141</x:v>
      </x:c>
      <x:c r="Q55" s="30" t="str">
        <x:v>Bot sua Frima 1KG</x:v>
      </x:c>
      <x:c r="R55" s="30" t="str">
        <x:v>Thùng 12 gói</x:v>
      </x:c>
      <x:c r="S55" s="30" t="str">
        <x:v>gói 1kg</x:v>
      </x:c>
      <x:c r="T55" s="37" t="str">
        <x:v>ĐƠN VỊ</x:v>
      </x:c>
      <x:c r="U55" s="59" t="n">
        <x:v>93000</x:v>
      </x:c>
      <x:c r="V55" s="59"/>
      <x:c r="W55" s="117" t="n">
        <x:v>93000</x:v>
      </x:c>
      <x:c r="X55" s="59" t="str">
        <x:f>IFERROR(IF(OR($N55="ĐÃ GHÉP - AUTO",$N55="ĐÃ GHÉP - QUY TẮC"),IF($V55="","",IF($T55="THÙNG",$V55/$F55,$V55)),""),"")</x:f>
      </x:c>
      <x:c r="Y55" s="117" t="n">
        <x:f>IF(OR(W55="",F55=""),"",W55*F55)</x:f>
        <x:v>1116000</x:v>
      </x:c>
      <x:c r="Z55" s="59" t="str">
        <x:f>IFERROR(IF(OR($N55="ĐÃ GHÉP - AUTO",$N55="ĐÃ GHÉP - QUY TẮC"),IF($V55="","",IF($T55="THÙNG",$V55,$V55*$F55)),""),"")</x:f>
      </x:c>
      <x:c r="AA55" s="28" t="n">
        <x:f>IFERROR(IF(OR($K55="",$K55=0,$Y55=""),"",($Y55-$K55)/$K55),"")</x:f>
        <x:v>0.014545454545454545</x:v>
      </x:c>
      <x:c r="AB55" s="37" t="str">
        <x:f>IFERROR(IF($N55="CẦN DUYỆT","DUYỆT MAP",IF($N55="CHƯA CÓ GIÁ LẺ","THIẾU GIÁ",IF(OR($K55="",$K55=0,$Y55=""),"OK",IF(ABS(($Y55-$K55)/$K55)&gt;0.15,"LỆCH GIÁ CŨ","OK")))),"OK")</x:f>
        <x:v>OK</x:v>
      </x:c>
      <x:c r="AC55" s="30" t="str">
        <x:v>score=1.000; gap=0.196</x:v>
      </x:c>
      <x:c r="AD55" s="37" t="str">
        <x:v>FRIM1K</x:v>
      </x:c>
      <x:c r="AE55" s="38" t="str">
        <x:v>FRIM1KT</x:v>
      </x:c>
      <x:c r="AF55" s="123" t="n">
        <x:v>1</x:v>
      </x:c>
      <x:c r="AG55" s="112" t="str">
        <x:v>kg</x:v>
      </x:c>
      <x:c r="AH55" s="112" t="str">
        <x:v>KG</x:v>
      </x:c>
      <x:c r="AI55" s="112" t="str">
        <x:v>1 kg / KG</x:v>
      </x:c>
      <x:c r="AJ55" s="120" t="n">
        <x:v>93000</x:v>
      </x:c>
      <x:c r="AK55" s="120" t="n">
        <x:v>93000</x:v>
      </x:c>
      <x:c r="AL55" s="120" t="n">
        <x:v>93000</x:v>
      </x:c>
      <x:c r="AM55" s="112" t="str">
        <x:v>GIỮ NGUYÊN - ĐÃ KHỚP</x:v>
      </x:c>
      <x:c r="AN55" s="126" t="n">
        <x:v>93</x:v>
      </x:c>
      <x:c r="AO55" s="126" t="n">
        <x:v>94</x:v>
      </x:c>
      <x:c r="AP55" s="113" t="str">
        <x:v>12 KG / THÙNG</x:v>
      </x:c>
    </x:row>
    <x:row r="56">
      <x:c r="A56" s="71" t="str">
        <x:v>NẮP 120 PET</x:v>
      </x:c>
      <x:c r="B56" s="30" t="str">
        <x:v>NẮP 120 PET - THÙNG</x:v>
      </x:c>
      <x:c r="C56" s="37" t="str">
        <x:v>NPE120</x:v>
      </x:c>
      <x:c r="D56" s="37" t="str">
        <x:v>NPE120T</x:v>
      </x:c>
      <x:c r="E56" s="37" t="str">
        <x:v>NPE120T</x:v>
      </x:c>
      <x:c r="F56" s="37" t="n">
        <x:v>20</x:v>
      </x:c>
      <x:c r="G56" s="37" t="n">
        <x:v>0</x:v>
      </x:c>
      <x:c r="H56" s="37" t="str">
        <x:v>g</x:v>
      </x:c>
      <x:c r="I56" s="37" t="str">
        <x:v>THÙNG</x:v>
      </x:c>
      <x:c r="J56" s="59" t="n">
        <x:v>0</x:v>
      </x:c>
      <x:c r="K56" s="59" t="n">
        <x:v>0</x:v>
      </x:c>
      <x:c r="L56" s="59" t="n">
        <x:v>0</x:v>
      </x:c>
      <x:c r="M56" s="37" t="str">
        <x:v>Nắp</x:v>
      </x:c>
      <x:c r="N56" s="37" t="str">
        <x:v>CHƯA CÓ GIÁ LẺ</x:v>
      </x:c>
      <x:c r="O56" s="61" t="n">
        <x:v>0.01</x:v>
      </x:c>
      <x:c r="P56" s="37"/>
      <x:c r="Q56" s="30"/>
      <x:c r="R56" s="30"/>
      <x:c r="S56" s="30"/>
      <x:c r="T56" s="37"/>
      <x:c r="U56" s="59"/>
      <x:c r="V56" s="59"/>
      <x:c r="W56" s="117"/>
      <x:c r="X56" s="59" t="str">
        <x:f>IFERROR(IF(OR($N56="ĐÃ GHÉP - AUTO",$N56="ĐÃ GHÉP - QUY TẮC"),IF($V56="","",IF($T56="THÙNG",$V56/$F56,$V56)),""),"")</x:f>
      </x:c>
      <x:c r="Y56" s="117" t="str">
        <x:f>IF(OR(W56="",F56=""),"",W56*F56)</x:f>
      </x:c>
      <x:c r="Z56" s="59" t="str">
        <x:f>IFERROR(IF(OR($N56="ĐÃ GHÉP - AUTO",$N56="ĐÃ GHÉP - QUY TẮC"),IF($V56="","",IF($T56="THÙNG",$V56,$V56*$F56)),""),"")</x:f>
      </x:c>
      <x:c r="AA56" s="28" t="str">
        <x:f>IFERROR(IF(OR($K56="",$K56=0,$Y56=""),"",($Y56-$K56)/$K56),"")</x:f>
      </x:c>
      <x:c r="AB56" s="37" t="str">
        <x:f>IFERROR(IF($N56="CẦN DUYỆT","DUYỆT MAP",IF($N56="CHƯA CÓ GIÁ LẺ","THIẾU GIÁ",IF(OR($K56="",$K56=0,$Y56=""),"OK",IF(ABS(($Y56-$K56)/$K56)&gt;0.15,"LỆCH GIÁ CŨ","OK")))),"OK")</x:f>
        <x:v>THIẾU GIÁ</x:v>
      </x:c>
      <x:c r="AC56" s="30" t="str">
        <x:v>ứng viên gần nhất=Nắp ngang; score=0.010</x:v>
      </x:c>
      <x:c r="AD56" s="37" t="str">
        <x:v>NPE120</x:v>
      </x:c>
      <x:c r="AE56" s="38" t="str">
        <x:v>NPE120T</x:v>
      </x:c>
      <x:c r="AF56" s="123" t="n">
        <x:v>0</x:v>
      </x:c>
      <x:c r="AG56" s="112" t="str">
        <x:v>g</x:v>
      </x:c>
      <x:c r="AH56" s="112" t="str">
        <x:v>BỊCH</x:v>
      </x:c>
      <x:c r="AI56" s="112" t="str">
        <x:v>0 g / BỊCH</x:v>
      </x:c>
      <x:c r="AJ56" s="120" t="n">
        <x:v>0</x:v>
      </x:c>
      <x:c r="AK56" s="120"/>
      <x:c r="AL56" s="120"/>
      <x:c r="AM56" s="112" t="str">
        <x:v>DS SP GIÁ 0 - VẪN THIẾU GIÁ</x:v>
      </x:c>
      <x:c r="AN56" s="126" t="n">
        <x:v>783</x:v>
      </x:c>
      <x:c r="AO56" s="126" t="n">
        <x:v>784</x:v>
      </x:c>
      <x:c r="AP56" s="113" t="str">
        <x:v>20 BỊCH / THÙNG</x:v>
      </x:c>
    </x:row>
    <x:row r="57">
      <x:c r="A57" s="71" t="str">
        <x:v>SIRO HESTIA MĂNG CỤT</x:v>
      </x:c>
      <x:c r="B57" s="30" t="str">
        <x:v>SIRO HESTIA MĂNG CỤT - THÙNG</x:v>
      </x:c>
      <x:c r="C57" s="37" t="str">
        <x:v>SRHTMT</x:v>
      </x:c>
      <x:c r="D57" s="37" t="str">
        <x:v>SRHTMTT</x:v>
      </x:c>
      <x:c r="E57" s="37" t="str">
        <x:v>SRHTMTT</x:v>
      </x:c>
      <x:c r="F57" s="37" t="n">
        <x:v>12</x:v>
      </x:c>
      <x:c r="G57" s="37" t="n">
        <x:v>0</x:v>
      </x:c>
      <x:c r="H57" s="37" t="str">
        <x:v>g</x:v>
      </x:c>
      <x:c r="I57" s="37" t="str">
        <x:v>THÙNG</x:v>
      </x:c>
      <x:c r="J57" s="59" t="n">
        <x:v>0</x:v>
      </x:c>
      <x:c r="K57" s="59" t="n">
        <x:v>0</x:v>
      </x:c>
      <x:c r="L57" s="59" t="n">
        <x:v>0</x:v>
      </x:c>
      <x:c r="M57" s="37" t="str">
        <x:v>Siro</x:v>
      </x:c>
      <x:c r="N57" s="37" t="str">
        <x:v>CHƯA CÓ GIÁ LẺ</x:v>
      </x:c>
      <x:c r="O57" s="61" t="n">
        <x:v>0.065</x:v>
      </x:c>
      <x:c r="P57" s="37"/>
      <x:c r="Q57" s="30"/>
      <x:c r="R57" s="30"/>
      <x:c r="S57" s="30"/>
      <x:c r="T57" s="37"/>
      <x:c r="U57" s="59"/>
      <x:c r="V57" s="59"/>
      <x:c r="W57" s="117" t="n">
        <x:v>145000</x:v>
      </x:c>
      <x:c r="X57" s="59" t="str">
        <x:f>IFERROR(IF(OR($N57="ĐÃ GHÉP - AUTO",$N57="ĐÃ GHÉP - QUY TẮC"),IF($V57="","",IF($T57="THÙNG",$V57/$F57,$V57)),""),"")</x:f>
      </x:c>
      <x:c r="Y57" s="117" t="n">
        <x:f>IF(OR(W57="",F57=""),"",W57*F57)</x:f>
        <x:v>1740000</x:v>
      </x:c>
      <x:c r="Z57" s="59" t="str">
        <x:f>IFERROR(IF(OR($N57="ĐÃ GHÉP - AUTO",$N57="ĐÃ GHÉP - QUY TẮC"),IF($V57="","",IF($T57="THÙNG",$V57,$V57*$F57)),""),"")</x:f>
      </x:c>
      <x:c r="AA57" s="28" t="str">
        <x:f>IFERROR(IF(OR($K57="",$K57=0,$Y57=""),"",($Y57-$K57)/$K57),"")</x:f>
      </x:c>
      <x:c r="AB57" s="37" t="str">
        <x:f>IFERROR(IF($N57="CẦN DUYỆT","DUYỆT MAP",IF($N57="CHƯA CÓ GIÁ LẺ","THIẾU GIÁ",IF(OR($K57="",$K57=0,$Y57=""),"OK",IF(ABS(($Y57-$K57)/$K57)&gt;0.15,"LỆCH GIÁ CŨ","OK")))),"OK")</x:f>
        <x:v>THIẾU GIÁ</x:v>
      </x:c>
      <x:c r="AC57" s="30" t="str">
        <x:v>ứng viên gần nhất=Siro Sâm Dứa Vina; score=0.065</x:v>
      </x:c>
      <x:c r="AD57" s="37" t="str">
        <x:v>SRHTMT</x:v>
      </x:c>
      <x:c r="AE57" s="38" t="str">
        <x:v>SRHTMTT</x:v>
      </x:c>
      <x:c r="AF57" s="123" t="n">
        <x:v>0</x:v>
      </x:c>
      <x:c r="AG57" s="112" t="str">
        <x:v>g</x:v>
      </x:c>
      <x:c r="AH57" s="112" t="str">
        <x:v>CHAI</x:v>
      </x:c>
      <x:c r="AI57" s="112" t="str">
        <x:v>0 g / CHAI</x:v>
      </x:c>
      <x:c r="AJ57" s="120" t="n">
        <x:v>145000</x:v>
      </x:c>
      <x:c r="AK57" s="120"/>
      <x:c r="AL57" s="120" t="n">
        <x:v>145000</x:v>
      </x:c>
      <x:c r="AM57" s="112" t="str">
        <x:v>BỔ SUNG GIÁ</x:v>
      </x:c>
      <x:c r="AN57" s="126" t="n">
        <x:v>98</x:v>
      </x:c>
      <x:c r="AO57" s="126" t="n">
        <x:v>99</x:v>
      </x:c>
      <x:c r="AP57" s="113" t="str">
        <x:v>12 CHAI / THÙNG</x:v>
      </x:c>
    </x:row>
    <x:row r="58">
      <x:c r="A58" s="71" t="str">
        <x:v>MỨT GOLD QUÝT MẬT ONG</x:v>
      </x:c>
      <x:c r="B58" s="30" t="str">
        <x:v>MỨT GOLD QUÝT MẬT ONG - THÙNG</x:v>
      </x:c>
      <x:c r="C58" s="37" t="str">
        <x:v>STGQMO</x:v>
      </x:c>
      <x:c r="D58" s="37" t="str">
        <x:v>STGQMOT</x:v>
      </x:c>
      <x:c r="E58" s="37" t="str">
        <x:v>STGQMOT</x:v>
      </x:c>
      <x:c r="F58" s="37" t="n">
        <x:v>12</x:v>
      </x:c>
      <x:c r="G58" s="37" t="n">
        <x:v>0</x:v>
      </x:c>
      <x:c r="H58" s="37" t="str">
        <x:v>g</x:v>
      </x:c>
      <x:c r="I58" s="37" t="str">
        <x:v>THÙNG</x:v>
      </x:c>
      <x:c r="J58" s="59" t="n">
        <x:v>0</x:v>
      </x:c>
      <x:c r="K58" s="59" t="n">
        <x:v>0</x:v>
      </x:c>
      <x:c r="L58" s="59" t="n">
        <x:v>0</x:v>
      </x:c>
      <x:c r="M58" s="37" t="str">
        <x:v>Sinh tố / mứt</x:v>
      </x:c>
      <x:c r="N58" s="37" t="str">
        <x:v>CHƯA CÓ GIÁ LẺ</x:v>
      </x:c>
      <x:c r="O58" s="61" t="n">
        <x:v>0.508</x:v>
      </x:c>
      <x:c r="P58" s="37"/>
      <x:c r="Q58" s="30"/>
      <x:c r="R58" s="30"/>
      <x:c r="S58" s="30"/>
      <x:c r="T58" s="37"/>
      <x:c r="U58" s="59"/>
      <x:c r="V58" s="59"/>
      <x:c r="W58" s="117" t="n">
        <x:v>117000</x:v>
      </x:c>
      <x:c r="X58" s="59" t="str">
        <x:f>IFERROR(IF(OR($N58="ĐÃ GHÉP - AUTO",$N58="ĐÃ GHÉP - QUY TẮC"),IF($V58="","",IF($T58="THÙNG",$V58/$F58,$V58)),""),"")</x:f>
      </x:c>
      <x:c r="Y58" s="117" t="n">
        <x:f>IF(OR(W58="",F58=""),"",W58*F58)</x:f>
        <x:v>1404000</x:v>
      </x:c>
      <x:c r="Z58" s="59" t="str">
        <x:f>IFERROR(IF(OR($N58="ĐÃ GHÉP - AUTO",$N58="ĐÃ GHÉP - QUY TẮC"),IF($V58="","",IF($T58="THÙNG",$V58,$V58*$F58)),""),"")</x:f>
      </x:c>
      <x:c r="AA58" s="28" t="str">
        <x:f>IFERROR(IF(OR($K58="",$K58=0,$Y58=""),"",($Y58-$K58)/$K58),"")</x:f>
      </x:c>
      <x:c r="AB58" s="37" t="str">
        <x:f>IFERROR(IF($N58="CẦN DUYỆT","DUYỆT MAP",IF($N58="CHƯA CÓ GIÁ LẺ","THIẾU GIÁ",IF(OR($K58="",$K58=0,$Y58=""),"OK",IF(ABS(($Y58-$K58)/$K58)&gt;0.15,"LỆCH GIÁ CŨ","OK")))),"OK")</x:f>
        <x:v>THIẾU GIÁ</x:v>
      </x:c>
      <x:c r="AC58" s="30" t="str">
        <x:v>ứng viên gần nhất=Sinh Tố Gold ổi; score=0.508</x:v>
      </x:c>
      <x:c r="AD58" s="37" t="str">
        <x:v>STGQMO</x:v>
      </x:c>
      <x:c r="AE58" s="38" t="str">
        <x:v>STGQMOT</x:v>
      </x:c>
      <x:c r="AF58" s="123" t="n">
        <x:v>0</x:v>
      </x:c>
      <x:c r="AG58" s="112" t="str">
        <x:v>g</x:v>
      </x:c>
      <x:c r="AH58" s="112" t="str">
        <x:v>CHAI</x:v>
      </x:c>
      <x:c r="AI58" s="112" t="str">
        <x:v>0 g / CHAI</x:v>
      </x:c>
      <x:c r="AJ58" s="120" t="n">
        <x:v>117000</x:v>
      </x:c>
      <x:c r="AK58" s="120"/>
      <x:c r="AL58" s="120" t="n">
        <x:v>117000</x:v>
      </x:c>
      <x:c r="AM58" s="112" t="str">
        <x:v>BỔ SUNG GIÁ</x:v>
      </x:c>
      <x:c r="AN58" s="126" t="n">
        <x:v>116</x:v>
      </x:c>
      <x:c r="AO58" s="126" t="n">
        <x:v>117</x:v>
      </x:c>
      <x:c r="AP58" s="113" t="str">
        <x:v>12 CHAI / THÙNG</x:v>
      </x:c>
    </x:row>
    <x:row r="59">
      <x:c r="A59" s="71" t="str">
        <x:v>ĐƯỜNG TRẮNG MONITA</x:v>
      </x:c>
      <x:c r="B59" s="30" t="str">
        <x:v>ĐƯỜNG TRẮNG MONITA - THÙNG</x:v>
      </x:c>
      <x:c r="C59" s="37" t="str">
        <x:v>DTSEUL</x:v>
      </x:c>
      <x:c r="D59" s="37" t="str">
        <x:v>DTSEULT</x:v>
      </x:c>
      <x:c r="E59" s="37" t="str">
        <x:v>DTSEULT</x:v>
      </x:c>
      <x:c r="F59" s="37" t="n">
        <x:v>16</x:v>
      </x:c>
      <x:c r="G59" s="37" t="n">
        <x:v>17</x:v>
      </x:c>
      <x:c r="H59" s="37" t="str">
        <x:v>kg</x:v>
      </x:c>
      <x:c r="I59" s="37" t="str">
        <x:v>THÙNG</x:v>
      </x:c>
      <x:c r="J59" s="59" t="n">
        <x:v>0</x:v>
      </x:c>
      <x:c r="K59" s="59" t="n">
        <x:v>0</x:v>
      </x:c>
      <x:c r="L59" s="59" t="n">
        <x:v>0</x:v>
      </x:c>
      <x:c r="M59" s="37" t="str">
        <x:v>Đường đen / đường nước</x:v>
      </x:c>
      <x:c r="N59" s="37" t="str">
        <x:v>CHƯA CÓ GIÁ LẺ</x:v>
      </x:c>
      <x:c r="O59" s="61" t="n">
        <x:v>0.495</x:v>
      </x:c>
      <x:c r="P59" s="37"/>
      <x:c r="Q59" s="30"/>
      <x:c r="R59" s="30"/>
      <x:c r="S59" s="30"/>
      <x:c r="T59" s="37"/>
      <x:c r="U59" s="59"/>
      <x:c r="V59" s="59"/>
      <x:c r="W59" s="117"/>
      <x:c r="X59" s="59" t="str">
        <x:f>IFERROR(IF(OR($N59="ĐÃ GHÉP - AUTO",$N59="ĐÃ GHÉP - QUY TẮC"),IF($V59="","",IF($T59="THÙNG",$V59/$F59,$V59)),""),"")</x:f>
      </x:c>
      <x:c r="Y59" s="117" t="str">
        <x:f>IF(OR(W59="",F59=""),"",W59*F59)</x:f>
      </x:c>
      <x:c r="Z59" s="59" t="str">
        <x:f>IFERROR(IF(OR($N59="ĐÃ GHÉP - AUTO",$N59="ĐÃ GHÉP - QUY TẮC"),IF($V59="","",IF($T59="THÙNG",$V59,$V59*$F59)),""),"")</x:f>
      </x:c>
      <x:c r="AA59" s="28" t="str">
        <x:f>IFERROR(IF(OR($K59="",$K59=0,$Y59=""),"",($Y59-$K59)/$K59),"")</x:f>
      </x:c>
      <x:c r="AB59" s="37" t="str">
        <x:f>IFERROR(IF($N59="CẦN DUYỆT","DUYỆT MAP",IF($N59="CHƯA CÓ GIÁ LẺ","THIẾU GIÁ",IF(OR($K59="",$K59=0,$Y59=""),"OK",IF(ABS(($Y59-$K59)/$K59)&gt;0.15,"LỆCH GIÁ CŨ","OK")))),"OK")</x:f>
        <x:v>THIẾU GIÁ</x:v>
      </x:c>
      <x:c r="AC59" s="30" t="str">
        <x:v>ứng viên gần nhất=Đường đen MONITA; score=0.495</x:v>
      </x:c>
      <x:c r="AD59" s="37" t="str">
        <x:v>DTSEUL</x:v>
      </x:c>
      <x:c r="AE59" s="38" t="str">
        <x:v>DTSEULT</x:v>
      </x:c>
      <x:c r="AF59" s="123" t="n">
        <x:v>1</x:v>
      </x:c>
      <x:c r="AG59" s="112" t="str">
        <x:v>kg</x:v>
      </x:c>
      <x:c r="AH59" s="112" t="str">
        <x:v>GÓI</x:v>
      </x:c>
      <x:c r="AI59" s="112" t="str">
        <x:v>1 kg / GÓI</x:v>
      </x:c>
      <x:c r="AJ59" s="120" t="n">
        <x:v>0</x:v>
      </x:c>
      <x:c r="AK59" s="120"/>
      <x:c r="AL59" s="120"/>
      <x:c r="AM59" s="112" t="str">
        <x:v>DS SP GIÁ 0 - VẪN THIẾU GIÁ</x:v>
      </x:c>
      <x:c r="AN59" s="126" t="n">
        <x:v>118</x:v>
      </x:c>
      <x:c r="AO59" s="126" t="n">
        <x:v>119</x:v>
      </x:c>
      <x:c r="AP59" s="113" t="str">
        <x:v>16 GÓI / THÙNG</x:v>
      </x:c>
    </x:row>
    <x:row r="60">
      <x:c r="A60" s="71" t="str">
        <x:v>BODU MẬT ONG ĐÀO</x:v>
      </x:c>
      <x:c r="B60" s="30" t="str">
        <x:v>BODU MẬT ONG ĐÀO - THÙNG</x:v>
      </x:c>
      <x:c r="C60" s="37" t="str">
        <x:v>BODUMD</x:v>
      </x:c>
      <x:c r="D60" s="37" t="str">
        <x:v>BODUMDT</x:v>
      </x:c>
      <x:c r="E60" s="37" t="str">
        <x:v>BODUMDT</x:v>
      </x:c>
      <x:c r="F60" s="37" t="n">
        <x:v>12</x:v>
      </x:c>
      <x:c r="G60" s="37" t="n">
        <x:v>17500</x:v>
      </x:c>
      <x:c r="H60" s="37" t="str">
        <x:v>g</x:v>
      </x:c>
      <x:c r="I60" s="37" t="str">
        <x:v>THÙNG</x:v>
      </x:c>
      <x:c r="J60" s="59" t="n">
        <x:v>0</x:v>
      </x:c>
      <x:c r="K60" s="59" t="n">
        <x:v>0</x:v>
      </x:c>
      <x:c r="L60" s="59" t="n">
        <x:v>0</x:v>
      </x:c>
      <x:c r="M60" s="37" t="str">
        <x:v>Khác</x:v>
      </x:c>
      <x:c r="N60" s="37" t="str">
        <x:v>CHƯA CÓ GIÁ LẺ</x:v>
      </x:c>
      <x:c r="O60" s="61" t="n">
        <x:v>0.495</x:v>
      </x:c>
      <x:c r="P60" s="37"/>
      <x:c r="Q60" s="30"/>
      <x:c r="R60" s="30"/>
      <x:c r="S60" s="30"/>
      <x:c r="T60" s="37"/>
      <x:c r="U60" s="59"/>
      <x:c r="V60" s="59"/>
      <x:c r="W60" s="117"/>
      <x:c r="X60" s="59" t="str">
        <x:f>IFERROR(IF(OR($N60="ĐÃ GHÉP - AUTO",$N60="ĐÃ GHÉP - QUY TẮC"),IF($V60="","",IF($T60="THÙNG",$V60/$F60,$V60)),""),"")</x:f>
      </x:c>
      <x:c r="Y60" s="117" t="str">
        <x:f>IF(OR(W60="",F60=""),"",W60*F60)</x:f>
      </x:c>
      <x:c r="Z60" s="59" t="str">
        <x:f>IFERROR(IF(OR($N60="ĐÃ GHÉP - AUTO",$N60="ĐÃ GHÉP - QUY TẮC"),IF($V60="","",IF($T60="THÙNG",$V60,$V60*$F60)),""),"")</x:f>
      </x:c>
      <x:c r="AA60" s="28" t="str">
        <x:f>IFERROR(IF(OR($K60="",$K60=0,$Y60=""),"",($Y60-$K60)/$K60),"")</x:f>
      </x:c>
      <x:c r="AB60" s="37" t="str">
        <x:f>IFERROR(IF($N60="CẦN DUYỆT","DUYỆT MAP",IF($N60="CHƯA CÓ GIÁ LẺ","THIẾU GIÁ",IF(OR($K60="",$K60=0,$Y60=""),"OK",IF(ABS(($Y60-$K60)/$K60)&gt;0.15,"LỆCH GIÁ CŨ","OK")))),"OK")</x:f>
        <x:v>THIẾU GIÁ</x:v>
      </x:c>
      <x:c r="AC60" s="30" t="str">
        <x:v>ứng viên gần nhất=Đào lon Thái; score=0.495</x:v>
      </x:c>
      <x:c r="AD60" s="37" t="str">
        <x:v>BODUMD</x:v>
      </x:c>
      <x:c r="AE60" s="38" t="str">
        <x:v>BODUMDT</x:v>
      </x:c>
      <x:c r="AF60" s="123" t="n">
        <x:v>1450</x:v>
      </x:c>
      <x:c r="AG60" s="112" t="str">
        <x:v>g</x:v>
      </x:c>
      <x:c r="AH60" s="112" t="str">
        <x:v>HŨ</x:v>
      </x:c>
      <x:c r="AI60" s="112" t="str">
        <x:v>1450 g / HŨ</x:v>
      </x:c>
      <x:c r="AJ60" s="120" t="n">
        <x:v>0</x:v>
      </x:c>
      <x:c r="AK60" s="120"/>
      <x:c r="AL60" s="120"/>
      <x:c r="AM60" s="112" t="str">
        <x:v>DS SP GIÁ 0 - VẪN THIẾU GIÁ</x:v>
      </x:c>
      <x:c r="AN60" s="126" t="n">
        <x:v>122</x:v>
      </x:c>
      <x:c r="AO60" s="126" t="n">
        <x:v>123</x:v>
      </x:c>
      <x:c r="AP60" s="113" t="str">
        <x:v>12 HŨ / THÙNG</x:v>
      </x:c>
    </x:row>
    <x:row r="61">
      <x:c r="A61" s="71" t="str">
        <x:v>SIRO VINA MĂNG CỤT</x:v>
      </x:c>
      <x:c r="B61" s="30" t="str">
        <x:v>SIRO VINA MĂNG CỤT - THÙNG</x:v>
      </x:c>
      <x:c r="C61" s="37" t="str">
        <x:v>SRVNMT</x:v>
      </x:c>
      <x:c r="D61" s="37" t="str">
        <x:v>SRVNMTT</x:v>
      </x:c>
      <x:c r="E61" s="37" t="str">
        <x:v>SRVNMTT</x:v>
      </x:c>
      <x:c r="F61" s="37" t="n">
        <x:v>12</x:v>
      </x:c>
      <x:c r="G61" s="37" t="n">
        <x:v>0</x:v>
      </x:c>
      <x:c r="H61" s="37" t="str">
        <x:v>g</x:v>
      </x:c>
      <x:c r="I61" s="37" t="str">
        <x:v>THÙNG</x:v>
      </x:c>
      <x:c r="J61" s="59" t="n">
        <x:v>0</x:v>
      </x:c>
      <x:c r="K61" s="59" t="n">
        <x:v>0</x:v>
      </x:c>
      <x:c r="L61" s="59" t="n">
        <x:v>0</x:v>
      </x:c>
      <x:c r="M61" s="37" t="str">
        <x:v>Siro</x:v>
      </x:c>
      <x:c r="N61" s="37" t="str">
        <x:v>ĐÃ GHÉP - AUTO</x:v>
      </x:c>
      <x:c r="O61" s="61" t="n">
        <x:v>0.838</x:v>
      </x:c>
      <x:c r="P61" s="37" t="n">
        <x:v>12</x:v>
      </x:c>
      <x:c r="Q61" s="30" t="str">
        <x:v>Siro Vina</x:v>
      </x:c>
      <x:c r="R61" s="30" t="str">
        <x:v>Thùng 12 chai</x:v>
      </x:c>
      <x:c r="S61" s="30" t="str">
        <x:v>Chai</x:v>
      </x:c>
      <x:c r="T61" s="37" t="str">
        <x:v>ĐƠN VỊ</x:v>
      </x:c>
      <x:c r="U61" s="59" t="n">
        <x:v>40000</x:v>
      </x:c>
      <x:c r="V61" s="59"/>
      <x:c r="W61" s="117" t="n">
        <x:v>40000</x:v>
      </x:c>
      <x:c r="X61" s="59" t="str">
        <x:f>IFERROR(IF(OR($N61="ĐÃ GHÉP - AUTO",$N61="ĐÃ GHÉP - QUY TẮC"),IF($V61="","",IF($T61="THÙNG",$V61/$F61,$V61)),""),"")</x:f>
      </x:c>
      <x:c r="Y61" s="117" t="n">
        <x:f>IF(OR(W61="",F61=""),"",W61*F61)</x:f>
        <x:v>480000</x:v>
      </x:c>
      <x:c r="Z61" s="59" t="str">
        <x:f>IFERROR(IF(OR($N61="ĐÃ GHÉP - AUTO",$N61="ĐÃ GHÉP - QUY TẮC"),IF($V61="","",IF($T61="THÙNG",$V61,$V61*$F61)),""),"")</x:f>
      </x:c>
      <x:c r="AA61" s="28" t="str">
        <x:f>IFERROR(IF(OR($K61="",$K61=0,$Y61=""),"",($Y61-$K61)/$K61),"")</x:f>
      </x:c>
      <x:c r="AB61" s="37" t="str">
        <x:f>IFERROR(IF($N61="CẦN DUYỆT","DUYỆT MAP",IF($N61="CHƯA CÓ GIÁ LẺ","THIẾU GIÁ",IF(OR($K61="",$K61=0,$Y61=""),"OK",IF(ABS(($Y61-$K61)/$K61)&gt;0.15,"LỆCH GIÁ CŨ","OK")))),"OK")</x:f>
        <x:v>OK</x:v>
      </x:c>
      <x:c r="AC61" s="30" t="str">
        <x:v>score=0.838; gap=0.383</x:v>
      </x:c>
      <x:c r="AD61" s="37" t="str">
        <x:v>SRVNMT</x:v>
      </x:c>
      <x:c r="AE61" s="38" t="str">
        <x:v>SRVNMTT</x:v>
      </x:c>
      <x:c r="AF61" s="123" t="n">
        <x:v>0</x:v>
      </x:c>
      <x:c r="AG61" s="112" t="str">
        <x:v>g</x:v>
      </x:c>
      <x:c r="AH61" s="112" t="str">
        <x:v>CHAI</x:v>
      </x:c>
      <x:c r="AI61" s="112" t="str">
        <x:v>0 g / CHAI</x:v>
      </x:c>
      <x:c r="AJ61" s="120" t="n">
        <x:v>40000</x:v>
      </x:c>
      <x:c r="AK61" s="120" t="n">
        <x:v>40000</x:v>
      </x:c>
      <x:c r="AL61" s="120" t="n">
        <x:v>40000</x:v>
      </x:c>
      <x:c r="AM61" s="112" t="str">
        <x:v>GIỮ NGUYÊN - ĐÃ KHỚP</x:v>
      </x:c>
      <x:c r="AN61" s="126" t="n">
        <x:v>125</x:v>
      </x:c>
      <x:c r="AO61" s="126" t="n">
        <x:v>126</x:v>
      </x:c>
      <x:c r="AP61" s="113" t="str">
        <x:v>12 CHAI / THÙNG</x:v>
      </x:c>
    </x:row>
    <x:row r="62">
      <x:c r="A62" s="71" t="str">
        <x:v>GTP ĐƯỜNG ĐEN</x:v>
      </x:c>
      <x:c r="B62" s="30" t="str">
        <x:v>GTP ĐƯỜNG ĐEN - THÙNG</x:v>
      </x:c>
      <x:c r="C62" s="37" t="str">
        <x:v>GTPDDE</x:v>
      </x:c>
      <x:c r="D62" s="37" t="str">
        <x:v>GTPDDET</x:v>
      </x:c>
      <x:c r="E62" s="37" t="str">
        <x:v>GTPDDET</x:v>
      </x:c>
      <x:c r="F62" s="37" t="n">
        <x:v>6</x:v>
      </x:c>
      <x:c r="G62" s="37" t="n">
        <x:v>0</x:v>
      </x:c>
      <x:c r="H62" s="37" t="str">
        <x:v>g</x:v>
      </x:c>
      <x:c r="I62" s="37" t="str">
        <x:v>THÙNG</x:v>
      </x:c>
      <x:c r="J62" s="59" t="n">
        <x:v>0</x:v>
      </x:c>
      <x:c r="K62" s="59" t="n">
        <x:v>0</x:v>
      </x:c>
      <x:c r="L62" s="59" t="n">
        <x:v>0</x:v>
      </x:c>
      <x:c r="M62" s="37" t="str">
        <x:v>Siro</x:v>
      </x:c>
      <x:c r="N62" s="37" t="str">
        <x:v>ĐÃ GHÉP - QUY TẮC</x:v>
      </x:c>
      <x:c r="O62" s="61" t="n">
        <x:v>0.99</x:v>
      </x:c>
      <x:c r="P62" s="37" t="n">
        <x:v>11</x:v>
      </x:c>
      <x:c r="Q62" s="30" t="str">
        <x:v>Siro GTP dâu , duong den</x:v>
      </x:c>
      <x:c r="R62" s="30" t="str">
        <x:v>Thùng 6chai</x:v>
      </x:c>
      <x:c r="S62" s="30" t="str">
        <x:v>Chai</x:v>
      </x:c>
      <x:c r="T62" s="37" t="str">
        <x:v>ĐƠN VỊ</x:v>
      </x:c>
      <x:c r="U62" s="59" t="n">
        <x:v>146000</x:v>
      </x:c>
      <x:c r="V62" s="59"/>
      <x:c r="W62" s="117" t="n">
        <x:v>146000</x:v>
      </x:c>
      <x:c r="X62" s="59" t="str">
        <x:f>IFERROR(IF(OR($N62="ĐÃ GHÉP - AUTO",$N62="ĐÃ GHÉP - QUY TẮC"),IF($V62="","",IF($T62="THÙNG",$V62/$F62,$V62)),""),"")</x:f>
      </x:c>
      <x:c r="Y62" s="117" t="n">
        <x:f>IF(OR(W62="",F62=""),"",W62*F62)</x:f>
        <x:v>876000</x:v>
      </x:c>
      <x:c r="Z62" s="59" t="str">
        <x:f>IFERROR(IF(OR($N62="ĐÃ GHÉP - AUTO",$N62="ĐÃ GHÉP - QUY TẮC"),IF($V62="","",IF($T62="THÙNG",$V62,$V62*$F62)),""),"")</x:f>
      </x:c>
      <x:c r="AA62" s="28" t="str">
        <x:f>IFERROR(IF(OR($K62="",$K62=0,$Y62=""),"",($Y62-$K62)/$K62),"")</x:f>
      </x:c>
      <x:c r="AB62" s="37" t="str">
        <x:f>IFERROR(IF($N62="CẦN DUYỆT","DUYỆT MAP",IF($N62="CHƯA CÓ GIÁ LẺ","THIẾU GIÁ",IF(OR($K62="",$K62=0,$Y62=""),"OK",IF(ABS(($Y62-$K62)/$K62)&gt;0.15,"LỆCH GIÁ CŨ","OK")))),"OK")</x:f>
        <x:v>OK</x:v>
      </x:c>
      <x:c r="AC62" s="30" t="str">
        <x:v>GTP giá riêng dâu/đường đen</x:v>
      </x:c>
      <x:c r="AD62" s="37" t="str">
        <x:v>GTPDDE</x:v>
      </x:c>
      <x:c r="AE62" s="38" t="str">
        <x:v>GTPDDET</x:v>
      </x:c>
      <x:c r="AF62" s="123" t="n">
        <x:v>0</x:v>
      </x:c>
      <x:c r="AG62" s="112" t="str">
        <x:v>g</x:v>
      </x:c>
      <x:c r="AH62" s="112" t="str">
        <x:v>BÌNH</x:v>
      </x:c>
      <x:c r="AI62" s="112" t="str">
        <x:v>0 g / BÌNH</x:v>
      </x:c>
      <x:c r="AJ62" s="120" t="n">
        <x:v>0</x:v>
      </x:c>
      <x:c r="AK62" s="120" t="n">
        <x:v>146000</x:v>
      </x:c>
      <x:c r="AL62" s="120" t="n">
        <x:v>146000</x:v>
      </x:c>
      <x:c r="AM62" s="112" t="str">
        <x:v>DS SP GIÁ 0 - GIỮ GIÁ CŨ</x:v>
      </x:c>
      <x:c r="AN62" s="126" t="n">
        <x:v>131</x:v>
      </x:c>
      <x:c r="AO62" s="126" t="n">
        <x:v>132</x:v>
      </x:c>
      <x:c r="AP62" s="113" t="str">
        <x:v>6 BÌNH / THÙNG</x:v>
      </x:c>
    </x:row>
    <x:row r="63">
      <x:c r="A63" s="71" t="str">
        <x:v>HỒNG TRÀ GTP 1KG</x:v>
      </x:c>
      <x:c r="B63" s="30" t="str">
        <x:v>HỒNG TRÀ GTP 1KG - BAO</x:v>
      </x:c>
      <x:c r="C63" s="37" t="str">
        <x:v>HTGTP1</x:v>
      </x:c>
      <x:c r="D63" s="37" t="str">
        <x:v>HTGTP1T</x:v>
      </x:c>
      <x:c r="E63" s="37" t="str">
        <x:v>HTGTP1T</x:v>
      </x:c>
      <x:c r="F63" s="37" t="n">
        <x:v>8</x:v>
      </x:c>
      <x:c r="G63" s="37" t="n">
        <x:v>8000</x:v>
      </x:c>
      <x:c r="H63" s="37" t="str">
        <x:v>g</x:v>
      </x:c>
      <x:c r="I63" s="37" t="str">
        <x:v>BAO</x:v>
      </x:c>
      <x:c r="J63" s="59" t="n">
        <x:v>0</x:v>
      </x:c>
      <x:c r="K63" s="59" t="n">
        <x:v>0</x:v>
      </x:c>
      <x:c r="L63" s="59" t="n">
        <x:v>0</x:v>
      </x:c>
      <x:c r="M63" s="37" t="str">
        <x:v>Trà</x:v>
      </x:c>
      <x:c r="N63" s="37" t="str">
        <x:v>ĐÃ GHÉP - AUTO</x:v>
      </x:c>
      <x:c r="O63" s="61" t="n">
        <x:v>0.93</x:v>
      </x:c>
      <x:c r="P63" s="37" t="n">
        <x:v>164</x:v>
      </x:c>
      <x:c r="Q63" s="30" t="str">
        <x:v>Hồng Trà GTP 1kg</x:v>
      </x:c>
      <x:c r="R63" s="30" t="str"/>
      <x:c r="S63" s="30" t="str">
        <x:v>gói 1kg</x:v>
      </x:c>
      <x:c r="T63" s="37" t="str">
        <x:v>ĐƠN VỊ</x:v>
      </x:c>
      <x:c r="U63" s="59" t="n">
        <x:v>140000</x:v>
      </x:c>
      <x:c r="V63" s="59"/>
      <x:c r="W63" s="117" t="n">
        <x:v>140000</x:v>
      </x:c>
      <x:c r="X63" s="59" t="str">
        <x:f>IFERROR(IF(OR($N63="ĐÃ GHÉP - AUTO",$N63="ĐÃ GHÉP - QUY TẮC"),IF($V63="","",IF($T63="THÙNG",$V63/$F63,$V63)),""),"")</x:f>
      </x:c>
      <x:c r="Y63" s="117" t="n">
        <x:f>IF(OR(W63="",F63=""),"",W63*F63)</x:f>
        <x:v>1120000</x:v>
      </x:c>
      <x:c r="Z63" s="59" t="str">
        <x:f>IFERROR(IF(OR($N63="ĐÃ GHÉP - AUTO",$N63="ĐÃ GHÉP - QUY TẮC"),IF($V63="","",IF($T63="THÙNG",$V63,$V63*$F63)),""),"")</x:f>
      </x:c>
      <x:c r="AA63" s="28" t="str">
        <x:f>IFERROR(IF(OR($K63="",$K63=0,$Y63=""),"",($Y63-$K63)/$K63),"")</x:f>
      </x:c>
      <x:c r="AB63" s="37" t="str">
        <x:f>IFERROR(IF($N63="CẦN DUYỆT","DUYỆT MAP",IF($N63="CHƯA CÓ GIÁ LẺ","THIẾU GIÁ",IF(OR($K63="",$K63=0,$Y63=""),"OK",IF(ABS(($Y63-$K63)/$K63)&gt;0.15,"LỆCH GIÁ CŨ","OK")))),"OK")</x:f>
        <x:v>OK</x:v>
      </x:c>
      <x:c r="AC63" s="30" t="str">
        <x:v>score=0.930; gap=0.875</x:v>
      </x:c>
      <x:c r="AD63" s="37" t="str">
        <x:v>HTGTP1</x:v>
      </x:c>
      <x:c r="AE63" s="38" t="str">
        <x:v>HTGTP1T</x:v>
      </x:c>
      <x:c r="AF63" s="123" t="n">
        <x:v>1000</x:v>
      </x:c>
      <x:c r="AG63" s="112" t="str">
        <x:v>g</x:v>
      </x:c>
      <x:c r="AH63" s="112" t="str">
        <x:v>BỊCH</x:v>
      </x:c>
      <x:c r="AI63" s="112" t="str">
        <x:v>1000 g / BỊCH</x:v>
      </x:c>
      <x:c r="AJ63" s="120" t="n">
        <x:v>140000</x:v>
      </x:c>
      <x:c r="AK63" s="120" t="n">
        <x:v>140000</x:v>
      </x:c>
      <x:c r="AL63" s="120" t="n">
        <x:v>140000</x:v>
      </x:c>
      <x:c r="AM63" s="112" t="str">
        <x:v>GIỮ NGUYÊN - ĐÃ KHỚP</x:v>
      </x:c>
      <x:c r="AN63" s="126" t="n">
        <x:v>133</x:v>
      </x:c>
      <x:c r="AO63" s="126" t="n">
        <x:v>134</x:v>
      </x:c>
      <x:c r="AP63" s="113" t="str">
        <x:v>8 BỊCH / BAO</x:v>
      </x:c>
    </x:row>
    <x:row r="64">
      <x:c r="A64" s="71" t="str">
        <x:v>GTP NHO</x:v>
      </x:c>
      <x:c r="B64" s="30" t="str">
        <x:v>GTP NHO - THÙNG</x:v>
      </x:c>
      <x:c r="C64" s="37" t="str">
        <x:v>GTPNHO</x:v>
      </x:c>
      <x:c r="D64" s="37" t="str">
        <x:v>GTPNHOT</x:v>
      </x:c>
      <x:c r="E64" s="37" t="str">
        <x:v>GTPNHOT</x:v>
      </x:c>
      <x:c r="F64" s="37" t="n">
        <x:v>6</x:v>
      </x:c>
      <x:c r="G64" s="37" t="n">
        <x:v>1</x:v>
      </x:c>
      <x:c r="H64" s="37" t="str">
        <x:v>kg</x:v>
      </x:c>
      <x:c r="I64" s="37" t="str">
        <x:v>THÙNG</x:v>
      </x:c>
      <x:c r="J64" s="59" t="n">
        <x:v>0</x:v>
      </x:c>
      <x:c r="K64" s="59" t="n">
        <x:v>0</x:v>
      </x:c>
      <x:c r="L64" s="59" t="n">
        <x:v>0</x:v>
      </x:c>
      <x:c r="M64" s="37" t="str">
        <x:v>Siro</x:v>
      </x:c>
      <x:c r="N64" s="37" t="str">
        <x:v>ĐÃ GHÉP - AUTO</x:v>
      </x:c>
      <x:c r="O64" s="61" t="n">
        <x:v>0.872</x:v>
      </x:c>
      <x:c r="P64" s="37" t="n">
        <x:v>10</x:v>
      </x:c>
      <x:c r="Q64" s="30" t="str">
        <x:v>Siro GTP</x:v>
      </x:c>
      <x:c r="R64" s="30" t="str">
        <x:v>Thùng 6 bình</x:v>
      </x:c>
      <x:c r="S64" s="30" t="str">
        <x:v>Chai</x:v>
      </x:c>
      <x:c r="T64" s="37" t="str">
        <x:v>ĐƠN VỊ</x:v>
      </x:c>
      <x:c r="U64" s="59" t="n">
        <x:v>140000</x:v>
      </x:c>
      <x:c r="V64" s="59"/>
      <x:c r="W64" s="117" t="n">
        <x:v>140000</x:v>
      </x:c>
      <x:c r="X64" s="59" t="str">
        <x:f>IFERROR(IF(OR($N64="ĐÃ GHÉP - AUTO",$N64="ĐÃ GHÉP - QUY TẮC"),IF($V64="","",IF($T64="THÙNG",$V64/$F64,$V64)),""),"")</x:f>
      </x:c>
      <x:c r="Y64" s="117" t="n">
        <x:f>IF(OR(W64="",F64=""),"",W64*F64)</x:f>
        <x:v>840000</x:v>
      </x:c>
      <x:c r="Z64" s="59" t="str">
        <x:f>IFERROR(IF(OR($N64="ĐÃ GHÉP - AUTO",$N64="ĐÃ GHÉP - QUY TẮC"),IF($V64="","",IF($T64="THÙNG",$V64,$V64*$F64)),""),"")</x:f>
      </x:c>
      <x:c r="AA64" s="28" t="str">
        <x:f>IFERROR(IF(OR($K64="",$K64=0,$Y64=""),"",($Y64-$K64)/$K64),"")</x:f>
      </x:c>
      <x:c r="AB64" s="37" t="str">
        <x:f>IFERROR(IF($N64="CẦN DUYỆT","DUYỆT MAP",IF($N64="CHƯA CÓ GIÁ LẺ","THIẾU GIÁ",IF(OR($K64="",$K64=0,$Y64=""),"OK",IF(ABS(($Y64-$K64)/$K64)&gt;0.15,"LỆCH GIÁ CŨ","OK")))),"OK")</x:f>
        <x:v>OK</x:v>
      </x:c>
      <x:c r="AC64" s="30" t="str">
        <x:v>score=0.872; gap=0.416</x:v>
      </x:c>
      <x:c r="AD64" s="37" t="str">
        <x:v>GTPNHO</x:v>
      </x:c>
      <x:c r="AE64" s="38" t="str">
        <x:v>GTPNHOT</x:v>
      </x:c>
      <x:c r="AF64" s="123" t="n">
        <x:v>2550</x:v>
      </x:c>
      <x:c r="AG64" s="112" t="str">
        <x:v>g</x:v>
      </x:c>
      <x:c r="AH64" s="112" t="str">
        <x:v>BÌNH</x:v>
      </x:c>
      <x:c r="AI64" s="112" t="str">
        <x:v>2550 g / BÌNH</x:v>
      </x:c>
      <x:c r="AJ64" s="120" t="n">
        <x:v>0</x:v>
      </x:c>
      <x:c r="AK64" s="120" t="n">
        <x:v>140000</x:v>
      </x:c>
      <x:c r="AL64" s="120" t="n">
        <x:v>140000</x:v>
      </x:c>
      <x:c r="AM64" s="112" t="str">
        <x:v>DS SP GIÁ 0 - GIỮ GIÁ CŨ</x:v>
      </x:c>
      <x:c r="AN64" s="126" t="n">
        <x:v>135</x:v>
      </x:c>
      <x:c r="AO64" s="126" t="n">
        <x:v>136</x:v>
      </x:c>
      <x:c r="AP64" s="113" t="str">
        <x:v>6 BÌNH / THÙNG</x:v>
      </x:c>
    </x:row>
    <x:row r="65">
      <x:c r="A65" s="71" t="str">
        <x:v>SIRO MAULIN CHANH DÂY</x:v>
      </x:c>
      <x:c r="B65" s="30" t="str">
        <x:v>SIRO MAULIN CHANH DÂY - THÙNG</x:v>
      </x:c>
      <x:c r="C65" s="37" t="str">
        <x:v>SRMLCD</x:v>
      </x:c>
      <x:c r="D65" s="37" t="str">
        <x:v>SRMLCDT</x:v>
      </x:c>
      <x:c r="E65" s="37" t="str">
        <x:v>SRMLCDT</x:v>
      </x:c>
      <x:c r="F65" s="37" t="n">
        <x:v>6</x:v>
      </x:c>
      <x:c r="G65" s="37" t="n">
        <x:v>16</x:v>
      </x:c>
      <x:c r="H65" s="37" t="str">
        <x:v>kg</x:v>
      </x:c>
      <x:c r="I65" s="37" t="str">
        <x:v>THÙNG</x:v>
      </x:c>
      <x:c r="J65" s="59" t="n">
        <x:v>0</x:v>
      </x:c>
      <x:c r="K65" s="59" t="n">
        <x:v>0</x:v>
      </x:c>
      <x:c r="L65" s="59" t="n">
        <x:v>0</x:v>
      </x:c>
      <x:c r="M65" s="37" t="str">
        <x:v>Siro</x:v>
      </x:c>
      <x:c r="N65" s="37" t="str">
        <x:v>CHƯA CÓ GIÁ LẺ</x:v>
      </x:c>
      <x:c r="O65" s="61" t="n">
        <x:v>0.06</x:v>
      </x:c>
      <x:c r="P65" s="37"/>
      <x:c r="Q65" s="30"/>
      <x:c r="R65" s="30"/>
      <x:c r="S65" s="30"/>
      <x:c r="T65" s="37"/>
      <x:c r="U65" s="59"/>
      <x:c r="V65" s="59"/>
      <x:c r="W65" s="117"/>
      <x:c r="X65" s="59" t="str">
        <x:f>IFERROR(IF(OR($N65="ĐÃ GHÉP - AUTO",$N65="ĐÃ GHÉP - QUY TẮC"),IF($V65="","",IF($T65="THÙNG",$V65/$F65,$V65)),""),"")</x:f>
      </x:c>
      <x:c r="Y65" s="117" t="str">
        <x:f>IF(OR(W65="",F65=""),"",W65*F65)</x:f>
      </x:c>
      <x:c r="Z65" s="59" t="str">
        <x:f>IFERROR(IF(OR($N65="ĐÃ GHÉP - AUTO",$N65="ĐÃ GHÉP - QUY TẮC"),IF($V65="","",IF($T65="THÙNG",$V65,$V65*$F65)),""),"")</x:f>
      </x:c>
      <x:c r="AA65" s="28" t="str">
        <x:f>IFERROR(IF(OR($K65="",$K65=0,$Y65=""),"",($Y65-$K65)/$K65),"")</x:f>
      </x:c>
      <x:c r="AB65" s="37" t="str">
        <x:f>IFERROR(IF($N65="CẦN DUYỆT","DUYỆT MAP",IF($N65="CHƯA CÓ GIÁ LẺ","THIẾU GIÁ",IF(OR($K65="",$K65=0,$Y65=""),"OK",IF(ABS(($Y65-$K65)/$K65)&gt;0.15,"LỆCH GIÁ CŨ","OK")))),"OK")</x:f>
        <x:v>THIẾU GIÁ</x:v>
      </x:c>
      <x:c r="AC65" s="30" t="str">
        <x:v>ứng viên gần nhất=Siro Changthai; score=0.060</x:v>
      </x:c>
      <x:c r="AD65" s="37" t="str">
        <x:v>SRMLCD</x:v>
      </x:c>
      <x:c r="AE65" s="38" t="str">
        <x:v>SRMLCDT</x:v>
      </x:c>
      <x:c r="AF65" s="123" t="n">
        <x:v>2600</x:v>
      </x:c>
      <x:c r="AG65" s="112" t="str">
        <x:v>g</x:v>
      </x:c>
      <x:c r="AH65" s="112" t="str">
        <x:v>CHAI</x:v>
      </x:c>
      <x:c r="AI65" s="112" t="str">
        <x:v>2600 g / CHAI</x:v>
      </x:c>
      <x:c r="AJ65" s="120" t="n">
        <x:v>0</x:v>
      </x:c>
      <x:c r="AK65" s="120"/>
      <x:c r="AL65" s="120"/>
      <x:c r="AM65" s="112" t="str">
        <x:v>DS SP GIÁ 0 - VẪN THIẾU GIÁ</x:v>
      </x:c>
      <x:c r="AN65" s="126" t="n">
        <x:v>140</x:v>
      </x:c>
      <x:c r="AO65" s="126" t="n">
        <x:v>141</x:v>
      </x:c>
      <x:c r="AP65" s="113" t="str">
        <x:v>6 CHAI / THÙNG</x:v>
      </x:c>
    </x:row>
    <x:row r="66">
      <x:c r="A66" s="71" t="str">
        <x:v>SỐT DOUXIAN CARAMEN</x:v>
      </x:c>
      <x:c r="B66" s="30" t="str">
        <x:v>SỐT DOUXIAN CARAMEN - THÙNG</x:v>
      </x:c>
      <x:c r="C66" s="37" t="str">
        <x:v>SCARDX</x:v>
      </x:c>
      <x:c r="D66" s="37" t="str">
        <x:v>SCARDXT</x:v>
      </x:c>
      <x:c r="E66" s="37" t="str">
        <x:v>SCARDXT</x:v>
      </x:c>
      <x:c r="F66" s="37" t="n">
        <x:v>12</x:v>
      </x:c>
      <x:c r="G66" s="37" t="n">
        <x:v>13000</x:v>
      </x:c>
      <x:c r="H66" s="37" t="str">
        <x:v>g</x:v>
      </x:c>
      <x:c r="I66" s="37" t="str">
        <x:v>THÙNG</x:v>
      </x:c>
      <x:c r="J66" s="59" t="n">
        <x:v>0</x:v>
      </x:c>
      <x:c r="K66" s="59" t="n">
        <x:v>0</x:v>
      </x:c>
      <x:c r="L66" s="59" t="n">
        <x:v>0</x:v>
      </x:c>
      <x:c r="M66" s="37" t="str">
        <x:v>Sốt topping</x:v>
      </x:c>
      <x:c r="N66" s="37" t="str">
        <x:v>ĐÃ GHÉP - QUY TẮC</x:v>
      </x:c>
      <x:c r="O66" s="61" t="n">
        <x:v>0.99</x:v>
      </x:c>
      <x:c r="P66" s="37" t="n">
        <x:v>99</x:v>
      </x:c>
      <x:c r="Q66" s="30" t="str">
        <x:v>Sốt Douxian các loại</x:v>
      </x:c>
      <x:c r="R66" s="30" t="str">
        <x:v>Thùng 12 chai</x:v>
      </x:c>
      <x:c r="S66" s="30" t="str">
        <x:v>Chai</x:v>
      </x:c>
      <x:c r="T66" s="37" t="str">
        <x:v>ĐƠN VỊ</x:v>
      </x:c>
      <x:c r="U66" s="59" t="n">
        <x:v>53000</x:v>
      </x:c>
      <x:c r="V66" s="59"/>
      <x:c r="W66" s="117" t="n">
        <x:v>53000</x:v>
      </x:c>
      <x:c r="X66" s="59" t="str">
        <x:f>IFERROR(IF(OR($N66="ĐÃ GHÉP - AUTO",$N66="ĐÃ GHÉP - QUY TẮC"),IF($V66="","",IF($T66="THÙNG",$V66/$F66,$V66)),""),"")</x:f>
      </x:c>
      <x:c r="Y66" s="117" t="n">
        <x:f>IF(OR(W66="",F66=""),"",W66*F66)</x:f>
        <x:v>636000</x:v>
      </x:c>
      <x:c r="Z66" s="59" t="str">
        <x:f>IFERROR(IF(OR($N66="ĐÃ GHÉP - AUTO",$N66="ĐÃ GHÉP - QUY TẮC"),IF($V66="","",IF($T66="THÙNG",$V66,$V66*$F66)),""),"")</x:f>
      </x:c>
      <x:c r="AA66" s="28" t="str">
        <x:f>IFERROR(IF(OR($K66="",$K66=0,$Y66=""),"",($Y66-$K66)/$K66),"")</x:f>
      </x:c>
      <x:c r="AB66" s="37" t="str">
        <x:f>IFERROR(IF($N66="CẦN DUYỆT","DUYỆT MAP",IF($N66="CHƯA CÓ GIÁ LẺ","THIẾU GIÁ",IF(OR($K66="",$K66=0,$Y66=""),"OK",IF(ABS(($Y66-$K66)/$K66)&gt;0.15,"LỆCH GIÁ CŨ","OK")))),"OK")</x:f>
        <x:v>OK</x:v>
      </x:c>
      <x:c r="AC66" s="30" t="str">
        <x:v>Giá chung sốt Douxian</x:v>
      </x:c>
      <x:c r="AD66" s="37" t="str">
        <x:v>SCARDX</x:v>
      </x:c>
      <x:c r="AE66" s="38" t="str">
        <x:v>SCARDXT</x:v>
      </x:c>
      <x:c r="AF66" s="123" t="n">
        <x:v>750</x:v>
      </x:c>
      <x:c r="AG66" s="112" t="str">
        <x:v>g</x:v>
      </x:c>
      <x:c r="AH66" s="112" t="str">
        <x:v>CHAI</x:v>
      </x:c>
      <x:c r="AI66" s="112" t="str">
        <x:v>750 g / CHAI</x:v>
      </x:c>
      <x:c r="AJ66" s="120" t="n">
        <x:v>0</x:v>
      </x:c>
      <x:c r="AK66" s="120" t="n">
        <x:v>53000</x:v>
      </x:c>
      <x:c r="AL66" s="120" t="n">
        <x:v>53000</x:v>
      </x:c>
      <x:c r="AM66" s="112" t="str">
        <x:v>DS SP GIÁ 0 - GIỮ GIÁ CŨ</x:v>
      </x:c>
      <x:c r="AN66" s="126" t="n">
        <x:v>143</x:v>
      </x:c>
      <x:c r="AO66" s="126" t="n">
        <x:v>144</x:v>
      </x:c>
      <x:c r="AP66" s="113" t="str">
        <x:v>12 CHAI / THÙNG</x:v>
      </x:c>
    </x:row>
    <x:row r="67">
      <x:c r="A67" s="71" t="str">
        <x:v>ICEHOT CÔ ĐẶC</x:v>
      </x:c>
      <x:c r="B67" s="30" t="str">
        <x:v>ICEHOT CÔ ĐẶC - THÙNG</x:v>
      </x:c>
      <x:c r="C67" s="37" t="str">
        <x:v>ICEHCD</x:v>
      </x:c>
      <x:c r="D67" s="37" t="str">
        <x:v>ICEHCDT</x:v>
      </x:c>
      <x:c r="E67" s="37" t="str">
        <x:v>ICEHCDT</x:v>
      </x:c>
      <x:c r="F67" s="37" t="n">
        <x:v>12</x:v>
      </x:c>
      <x:c r="G67" s="37" t="n">
        <x:v>13</x:v>
      </x:c>
      <x:c r="H67" s="37" t="str">
        <x:v>kg</x:v>
      </x:c>
      <x:c r="I67" s="37" t="str">
        <x:v>THÙNG</x:v>
      </x:c>
      <x:c r="J67" s="59" t="n">
        <x:v>0</x:v>
      </x:c>
      <x:c r="K67" s="59" t="n">
        <x:v>0</x:v>
      </x:c>
      <x:c r="L67" s="59" t="n">
        <x:v>0</x:v>
      </x:c>
      <x:c r="M67" s="37" t="str">
        <x:v>Khác</x:v>
      </x:c>
      <x:c r="N67" s="37" t="str">
        <x:v>CHƯA CÓ GIÁ LẺ</x:v>
      </x:c>
      <x:c r="O67" s="61" t="n">
        <x:v>0.405</x:v>
      </x:c>
      <x:c r="P67" s="37"/>
      <x:c r="Q67" s="30"/>
      <x:c r="R67" s="30"/>
      <x:c r="S67" s="30"/>
      <x:c r="T67" s="37"/>
      <x:c r="U67" s="59"/>
      <x:c r="V67" s="59"/>
      <x:c r="W67" s="117"/>
      <x:c r="X67" s="59" t="str">
        <x:f>IFERROR(IF(OR($N67="ĐÃ GHÉP - AUTO",$N67="ĐÃ GHÉP - QUY TẮC"),IF($V67="","",IF($T67="THÙNG",$V67/$F67,$V67)),""),"")</x:f>
      </x:c>
      <x:c r="Y67" s="117" t="str">
        <x:f>IF(OR(W67="",F67=""),"",W67*F67)</x:f>
      </x:c>
      <x:c r="Z67" s="59" t="str">
        <x:f>IFERROR(IF(OR($N67="ĐÃ GHÉP - AUTO",$N67="ĐÃ GHÉP - QUY TẮC"),IF($V67="","",IF($T67="THÙNG",$V67,$V67*$F67)),""),"")</x:f>
      </x:c>
      <x:c r="AA67" s="28" t="str">
        <x:f>IFERROR(IF(OR($K67="",$K67=0,$Y67=""),"",($Y67-$K67)/$K67),"")</x:f>
      </x:c>
      <x:c r="AB67" s="37" t="str">
        <x:f>IFERROR(IF($N67="CẦN DUYỆT","DUYỆT MAP",IF($N67="CHƯA CÓ GIÁ LẺ","THIẾU GIÁ",IF(OR($K67="",$K67=0,$Y67=""),"OK",IF(ABS(($Y67-$K67)/$K67)&gt;0.15,"LỆCH GIÁ CŨ","OK")))),"OK")</x:f>
        <x:v>THIẾU GIÁ</x:v>
      </x:c>
      <x:c r="AC67" s="30" t="str">
        <x:v>ứng viên gần nhất=HỒNG TRÀ CÔ GÁI; score=0.405</x:v>
      </x:c>
      <x:c r="AD67" s="37" t="str">
        <x:v>ICEHCD</x:v>
      </x:c>
      <x:c r="AE67" s="38" t="str">
        <x:v>ICEHCDT</x:v>
      </x:c>
      <x:c r="AF67" s="123" t="n">
        <x:v>1</x:v>
      </x:c>
      <x:c r="AG67" s="112" t="str">
        <x:v>kg</x:v>
      </x:c>
      <x:c r="AH67" s="112" t="str">
        <x:v>HỘP</x:v>
      </x:c>
      <x:c r="AI67" s="112" t="str">
        <x:v>1 kg / HỘP</x:v>
      </x:c>
      <x:c r="AJ67" s="120" t="n">
        <x:v>0</x:v>
      </x:c>
      <x:c r="AK67" s="120"/>
      <x:c r="AL67" s="120"/>
      <x:c r="AM67" s="112" t="str">
        <x:v>DS SP GIÁ 0 - VẪN THIẾU GIÁ</x:v>
      </x:c>
      <x:c r="AN67" s="126" t="n">
        <x:v>145</x:v>
      </x:c>
      <x:c r="AO67" s="126" t="n">
        <x:v>146</x:v>
      </x:c>
      <x:c r="AP67" s="113" t="str">
        <x:v>12 HỘP / THÙNG</x:v>
      </x:c>
    </x:row>
    <x:row r="68">
      <x:c r="A68" s="71" t="str">
        <x:v>SIRO VINA TRÀ XANH</x:v>
      </x:c>
      <x:c r="B68" s="30" t="str">
        <x:v>SIRO VINA TRÀ XANH - THÙNG</x:v>
      </x:c>
      <x:c r="C68" s="37" t="str">
        <x:v>SRVNTX</x:v>
      </x:c>
      <x:c r="D68" s="37" t="str">
        <x:v>SRVNTXT</x:v>
      </x:c>
      <x:c r="E68" s="37" t="str">
        <x:v>SRVNTXT</x:v>
      </x:c>
      <x:c r="F68" s="37" t="n">
        <x:v>12</x:v>
      </x:c>
      <x:c r="G68" s="37" t="n">
        <x:v>13000</x:v>
      </x:c>
      <x:c r="H68" s="37" t="str">
        <x:v>g</x:v>
      </x:c>
      <x:c r="I68" s="37" t="str">
        <x:v>THÙNG</x:v>
      </x:c>
      <x:c r="J68" s="59" t="n">
        <x:v>0</x:v>
      </x:c>
      <x:c r="K68" s="59" t="n">
        <x:v>0</x:v>
      </x:c>
      <x:c r="L68" s="59" t="n">
        <x:v>0</x:v>
      </x:c>
      <x:c r="M68" s="37" t="str">
        <x:v>Trà</x:v>
      </x:c>
      <x:c r="N68" s="37" t="str">
        <x:v>CHƯA CÓ GIÁ LẺ</x:v>
      </x:c>
      <x:c r="O68" s="61" t="n">
        <x:v>0.568</x:v>
      </x:c>
      <x:c r="P68" s="37"/>
      <x:c r="Q68" s="30"/>
      <x:c r="R68" s="30"/>
      <x:c r="S68" s="30"/>
      <x:c r="T68" s="37"/>
      <x:c r="U68" s="59"/>
      <x:c r="V68" s="59"/>
      <x:c r="W68" s="117" t="n">
        <x:v>40000</x:v>
      </x:c>
      <x:c r="X68" s="59" t="str">
        <x:f>IFERROR(IF(OR($N68="ĐÃ GHÉP - AUTO",$N68="ĐÃ GHÉP - QUY TẮC"),IF($V68="","",IF($T68="THÙNG",$V68/$F68,$V68)),""),"")</x:f>
      </x:c>
      <x:c r="Y68" s="117" t="n">
        <x:f>IF(OR(W68="",F68=""),"",W68*F68)</x:f>
        <x:v>480000</x:v>
      </x:c>
      <x:c r="Z68" s="59" t="str">
        <x:f>IFERROR(IF(OR($N68="ĐÃ GHÉP - AUTO",$N68="ĐÃ GHÉP - QUY TẮC"),IF($V68="","",IF($T68="THÙNG",$V68,$V68*$F68)),""),"")</x:f>
      </x:c>
      <x:c r="AA68" s="28" t="str">
        <x:f>IFERROR(IF(OR($K68="",$K68=0,$Y68=""),"",($Y68-$K68)/$K68),"")</x:f>
      </x:c>
      <x:c r="AB68" s="37" t="str">
        <x:f>IFERROR(IF($N68="CẦN DUYỆT","DUYỆT MAP",IF($N68="CHƯA CÓ GIÁ LẺ","THIẾU GIÁ",IF(OR($K68="",$K68=0,$Y68=""),"OK",IF(ABS(($Y68-$K68)/$K68)&gt;0.15,"LỆCH GIÁ CŨ","OK")))),"OK")</x:f>
        <x:v>THIẾU GIÁ</x:v>
      </x:c>
      <x:c r="AC68" s="30" t="str">
        <x:v>ứng viên gần nhất=Trà Thái xanh thường; score=0.568</x:v>
      </x:c>
      <x:c r="AD68" s="37" t="str">
        <x:v>SRVNTX</x:v>
      </x:c>
      <x:c r="AE68" s="38" t="str">
        <x:v>SRVNTXT</x:v>
      </x:c>
      <x:c r="AF68" s="123" t="n">
        <x:v>1000</x:v>
      </x:c>
      <x:c r="AG68" s="112" t="str">
        <x:v>g</x:v>
      </x:c>
      <x:c r="AH68" s="112" t="str">
        <x:v>CHAI</x:v>
      </x:c>
      <x:c r="AI68" s="112" t="str">
        <x:v>1000 g / CHAI</x:v>
      </x:c>
      <x:c r="AJ68" s="120" t="n">
        <x:v>40000</x:v>
      </x:c>
      <x:c r="AK68" s="120"/>
      <x:c r="AL68" s="120" t="n">
        <x:v>40000</x:v>
      </x:c>
      <x:c r="AM68" s="112" t="str">
        <x:v>BỔ SUNG GIÁ</x:v>
      </x:c>
      <x:c r="AN68" s="126" t="n">
        <x:v>153</x:v>
      </x:c>
      <x:c r="AO68" s="126" t="n">
        <x:v>154</x:v>
      </x:c>
      <x:c r="AP68" s="113" t="str">
        <x:v>12 CHAI / THÙNG</x:v>
      </x:c>
    </x:row>
    <x:row r="69">
      <x:c r="A69" s="71" t="str">
        <x:v>SIRO VINA TÁO</x:v>
      </x:c>
      <x:c r="B69" s="30" t="str">
        <x:v>SIRO VINA TÁO - THÙNG</x:v>
      </x:c>
      <x:c r="C69" s="37" t="str">
        <x:v>SRVNTA</x:v>
      </x:c>
      <x:c r="D69" s="37" t="str">
        <x:v>SRVNTAT</x:v>
      </x:c>
      <x:c r="E69" s="37" t="str">
        <x:v>SRVNTAT</x:v>
      </x:c>
      <x:c r="F69" s="37" t="n">
        <x:v>12</x:v>
      </x:c>
      <x:c r="G69" s="37" t="n">
        <x:v>13000</x:v>
      </x:c>
      <x:c r="H69" s="37" t="str">
        <x:v>g</x:v>
      </x:c>
      <x:c r="I69" s="37" t="str">
        <x:v>THÙNG</x:v>
      </x:c>
      <x:c r="J69" s="59" t="n">
        <x:v>0</x:v>
      </x:c>
      <x:c r="K69" s="59" t="n">
        <x:v>0</x:v>
      </x:c>
      <x:c r="L69" s="59" t="n">
        <x:v>0</x:v>
      </x:c>
      <x:c r="M69" s="37" t="str">
        <x:v>Siro</x:v>
      </x:c>
      <x:c r="N69" s="37" t="str">
        <x:v>ĐÃ GHÉP - AUTO</x:v>
      </x:c>
      <x:c r="O69" s="61" t="n">
        <x:v>0.867</x:v>
      </x:c>
      <x:c r="P69" s="37" t="n">
        <x:v>12</x:v>
      </x:c>
      <x:c r="Q69" s="30" t="str">
        <x:v>Siro Vina</x:v>
      </x:c>
      <x:c r="R69" s="30" t="str">
        <x:v>Thùng 12 chai</x:v>
      </x:c>
      <x:c r="S69" s="30" t="str">
        <x:v>Chai</x:v>
      </x:c>
      <x:c r="T69" s="37" t="str">
        <x:v>ĐƠN VỊ</x:v>
      </x:c>
      <x:c r="U69" s="59" t="n">
        <x:v>40000</x:v>
      </x:c>
      <x:c r="V69" s="59"/>
      <x:c r="W69" s="117" t="n">
        <x:v>40000</x:v>
      </x:c>
      <x:c r="X69" s="59" t="str">
        <x:f>IFERROR(IF(OR($N69="ĐÃ GHÉP - AUTO",$N69="ĐÃ GHÉP - QUY TẮC"),IF($V69="","",IF($T69="THÙNG",$V69/$F69,$V69)),""),"")</x:f>
      </x:c>
      <x:c r="Y69" s="117" t="n">
        <x:f>IF(OR(W69="",F69=""),"",W69*F69)</x:f>
        <x:v>480000</x:v>
      </x:c>
      <x:c r="Z69" s="59" t="str">
        <x:f>IFERROR(IF(OR($N69="ĐÃ GHÉP - AUTO",$N69="ĐÃ GHÉP - QUY TẮC"),IF($V69="","",IF($T69="THÙNG",$V69,$V69*$F69)),""),"")</x:f>
      </x:c>
      <x:c r="AA69" s="28" t="str">
        <x:f>IFERROR(IF(OR($K69="",$K69=0,$Y69=""),"",($Y69-$K69)/$K69),"")</x:f>
      </x:c>
      <x:c r="AB69" s="37" t="str">
        <x:f>IFERROR(IF($N69="CẦN DUYỆT","DUYỆT MAP",IF($N69="CHƯA CÓ GIÁ LẺ","THIẾU GIÁ",IF(OR($K69="",$K69=0,$Y69=""),"OK",IF(ABS(($Y69-$K69)/$K69)&gt;0.15,"LỆCH GIÁ CŨ","OK")))),"OK")</x:f>
        <x:v>OK</x:v>
      </x:c>
      <x:c r="AC69" s="30" t="str">
        <x:v>score=0.867; gap=0.367</x:v>
      </x:c>
      <x:c r="AD69" s="37" t="str">
        <x:v>SRVNTA</x:v>
      </x:c>
      <x:c r="AE69" s="38" t="str">
        <x:v>SRVNTAT</x:v>
      </x:c>
      <x:c r="AF69" s="123" t="n">
        <x:v>1000</x:v>
      </x:c>
      <x:c r="AG69" s="112" t="str">
        <x:v>g</x:v>
      </x:c>
      <x:c r="AH69" s="112" t="str">
        <x:v>CHAI</x:v>
      </x:c>
      <x:c r="AI69" s="112" t="str">
        <x:v>1000 g / CHAI</x:v>
      </x:c>
      <x:c r="AJ69" s="120" t="n">
        <x:v>40000</x:v>
      </x:c>
      <x:c r="AK69" s="120" t="n">
        <x:v>40000</x:v>
      </x:c>
      <x:c r="AL69" s="120" t="n">
        <x:v>40000</x:v>
      </x:c>
      <x:c r="AM69" s="112" t="str">
        <x:v>GIỮ NGUYÊN - ĐÃ KHỚP</x:v>
      </x:c>
      <x:c r="AN69" s="126" t="n">
        <x:v>155</x:v>
      </x:c>
      <x:c r="AO69" s="126" t="n">
        <x:v>156</x:v>
      </x:c>
      <x:c r="AP69" s="113" t="str">
        <x:v>12 CHAI / THÙNG</x:v>
      </x:c>
    </x:row>
    <x:row r="70">
      <x:c r="A70" s="71" t="str">
        <x:v>SIRO VINA MÔN</x:v>
      </x:c>
      <x:c r="B70" s="30" t="str">
        <x:v>SIRO VINA MÔN - THÙNG</x:v>
      </x:c>
      <x:c r="C70" s="37" t="str">
        <x:v>SRVNMN</x:v>
      </x:c>
      <x:c r="D70" s="37" t="str">
        <x:v>SRVNMNT</x:v>
      </x:c>
      <x:c r="E70" s="37" t="str">
        <x:v>SRVNMNT</x:v>
      </x:c>
      <x:c r="F70" s="37" t="n">
        <x:v>12</x:v>
      </x:c>
      <x:c r="G70" s="37" t="n">
        <x:v>13000</x:v>
      </x:c>
      <x:c r="H70" s="37" t="str">
        <x:v>g</x:v>
      </x:c>
      <x:c r="I70" s="37" t="str">
        <x:v>THÙNG</x:v>
      </x:c>
      <x:c r="J70" s="59" t="n">
        <x:v>0</x:v>
      </x:c>
      <x:c r="K70" s="59" t="n">
        <x:v>0</x:v>
      </x:c>
      <x:c r="L70" s="59" t="n">
        <x:v>0</x:v>
      </x:c>
      <x:c r="M70" s="37" t="str">
        <x:v>Siro</x:v>
      </x:c>
      <x:c r="N70" s="37" t="str">
        <x:v>ĐÃ GHÉP - AUTO</x:v>
      </x:c>
      <x:c r="O70" s="61" t="n">
        <x:v>0.867</x:v>
      </x:c>
      <x:c r="P70" s="37" t="n">
        <x:v>12</x:v>
      </x:c>
      <x:c r="Q70" s="30" t="str">
        <x:v>Siro Vina</x:v>
      </x:c>
      <x:c r="R70" s="30" t="str">
        <x:v>Thùng 12 chai</x:v>
      </x:c>
      <x:c r="S70" s="30" t="str">
        <x:v>Chai</x:v>
      </x:c>
      <x:c r="T70" s="37" t="str">
        <x:v>ĐƠN VỊ</x:v>
      </x:c>
      <x:c r="U70" s="59" t="n">
        <x:v>40000</x:v>
      </x:c>
      <x:c r="V70" s="59"/>
      <x:c r="W70" s="117" t="n">
        <x:v>40000</x:v>
      </x:c>
      <x:c r="X70" s="59" t="str">
        <x:f>IFERROR(IF(OR($N70="ĐÃ GHÉP - AUTO",$N70="ĐÃ GHÉP - QUY TẮC"),IF($V70="","",IF($T70="THÙNG",$V70/$F70,$V70)),""),"")</x:f>
      </x:c>
      <x:c r="Y70" s="117" t="n">
        <x:f>IF(OR(W70="",F70=""),"",W70*F70)</x:f>
        <x:v>480000</x:v>
      </x:c>
      <x:c r="Z70" s="59" t="str">
        <x:f>IFERROR(IF(OR($N70="ĐÃ GHÉP - AUTO",$N70="ĐÃ GHÉP - QUY TẮC"),IF($V70="","",IF($T70="THÙNG",$V70,$V70*$F70)),""),"")</x:f>
      </x:c>
      <x:c r="AA70" s="28" t="str">
        <x:f>IFERROR(IF(OR($K70="",$K70=0,$Y70=""),"",($Y70-$K70)/$K70),"")</x:f>
      </x:c>
      <x:c r="AB70" s="37" t="str">
        <x:f>IFERROR(IF($N70="CẦN DUYỆT","DUYỆT MAP",IF($N70="CHƯA CÓ GIÁ LẺ","THIẾU GIÁ",IF(OR($K70="",$K70=0,$Y70=""),"OK",IF(ABS(($Y70-$K70)/$K70)&gt;0.15,"LỆCH GIÁ CŨ","OK")))),"OK")</x:f>
        <x:v>OK</x:v>
      </x:c>
      <x:c r="AC70" s="30" t="str">
        <x:v>score=0.867; gap=0.367</x:v>
      </x:c>
      <x:c r="AD70" s="37" t="str">
        <x:v>SRVNMN</x:v>
      </x:c>
      <x:c r="AE70" s="38" t="str">
        <x:v>SRVNMNT</x:v>
      </x:c>
      <x:c r="AF70" s="123" t="n">
        <x:v>1000</x:v>
      </x:c>
      <x:c r="AG70" s="112" t="str">
        <x:v>g</x:v>
      </x:c>
      <x:c r="AH70" s="112" t="str">
        <x:v>CHAI</x:v>
      </x:c>
      <x:c r="AI70" s="112" t="str">
        <x:v>1000 g / CHAI</x:v>
      </x:c>
      <x:c r="AJ70" s="120" t="n">
        <x:v>40000</x:v>
      </x:c>
      <x:c r="AK70" s="120" t="n">
        <x:v>40000</x:v>
      </x:c>
      <x:c r="AL70" s="120" t="n">
        <x:v>40000</x:v>
      </x:c>
      <x:c r="AM70" s="112" t="str">
        <x:v>GIỮ NGUYÊN - ĐÃ KHỚP</x:v>
      </x:c>
      <x:c r="AN70" s="126" t="n">
        <x:v>157</x:v>
      </x:c>
      <x:c r="AO70" s="126" t="n">
        <x:v>158</x:v>
      </x:c>
      <x:c r="AP70" s="113" t="str">
        <x:v>12 CHAI / THÙNG</x:v>
      </x:c>
    </x:row>
    <x:row r="71">
      <x:c r="A71" s="71" t="str">
        <x:v>SIRO VINA KIWI</x:v>
      </x:c>
      <x:c r="B71" s="30" t="str">
        <x:v>SIRO VINA KIWI - THÙNG</x:v>
      </x:c>
      <x:c r="C71" s="37" t="str">
        <x:v>SRVNKW</x:v>
      </x:c>
      <x:c r="D71" s="37" t="str">
        <x:v>SRVNKWT</x:v>
      </x:c>
      <x:c r="E71" s="37" t="str">
        <x:v>SRVNKWT</x:v>
      </x:c>
      <x:c r="F71" s="37" t="n">
        <x:v>12</x:v>
      </x:c>
      <x:c r="G71" s="37" t="n">
        <x:v>13000</x:v>
      </x:c>
      <x:c r="H71" s="37" t="str">
        <x:v>g</x:v>
      </x:c>
      <x:c r="I71" s="37" t="str">
        <x:v>THÙNG</x:v>
      </x:c>
      <x:c r="J71" s="59" t="n">
        <x:v>0</x:v>
      </x:c>
      <x:c r="K71" s="59" t="n">
        <x:v>0</x:v>
      </x:c>
      <x:c r="L71" s="59" t="n">
        <x:v>0</x:v>
      </x:c>
      <x:c r="M71" s="37" t="str">
        <x:v>Siro</x:v>
      </x:c>
      <x:c r="N71" s="37" t="str">
        <x:v>ĐÃ GHÉP - AUTO</x:v>
      </x:c>
      <x:c r="O71" s="61" t="n">
        <x:v>0.865</x:v>
      </x:c>
      <x:c r="P71" s="37" t="n">
        <x:v>12</x:v>
      </x:c>
      <x:c r="Q71" s="30" t="str">
        <x:v>Siro Vina</x:v>
      </x:c>
      <x:c r="R71" s="30" t="str">
        <x:v>Thùng 12 chai</x:v>
      </x:c>
      <x:c r="S71" s="30" t="str">
        <x:v>Chai</x:v>
      </x:c>
      <x:c r="T71" s="37" t="str">
        <x:v>ĐƠN VỊ</x:v>
      </x:c>
      <x:c r="U71" s="59" t="n">
        <x:v>40000</x:v>
      </x:c>
      <x:c r="V71" s="59"/>
      <x:c r="W71" s="117" t="n">
        <x:v>40000</x:v>
      </x:c>
      <x:c r="X71" s="59" t="str">
        <x:f>IFERROR(IF(OR($N71="ĐÃ GHÉP - AUTO",$N71="ĐÃ GHÉP - QUY TẮC"),IF($V71="","",IF($T71="THÙNG",$V71/$F71,$V71)),""),"")</x:f>
      </x:c>
      <x:c r="Y71" s="117" t="n">
        <x:f>IF(OR(W71="",F71=""),"",W71*F71)</x:f>
        <x:v>480000</x:v>
      </x:c>
      <x:c r="Z71" s="59" t="str">
        <x:f>IFERROR(IF(OR($N71="ĐÃ GHÉP - AUTO",$N71="ĐÃ GHÉP - QUY TẮC"),IF($V71="","",IF($T71="THÙNG",$V71,$V71*$F71)),""),"")</x:f>
      </x:c>
      <x:c r="AA71" s="28" t="str">
        <x:f>IFERROR(IF(OR($K71="",$K71=0,$Y71=""),"",($Y71-$K71)/$K71),"")</x:f>
      </x:c>
      <x:c r="AB71" s="37" t="str">
        <x:f>IFERROR(IF($N71="CẦN DUYỆT","DUYỆT MAP",IF($N71="CHƯA CÓ GIÁ LẺ","THIẾU GIÁ",IF(OR($K71="",$K71=0,$Y71=""),"OK",IF(ABS(($Y71-$K71)/$K71)&gt;0.15,"LỆCH GIÁ CŨ","OK")))),"OK")</x:f>
        <x:v>OK</x:v>
      </x:c>
      <x:c r="AC71" s="30" t="str">
        <x:v>score=0.865; gap=0.410</x:v>
      </x:c>
      <x:c r="AD71" s="37" t="str">
        <x:v>SRVNKW</x:v>
      </x:c>
      <x:c r="AE71" s="38" t="str">
        <x:v>SRVNKWT</x:v>
      </x:c>
      <x:c r="AF71" s="123" t="n">
        <x:v>1000</x:v>
      </x:c>
      <x:c r="AG71" s="112" t="str">
        <x:v>g</x:v>
      </x:c>
      <x:c r="AH71" s="112" t="str">
        <x:v>CHAI</x:v>
      </x:c>
      <x:c r="AI71" s="112" t="str">
        <x:v>1000 g / CHAI</x:v>
      </x:c>
      <x:c r="AJ71" s="120" t="n">
        <x:v>40000</x:v>
      </x:c>
      <x:c r="AK71" s="120" t="n">
        <x:v>40000</x:v>
      </x:c>
      <x:c r="AL71" s="120" t="n">
        <x:v>40000</x:v>
      </x:c>
      <x:c r="AM71" s="112" t="str">
        <x:v>GIỮ NGUYÊN - ĐÃ KHỚP</x:v>
      </x:c>
      <x:c r="AN71" s="126" t="n">
        <x:v>159</x:v>
      </x:c>
      <x:c r="AO71" s="126" t="n">
        <x:v>160</x:v>
      </x:c>
      <x:c r="AP71" s="113" t="str">
        <x:v>12 CHAI / THÙNG</x:v>
      </x:c>
    </x:row>
    <x:row r="72">
      <x:c r="A72" s="71" t="str">
        <x:v>SIRO VINA DƯA LƯỚI</x:v>
      </x:c>
      <x:c r="B72" s="30" t="str">
        <x:v>SIRO VINA DƯA LƯỚI - THÙNG</x:v>
      </x:c>
      <x:c r="C72" s="37" t="str">
        <x:v>SRVNDL</x:v>
      </x:c>
      <x:c r="D72" s="37" t="str">
        <x:v>SRVNDLT</x:v>
      </x:c>
      <x:c r="E72" s="37" t="str">
        <x:v>SRVNDLT</x:v>
      </x:c>
      <x:c r="F72" s="37" t="n">
        <x:v>12</x:v>
      </x:c>
      <x:c r="G72" s="37" t="n">
        <x:v>13000</x:v>
      </x:c>
      <x:c r="H72" s="37" t="str">
        <x:v>g</x:v>
      </x:c>
      <x:c r="I72" s="37" t="str">
        <x:v>THÙNG</x:v>
      </x:c>
      <x:c r="J72" s="59" t="n">
        <x:v>0</x:v>
      </x:c>
      <x:c r="K72" s="59" t="n">
        <x:v>0</x:v>
      </x:c>
      <x:c r="L72" s="59" t="n">
        <x:v>0</x:v>
      </x:c>
      <x:c r="M72" s="37" t="str">
        <x:v>Siro</x:v>
      </x:c>
      <x:c r="N72" s="37" t="str">
        <x:v>ĐÃ GHÉP - AUTO</x:v>
      </x:c>
      <x:c r="O72" s="61" t="n">
        <x:v>0.848</x:v>
      </x:c>
      <x:c r="P72" s="37" t="n">
        <x:v>12</x:v>
      </x:c>
      <x:c r="Q72" s="30" t="str">
        <x:v>Siro Vina</x:v>
      </x:c>
      <x:c r="R72" s="30" t="str">
        <x:v>Thùng 12 chai</x:v>
      </x:c>
      <x:c r="S72" s="30" t="str">
        <x:v>Chai</x:v>
      </x:c>
      <x:c r="T72" s="37" t="str">
        <x:v>ĐƠN VỊ</x:v>
      </x:c>
      <x:c r="U72" s="59" t="n">
        <x:v>40000</x:v>
      </x:c>
      <x:c r="V72" s="59"/>
      <x:c r="W72" s="117" t="n">
        <x:v>40000</x:v>
      </x:c>
      <x:c r="X72" s="59" t="str">
        <x:f>IFERROR(IF(OR($N72="ĐÃ GHÉP - AUTO",$N72="ĐÃ GHÉP - QUY TẮC"),IF($V72="","",IF($T72="THÙNG",$V72/$F72,$V72)),""),"")</x:f>
      </x:c>
      <x:c r="Y72" s="117" t="n">
        <x:f>IF(OR(W72="",F72=""),"",W72*F72)</x:f>
        <x:v>480000</x:v>
      </x:c>
      <x:c r="Z72" s="59" t="str">
        <x:f>IFERROR(IF(OR($N72="ĐÃ GHÉP - AUTO",$N72="ĐÃ GHÉP - QUY TẮC"),IF($V72="","",IF($T72="THÙNG",$V72,$V72*$F72)),""),"")</x:f>
      </x:c>
      <x:c r="AA72" s="28" t="str">
        <x:f>IFERROR(IF(OR($K72="",$K72=0,$Y72=""),"",($Y72-$K72)/$K72),"")</x:f>
      </x:c>
      <x:c r="AB72" s="37" t="str">
        <x:f>IFERROR(IF($N72="CẦN DUYỆT","DUYỆT MAP",IF($N72="CHƯA CÓ GIÁ LẺ","THIẾU GIÁ",IF(OR($K72="",$K72=0,$Y72=""),"OK",IF(ABS(($Y72-$K72)/$K72)&gt;0.15,"LỆCH GIÁ CŨ","OK")))),"OK")</x:f>
        <x:v>OK</x:v>
      </x:c>
      <x:c r="AC72" s="30" t="str">
        <x:v>score=0.848; gap=0.187</x:v>
      </x:c>
      <x:c r="AD72" s="37" t="str">
        <x:v>SRVNDL</x:v>
      </x:c>
      <x:c r="AE72" s="38" t="str">
        <x:v>SRVNDLT</x:v>
      </x:c>
      <x:c r="AF72" s="123" t="n">
        <x:v>1000</x:v>
      </x:c>
      <x:c r="AG72" s="112" t="str">
        <x:v>g</x:v>
      </x:c>
      <x:c r="AH72" s="112" t="str">
        <x:v>CHAI</x:v>
      </x:c>
      <x:c r="AI72" s="112" t="str">
        <x:v>1000 g / CHAI</x:v>
      </x:c>
      <x:c r="AJ72" s="120" t="n">
        <x:v>40000</x:v>
      </x:c>
      <x:c r="AK72" s="120" t="n">
        <x:v>40000</x:v>
      </x:c>
      <x:c r="AL72" s="120" t="n">
        <x:v>40000</x:v>
      </x:c>
      <x:c r="AM72" s="112" t="str">
        <x:v>GIỮ NGUYÊN - ĐÃ KHỚP</x:v>
      </x:c>
      <x:c r="AN72" s="126" t="n">
        <x:v>161</x:v>
      </x:c>
      <x:c r="AO72" s="126" t="n">
        <x:v>162</x:v>
      </x:c>
      <x:c r="AP72" s="113" t="str">
        <x:v>12 CHAI / THÙNG</x:v>
      </x:c>
    </x:row>
    <x:row r="73">
      <x:c r="A73" s="71" t="str">
        <x:v>SIRO VINA CHANH DÂY</x:v>
      </x:c>
      <x:c r="B73" s="30" t="str">
        <x:v>SIRO VINA CHANH DÂY - THÙNG</x:v>
      </x:c>
      <x:c r="C73" s="37" t="str">
        <x:v>SRVNCD</x:v>
      </x:c>
      <x:c r="D73" s="37" t="str">
        <x:v>SRVNCDT</x:v>
      </x:c>
      <x:c r="E73" s="37" t="str">
        <x:v>SRVNCDT</x:v>
      </x:c>
      <x:c r="F73" s="37" t="n">
        <x:v>12</x:v>
      </x:c>
      <x:c r="G73" s="37" t="n">
        <x:v>13000</x:v>
      </x:c>
      <x:c r="H73" s="37" t="str">
        <x:v>g</x:v>
      </x:c>
      <x:c r="I73" s="37" t="str">
        <x:v>THÙNG</x:v>
      </x:c>
      <x:c r="J73" s="59" t="n">
        <x:v>0</x:v>
      </x:c>
      <x:c r="K73" s="59" t="n">
        <x:v>0</x:v>
      </x:c>
      <x:c r="L73" s="59" t="n">
        <x:v>0</x:v>
      </x:c>
      <x:c r="M73" s="37" t="str">
        <x:v>Siro</x:v>
      </x:c>
      <x:c r="N73" s="37" t="str">
        <x:v>ĐÃ GHÉP - AUTO</x:v>
      </x:c>
      <x:c r="O73" s="61" t="n">
        <x:v>0.844</x:v>
      </x:c>
      <x:c r="P73" s="37" t="n">
        <x:v>12</x:v>
      </x:c>
      <x:c r="Q73" s="30" t="str">
        <x:v>Siro Vina</x:v>
      </x:c>
      <x:c r="R73" s="30" t="str">
        <x:v>Thùng 12 chai</x:v>
      </x:c>
      <x:c r="S73" s="30" t="str">
        <x:v>Chai</x:v>
      </x:c>
      <x:c r="T73" s="37" t="str">
        <x:v>ĐƠN VỊ</x:v>
      </x:c>
      <x:c r="U73" s="59" t="n">
        <x:v>40000</x:v>
      </x:c>
      <x:c r="V73" s="59"/>
      <x:c r="W73" s="117" t="n">
        <x:v>40000</x:v>
      </x:c>
      <x:c r="X73" s="59" t="str">
        <x:f>IFERROR(IF(OR($N73="ĐÃ GHÉP - AUTO",$N73="ĐÃ GHÉP - QUY TẮC"),IF($V73="","",IF($T73="THÙNG",$V73/$F73,$V73)),""),"")</x:f>
      </x:c>
      <x:c r="Y73" s="117" t="n">
        <x:f>IF(OR(W73="",F73=""),"",W73*F73)</x:f>
        <x:v>480000</x:v>
      </x:c>
      <x:c r="Z73" s="59" t="str">
        <x:f>IFERROR(IF(OR($N73="ĐÃ GHÉP - AUTO",$N73="ĐÃ GHÉP - QUY TẮC"),IF($V73="","",IF($T73="THÙNG",$V73,$V73*$F73)),""),"")</x:f>
      </x:c>
      <x:c r="AA73" s="28" t="str">
        <x:f>IFERROR(IF(OR($K73="",$K73=0,$Y73=""),"",($Y73-$K73)/$K73),"")</x:f>
      </x:c>
      <x:c r="AB73" s="37" t="str">
        <x:f>IFERROR(IF($N73="CẦN DUYỆT","DUYỆT MAP",IF($N73="CHƯA CÓ GIÁ LẺ","THIẾU GIÁ",IF(OR($K73="",$K73=0,$Y73=""),"OK",IF(ABS(($Y73-$K73)/$K73)&gt;0.15,"LỆCH GIÁ CŨ","OK")))),"OK")</x:f>
        <x:v>OK</x:v>
      </x:c>
      <x:c r="AC73" s="30" t="str">
        <x:v>score=0.844; gap=0.395</x:v>
      </x:c>
      <x:c r="AD73" s="37" t="str">
        <x:v>SRVNCD</x:v>
      </x:c>
      <x:c r="AE73" s="38" t="str">
        <x:v>SRVNCDT</x:v>
      </x:c>
      <x:c r="AF73" s="123" t="n">
        <x:v>1000</x:v>
      </x:c>
      <x:c r="AG73" s="112" t="str">
        <x:v>g</x:v>
      </x:c>
      <x:c r="AH73" s="112" t="str">
        <x:v>CHAI</x:v>
      </x:c>
      <x:c r="AI73" s="112" t="str">
        <x:v>1000 g / CHAI</x:v>
      </x:c>
      <x:c r="AJ73" s="120" t="n">
        <x:v>40000</x:v>
      </x:c>
      <x:c r="AK73" s="120" t="n">
        <x:v>40000</x:v>
      </x:c>
      <x:c r="AL73" s="120" t="n">
        <x:v>40000</x:v>
      </x:c>
      <x:c r="AM73" s="112" t="str">
        <x:v>GIỮ NGUYÊN - ĐÃ KHỚP</x:v>
      </x:c>
      <x:c r="AN73" s="126" t="n">
        <x:v>163</x:v>
      </x:c>
      <x:c r="AO73" s="126" t="n">
        <x:v>164</x:v>
      </x:c>
      <x:c r="AP73" s="113" t="str">
        <x:v>12 CHAI / THÙNG</x:v>
      </x:c>
    </x:row>
    <x:row r="74">
      <x:c r="A74" s="71" t="str">
        <x:v>SIRO VINA BLUE</x:v>
      </x:c>
      <x:c r="B74" s="30" t="str">
        <x:v>SIRO VINA BLUE - THÙNG</x:v>
      </x:c>
      <x:c r="C74" s="37" t="str">
        <x:v>SRVNBL</x:v>
      </x:c>
      <x:c r="D74" s="37" t="str">
        <x:v>SRVNBLT</x:v>
      </x:c>
      <x:c r="E74" s="37" t="str">
        <x:v>SRVNBLT</x:v>
      </x:c>
      <x:c r="F74" s="37" t="n">
        <x:v>12</x:v>
      </x:c>
      <x:c r="G74" s="37" t="n">
        <x:v>13000</x:v>
      </x:c>
      <x:c r="H74" s="37" t="str">
        <x:v>g</x:v>
      </x:c>
      <x:c r="I74" s="37" t="str">
        <x:v>THÙNG</x:v>
      </x:c>
      <x:c r="J74" s="59" t="n">
        <x:v>0</x:v>
      </x:c>
      <x:c r="K74" s="59" t="n">
        <x:v>0</x:v>
      </x:c>
      <x:c r="L74" s="59" t="n">
        <x:v>0</x:v>
      </x:c>
      <x:c r="M74" s="37" t="str">
        <x:v>Siro</x:v>
      </x:c>
      <x:c r="N74" s="37" t="str">
        <x:v>ĐÃ GHÉP - AUTO</x:v>
      </x:c>
      <x:c r="O74" s="61" t="n">
        <x:v>0.867</x:v>
      </x:c>
      <x:c r="P74" s="37" t="n">
        <x:v>12</x:v>
      </x:c>
      <x:c r="Q74" s="30" t="str">
        <x:v>Siro Vina</x:v>
      </x:c>
      <x:c r="R74" s="30" t="str">
        <x:v>Thùng 12 chai</x:v>
      </x:c>
      <x:c r="S74" s="30" t="str">
        <x:v>Chai</x:v>
      </x:c>
      <x:c r="T74" s="37" t="str">
        <x:v>ĐƠN VỊ</x:v>
      </x:c>
      <x:c r="U74" s="59" t="n">
        <x:v>40000</x:v>
      </x:c>
      <x:c r="V74" s="59"/>
      <x:c r="W74" s="117" t="n">
        <x:v>40000</x:v>
      </x:c>
      <x:c r="X74" s="59" t="str">
        <x:f>IFERROR(IF(OR($N74="ĐÃ GHÉP - AUTO",$N74="ĐÃ GHÉP - QUY TẮC"),IF($V74="","",IF($T74="THÙNG",$V74/$F74,$V74)),""),"")</x:f>
      </x:c>
      <x:c r="Y74" s="117" t="n">
        <x:f>IF(OR(W74="",F74=""),"",W74*F74)</x:f>
        <x:v>480000</x:v>
      </x:c>
      <x:c r="Z74" s="59" t="str">
        <x:f>IFERROR(IF(OR($N74="ĐÃ GHÉP - AUTO",$N74="ĐÃ GHÉP - QUY TẮC"),IF($V74="","",IF($T74="THÙNG",$V74,$V74*$F74)),""),"")</x:f>
      </x:c>
      <x:c r="AA74" s="28" t="str">
        <x:f>IFERROR(IF(OR($K74="",$K74=0,$Y74=""),"",($Y74-$K74)/$K74),"")</x:f>
      </x:c>
      <x:c r="AB74" s="37" t="str">
        <x:f>IFERROR(IF($N74="CẦN DUYỆT","DUYỆT MAP",IF($N74="CHƯA CÓ GIÁ LẺ","THIẾU GIÁ",IF(OR($K74="",$K74=0,$Y74=""),"OK",IF(ABS(($Y74-$K74)/$K74)&gt;0.15,"LỆCH GIÁ CŨ","OK")))),"OK")</x:f>
        <x:v>OK</x:v>
      </x:c>
      <x:c r="AC74" s="30" t="str">
        <x:v>score=0.867; gap=0.411</x:v>
      </x:c>
      <x:c r="AD74" s="37" t="str">
        <x:v>SRVNBL</x:v>
      </x:c>
      <x:c r="AE74" s="38" t="str">
        <x:v>SRVNBLT</x:v>
      </x:c>
      <x:c r="AF74" s="123" t="n">
        <x:v>1000</x:v>
      </x:c>
      <x:c r="AG74" s="112" t="str">
        <x:v>g</x:v>
      </x:c>
      <x:c r="AH74" s="112" t="str">
        <x:v>CHAI</x:v>
      </x:c>
      <x:c r="AI74" s="112" t="str">
        <x:v>1000 g / CHAI</x:v>
      </x:c>
      <x:c r="AJ74" s="120" t="n">
        <x:v>40000</x:v>
      </x:c>
      <x:c r="AK74" s="120" t="n">
        <x:v>40000</x:v>
      </x:c>
      <x:c r="AL74" s="120" t="n">
        <x:v>40000</x:v>
      </x:c>
      <x:c r="AM74" s="112" t="str">
        <x:v>GIỮ NGUYÊN - ĐÃ KHỚP</x:v>
      </x:c>
      <x:c r="AN74" s="126" t="n">
        <x:v>165</x:v>
      </x:c>
      <x:c r="AO74" s="126" t="n">
        <x:v>166</x:v>
      </x:c>
      <x:c r="AP74" s="113" t="str">
        <x:v>12 CHAI / THÙNG</x:v>
      </x:c>
    </x:row>
    <x:row r="75">
      <x:c r="A75" s="71" t="str">
        <x:v>VẢI HOÀNG GIA</x:v>
      </x:c>
      <x:c r="B75" s="30" t="str">
        <x:v>VẢI HOÀNG GIA - THÙNG</x:v>
      </x:c>
      <x:c r="C75" s="37" t="str">
        <x:v>VAIHGI</x:v>
      </x:c>
      <x:c r="D75" s="37" t="str">
        <x:v>VAIHGIT</x:v>
      </x:c>
      <x:c r="E75" s="37" t="str">
        <x:v>VAIHGIT</x:v>
      </x:c>
      <x:c r="F75" s="37" t="n">
        <x:v>12</x:v>
      </x:c>
      <x:c r="G75" s="37" t="n">
        <x:v>8000</x:v>
      </x:c>
      <x:c r="H75" s="37" t="str">
        <x:v>g</x:v>
      </x:c>
      <x:c r="I75" s="37" t="str">
        <x:v>THÙNG</x:v>
      </x:c>
      <x:c r="J75" s="59" t="n">
        <x:v>0</x:v>
      </x:c>
      <x:c r="K75" s="59" t="n">
        <x:v>340000</x:v>
      </x:c>
      <x:c r="L75" s="59" t="n">
        <x:v>0</x:v>
      </x:c>
      <x:c r="M75" s="37" t="str">
        <x:v>Trái cây hộp</x:v>
      </x:c>
      <x:c r="N75" s="37" t="str">
        <x:v>CHƯA CÓ GIÁ LẺ</x:v>
      </x:c>
      <x:c r="O75" s="61" t="n">
        <x:v>0.507</x:v>
      </x:c>
      <x:c r="P75" s="37"/>
      <x:c r="Q75" s="30"/>
      <x:c r="R75" s="30"/>
      <x:c r="S75" s="30"/>
      <x:c r="T75" s="37"/>
      <x:c r="U75" s="59"/>
      <x:c r="V75" s="59"/>
      <x:c r="W75" s="117" t="n">
        <x:v>30000</x:v>
      </x:c>
      <x:c r="X75" s="59" t="str">
        <x:f>IFERROR(IF(OR($N75="ĐÃ GHÉP - AUTO",$N75="ĐÃ GHÉP - QUY TẮC"),IF($V75="","",IF($T75="THÙNG",$V75/$F75,$V75)),""),"")</x:f>
      </x:c>
      <x:c r="Y75" s="117" t="n">
        <x:f>IF(OR(W75="",F75=""),"",W75*F75)</x:f>
        <x:v>360000</x:v>
      </x:c>
      <x:c r="Z75" s="59" t="str">
        <x:f>IFERROR(IF(OR($N75="ĐÃ GHÉP - AUTO",$N75="ĐÃ GHÉP - QUY TẮC"),IF($V75="","",IF($T75="THÙNG",$V75,$V75*$F75)),""),"")</x:f>
      </x:c>
      <x:c r="AA75" s="28" t="n">
        <x:f>IFERROR(IF(OR($K75="",$K75=0,$Y75=""),"",($Y75-$K75)/$K75),"")</x:f>
        <x:v>0.058823529411764705</x:v>
      </x:c>
      <x:c r="AB75" s="37" t="str">
        <x:f>IFERROR(IF($N75="CẦN DUYỆT","DUYỆT MAP",IF($N75="CHƯA CÓ GIÁ LẺ","THIẾU GIÁ",IF(OR($K75="",$K75=0,$Y75=""),"OK",IF(ABS(($Y75-$K75)/$K75)&gt;0.15,"LỆCH GIÁ CŨ","OK")))),"OK")</x:f>
        <x:v>THIẾU GIÁ</x:v>
      </x:c>
      <x:c r="AC75" s="30" t="str">
        <x:v>ứng viên gần nhất=VẢI LON THÁI; score=0.507</x:v>
      </x:c>
      <x:c r="AD75" s="37" t="str">
        <x:v>VAIHGI</x:v>
      </x:c>
      <x:c r="AE75" s="38" t="str">
        <x:v>VAIHGIT</x:v>
      </x:c>
      <x:c r="AF75" s="123" t="n">
        <x:v>600</x:v>
      </x:c>
      <x:c r="AG75" s="112" t="str">
        <x:v>g</x:v>
      </x:c>
      <x:c r="AH75" s="112" t="str">
        <x:v>LON</x:v>
      </x:c>
      <x:c r="AI75" s="112" t="str">
        <x:v>600 g / LON</x:v>
      </x:c>
      <x:c r="AJ75" s="120" t="n">
        <x:v>30000</x:v>
      </x:c>
      <x:c r="AK75" s="120"/>
      <x:c r="AL75" s="120" t="n">
        <x:v>30000</x:v>
      </x:c>
      <x:c r="AM75" s="112" t="str">
        <x:v>BỔ SUNG GIÁ</x:v>
      </x:c>
      <x:c r="AN75" s="126" t="n">
        <x:v>167</x:v>
      </x:c>
      <x:c r="AO75" s="126" t="n">
        <x:v>168</x:v>
      </x:c>
      <x:c r="AP75" s="113" t="str">
        <x:v>12 LON / THÙNG</x:v>
      </x:c>
    </x:row>
    <x:row r="76">
      <x:c r="A76" s="71" t="str">
        <x:v>GTP VẢI</x:v>
      </x:c>
      <x:c r="B76" s="30" t="str">
        <x:v>GTP VẢI - THÙNG</x:v>
      </x:c>
      <x:c r="C76" s="37" t="str">
        <x:v>GTPVAI</x:v>
      </x:c>
      <x:c r="D76" s="37" t="str">
        <x:v>GTPVAIT</x:v>
      </x:c>
      <x:c r="E76" s="37" t="str">
        <x:v>GTPVAIT</x:v>
      </x:c>
      <x:c r="F76" s="37" t="n">
        <x:v>6</x:v>
      </x:c>
      <x:c r="G76" s="37" t="n">
        <x:v>16000</x:v>
      </x:c>
      <x:c r="H76" s="37" t="str">
        <x:v>g</x:v>
      </x:c>
      <x:c r="I76" s="37" t="str">
        <x:v>THÙNG</x:v>
      </x:c>
      <x:c r="J76" s="59" t="n">
        <x:v>0</x:v>
      </x:c>
      <x:c r="K76" s="59" t="n">
        <x:v>0</x:v>
      </x:c>
      <x:c r="L76" s="59" t="n">
        <x:v>0</x:v>
      </x:c>
      <x:c r="M76" s="37" t="str">
        <x:v>Siro</x:v>
      </x:c>
      <x:c r="N76" s="37" t="str">
        <x:v>ĐÃ GHÉP - AUTO</x:v>
      </x:c>
      <x:c r="O76" s="61" t="n">
        <x:v>0.879</x:v>
      </x:c>
      <x:c r="P76" s="37" t="n">
        <x:v>10</x:v>
      </x:c>
      <x:c r="Q76" s="30" t="str">
        <x:v>Siro GTP</x:v>
      </x:c>
      <x:c r="R76" s="30" t="str">
        <x:v>Thùng 6 bình</x:v>
      </x:c>
      <x:c r="S76" s="30" t="str">
        <x:v>Chai</x:v>
      </x:c>
      <x:c r="T76" s="37" t="str">
        <x:v>ĐƠN VỊ</x:v>
      </x:c>
      <x:c r="U76" s="59" t="n">
        <x:v>140000</x:v>
      </x:c>
      <x:c r="V76" s="59"/>
      <x:c r="W76" s="117" t="n">
        <x:v>140000</x:v>
      </x:c>
      <x:c r="X76" s="59" t="str">
        <x:f>IFERROR(IF(OR($N76="ĐÃ GHÉP - AUTO",$N76="ĐÃ GHÉP - QUY TẮC"),IF($V76="","",IF($T76="THÙNG",$V76/$F76,$V76)),""),"")</x:f>
      </x:c>
      <x:c r="Y76" s="117" t="n">
        <x:f>IF(OR(W76="",F76=""),"",W76*F76)</x:f>
        <x:v>840000</x:v>
      </x:c>
      <x:c r="Z76" s="59" t="str">
        <x:f>IFERROR(IF(OR($N76="ĐÃ GHÉP - AUTO",$N76="ĐÃ GHÉP - QUY TẮC"),IF($V76="","",IF($T76="THÙNG",$V76,$V76*$F76)),""),"")</x:f>
      </x:c>
      <x:c r="AA76" s="28" t="str">
        <x:f>IFERROR(IF(OR($K76="",$K76=0,$Y76=""),"",($Y76-$K76)/$K76),"")</x:f>
      </x:c>
      <x:c r="AB76" s="37" t="str">
        <x:f>IFERROR(IF($N76="CẦN DUYỆT","DUYỆT MAP",IF($N76="CHƯA CÓ GIÁ LẺ","THIẾU GIÁ",IF(OR($K76="",$K76=0,$Y76=""),"OK",IF(ABS(($Y76-$K76)/$K76)&gt;0.15,"LỆCH GIÁ CŨ","OK")))),"OK")</x:f>
        <x:v>OK</x:v>
      </x:c>
      <x:c r="AC76" s="30" t="str">
        <x:v>score=0.879; gap=0.421</x:v>
      </x:c>
      <x:c r="AD76" s="37" t="str">
        <x:v>GTPVAI</x:v>
      </x:c>
      <x:c r="AE76" s="38" t="str">
        <x:v>GTPVAIT</x:v>
      </x:c>
      <x:c r="AF76" s="123" t="n">
        <x:v>2550</x:v>
      </x:c>
      <x:c r="AG76" s="112" t="str">
        <x:v>g</x:v>
      </x:c>
      <x:c r="AH76" s="112" t="str">
        <x:v>BÌNH</x:v>
      </x:c>
      <x:c r="AI76" s="112" t="str">
        <x:v>2550 g / BÌNH</x:v>
      </x:c>
      <x:c r="AJ76" s="120" t="n">
        <x:v>140000</x:v>
      </x:c>
      <x:c r="AK76" s="120" t="n">
        <x:v>140000</x:v>
      </x:c>
      <x:c r="AL76" s="120" t="n">
        <x:v>140000</x:v>
      </x:c>
      <x:c r="AM76" s="112" t="str">
        <x:v>GIỮ NGUYÊN - ĐÃ KHỚP</x:v>
      </x:c>
      <x:c r="AN76" s="126" t="n">
        <x:v>169</x:v>
      </x:c>
      <x:c r="AO76" s="126" t="n">
        <x:v>170</x:v>
      </x:c>
      <x:c r="AP76" s="113" t="str">
        <x:v>6 BÌNH / THÙNG</x:v>
      </x:c>
    </x:row>
    <x:row r="77">
      <x:c r="A77" s="71" t="str">
        <x:v>TC HOÀNG KIM KUNHAN 3KG</x:v>
      </x:c>
      <x:c r="B77" s="30" t="str">
        <x:v>TC HOÀNG KIM KUNHAN 3KG - THÙNG</x:v>
      </x:c>
      <x:c r="C77" s="37" t="str">
        <x:v>KH3KHK</x:v>
      </x:c>
      <x:c r="D77" s="37" t="str">
        <x:v>KH3KHKT</x:v>
      </x:c>
      <x:c r="E77" s="37" t="str">
        <x:v>KH3KHKT</x:v>
      </x:c>
      <x:c r="F77" s="37" t="n">
        <x:v>6</x:v>
      </x:c>
      <x:c r="G77" s="37" t="n">
        <x:v>19000</x:v>
      </x:c>
      <x:c r="H77" s="37" t="str">
        <x:v>g</x:v>
      </x:c>
      <x:c r="I77" s="37" t="str">
        <x:v>THÙNG</x:v>
      </x:c>
      <x:c r="J77" s="59" t="n">
        <x:v>0</x:v>
      </x:c>
      <x:c r="K77" s="59" t="n">
        <x:v>465000</x:v>
      </x:c>
      <x:c r="L77" s="59" t="n">
        <x:v>0</x:v>
      </x:c>
      <x:c r="M77" s="37" t="str">
        <x:v>Trân châu</x:v>
      </x:c>
      <x:c r="N77" s="37" t="str">
        <x:v>CẦN DUYỆT</x:v>
      </x:c>
      <x:c r="O77" s="61" t="n">
        <x:v>0.77</x:v>
      </x:c>
      <x:c r="P77" s="37" t="n">
        <x:v>76</x:v>
      </x:c>
      <x:c r="Q77" s="30" t="str">
        <x:v>TC hoàng kim Duoxian 3kg</x:v>
      </x:c>
      <x:c r="R77" s="30" t="str">
        <x:v>Thùng 6 gói</x:v>
      </x:c>
      <x:c r="S77" s="30" t="str">
        <x:v>bịch</x:v>
      </x:c>
      <x:c r="T77" s="37" t="str">
        <x:v>ĐƠN VỊ</x:v>
      </x:c>
      <x:c r="U77" s="59" t="n">
        <x:v>94000</x:v>
      </x:c>
      <x:c r="V77" s="59"/>
      <x:c r="W77" s="117" t="n">
        <x:v>78000</x:v>
      </x:c>
      <x:c r="X77" s="59" t="str">
        <x:f>IFERROR(IF(OR($N77="ĐÃ GHÉP - AUTO",$N77="ĐÃ GHÉP - QUY TẮC"),IF($V77="","",IF($T77="THÙNG",$V77/$F77,$V77)),""),"")</x:f>
      </x:c>
      <x:c r="Y77" s="117" t="n">
        <x:f>IF(OR(W77="",F77=""),"",W77*F77)</x:f>
        <x:v>468000</x:v>
      </x:c>
      <x:c r="Z77" s="59" t="str">
        <x:f>IFERROR(IF(OR($N77="ĐÃ GHÉP - AUTO",$N77="ĐÃ GHÉP - QUY TẮC"),IF($V77="","",IF($T77="THÙNG",$V77,$V77*$F77)),""),"")</x:f>
      </x:c>
      <x:c r="AA77" s="28" t="n">
        <x:f>IFERROR(IF(OR($K77="",$K77=0,$Y77=""),"",($Y77-$K77)/$K77),"")</x:f>
        <x:v>0.0064516129032258064</x:v>
      </x:c>
      <x:c r="AB77" s="37" t="str">
        <x:f>IFERROR(IF($N77="CẦN DUYỆT","DUYỆT MAP",IF($N77="CHƯA CÓ GIÁ LẺ","THIẾU GIÁ",IF(OR($K77="",$K77=0,$Y77=""),"OK",IF(ABS(($Y77-$K77)/$K77)&gt;0.15,"LỆCH GIÁ CŨ","OK")))),"OK")</x:f>
        <x:v>DUYỆT MAP</x:v>
      </x:c>
      <x:c r="AC77" s="30" t="str">
        <x:v>Nguồn chỉ có TC hoàng kim Douxian; không tự ghép sang Kunhan</x:v>
      </x:c>
      <x:c r="AD77" s="37" t="str">
        <x:v>KH3KHK</x:v>
      </x:c>
      <x:c r="AE77" s="38" t="str">
        <x:v>KH3KHKT</x:v>
      </x:c>
      <x:c r="AF77" s="123" t="n">
        <x:v>3</x:v>
      </x:c>
      <x:c r="AG77" s="112" t="str">
        <x:v>kg</x:v>
      </x:c>
      <x:c r="AH77" s="112" t="str">
        <x:v>GÓI</x:v>
      </x:c>
      <x:c r="AI77" s="112" t="str">
        <x:v>3 kg / GÓI</x:v>
      </x:c>
      <x:c r="AJ77" s="120" t="n">
        <x:v>78000</x:v>
      </x:c>
      <x:c r="AK77" s="120"/>
      <x:c r="AL77" s="120" t="n">
        <x:v>78000</x:v>
      </x:c>
      <x:c r="AM77" s="112" t="str">
        <x:v>BỔ SUNG GIÁ</x:v>
      </x:c>
      <x:c r="AN77" s="126" t="n">
        <x:v>171</x:v>
      </x:c>
      <x:c r="AO77" s="126" t="n">
        <x:v>172</x:v>
      </x:c>
      <x:c r="AP77" s="113" t="str">
        <x:v>6 GÓI / THÙNG</x:v>
      </x:c>
    </x:row>
    <x:row r="78">
      <x:c r="A78" s="71" t="str">
        <x:v>GTP TRÀ XANH</x:v>
      </x:c>
      <x:c r="B78" s="30" t="str">
        <x:v>GTP TRÀ XANH - THÙNG</x:v>
      </x:c>
      <x:c r="C78" s="37" t="str">
        <x:v>GTPTXA</x:v>
      </x:c>
      <x:c r="D78" s="37" t="str">
        <x:v>GTPTXAT</x:v>
      </x:c>
      <x:c r="E78" s="37" t="str">
        <x:v>GTPTXAT</x:v>
      </x:c>
      <x:c r="F78" s="37" t="n">
        <x:v>6</x:v>
      </x:c>
      <x:c r="G78" s="37" t="n">
        <x:v>16000</x:v>
      </x:c>
      <x:c r="H78" s="37" t="str">
        <x:v>g</x:v>
      </x:c>
      <x:c r="I78" s="37" t="str">
        <x:v>THÙNG</x:v>
      </x:c>
      <x:c r="J78" s="59" t="n">
        <x:v>0</x:v>
      </x:c>
      <x:c r="K78" s="59" t="n">
        <x:v>0</x:v>
      </x:c>
      <x:c r="L78" s="59" t="n">
        <x:v>0</x:v>
      </x:c>
      <x:c r="M78" s="37" t="str">
        <x:v>Trà</x:v>
      </x:c>
      <x:c r="N78" s="37" t="str">
        <x:v>CHƯA CÓ GIÁ LẺ</x:v>
      </x:c>
      <x:c r="O78" s="61" t="n">
        <x:v>0.519</x:v>
      </x:c>
      <x:c r="P78" s="37"/>
      <x:c r="Q78" s="30"/>
      <x:c r="R78" s="30"/>
      <x:c r="S78" s="30"/>
      <x:c r="T78" s="37"/>
      <x:c r="U78" s="59"/>
      <x:c r="V78" s="59"/>
      <x:c r="W78" s="117" t="n">
        <x:v>140000</x:v>
      </x:c>
      <x:c r="X78" s="59" t="str">
        <x:f>IFERROR(IF(OR($N78="ĐÃ GHÉP - AUTO",$N78="ĐÃ GHÉP - QUY TẮC"),IF($V78="","",IF($T78="THÙNG",$V78/$F78,$V78)),""),"")</x:f>
      </x:c>
      <x:c r="Y78" s="117" t="n">
        <x:f>IF(OR(W78="",F78=""),"",W78*F78)</x:f>
        <x:v>840000</x:v>
      </x:c>
      <x:c r="Z78" s="59" t="str">
        <x:f>IFERROR(IF(OR($N78="ĐÃ GHÉP - AUTO",$N78="ĐÃ GHÉP - QUY TẮC"),IF($V78="","",IF($T78="THÙNG",$V78,$V78*$F78)),""),"")</x:f>
      </x:c>
      <x:c r="AA78" s="28" t="str">
        <x:f>IFERROR(IF(OR($K78="",$K78=0,$Y78=""),"",($Y78-$K78)/$K78),"")</x:f>
      </x:c>
      <x:c r="AB78" s="37" t="str">
        <x:f>IFERROR(IF($N78="CẦN DUYỆT","DUYỆT MAP",IF($N78="CHƯA CÓ GIÁ LẺ","THIẾU GIÁ",IF(OR($K78="",$K78=0,$Y78=""),"OK",IF(ABS(($Y78-$K78)/$K78)&gt;0.15,"LỆCH GIÁ CŨ","OK")))),"OK")</x:f>
        <x:v>THIẾU GIÁ</x:v>
      </x:c>
      <x:c r="AC78" s="30" t="str">
        <x:v>ứng viên gần nhất=Trà Thái xanh thường; score=0.519</x:v>
      </x:c>
      <x:c r="AD78" s="37" t="str">
        <x:v>GTPTXA</x:v>
      </x:c>
      <x:c r="AE78" s="38" t="str">
        <x:v>GTPTXAT</x:v>
      </x:c>
      <x:c r="AF78" s="123" t="n">
        <x:v>2550</x:v>
      </x:c>
      <x:c r="AG78" s="112" t="str">
        <x:v>g</x:v>
      </x:c>
      <x:c r="AH78" s="112" t="str">
        <x:v>BÌNH</x:v>
      </x:c>
      <x:c r="AI78" s="112" t="str">
        <x:v>2550 g / BÌNH</x:v>
      </x:c>
      <x:c r="AJ78" s="120" t="n">
        <x:v>140000</x:v>
      </x:c>
      <x:c r="AK78" s="120"/>
      <x:c r="AL78" s="120" t="n">
        <x:v>140000</x:v>
      </x:c>
      <x:c r="AM78" s="112" t="str">
        <x:v>BỔ SUNG GIÁ</x:v>
      </x:c>
      <x:c r="AN78" s="126" t="n">
        <x:v>173</x:v>
      </x:c>
      <x:c r="AO78" s="126" t="n">
        <x:v>174</x:v>
      </x:c>
      <x:c r="AP78" s="113" t="str">
        <x:v>6 BÌNH / THÙNG</x:v>
      </x:c>
    </x:row>
    <x:row r="79">
      <x:c r="A79" s="71" t="str">
        <x:v>COZY TÚI LỌC VẢI</x:v>
      </x:c>
      <x:c r="B79" s="30" t="str">
        <x:v>COZY TÚI LỌC VẢI - THÙNG</x:v>
      </x:c>
      <x:c r="C79" s="37" t="str">
        <x:v>COTLVA</x:v>
      </x:c>
      <x:c r="D79" s="37" t="str">
        <x:v>COTLVAT</x:v>
      </x:c>
      <x:c r="E79" s="37" t="str">
        <x:v>COTLVAT</x:v>
      </x:c>
      <x:c r="F79" s="37" t="n">
        <x:v>36</x:v>
      </x:c>
      <x:c r="G79" s="37" t="n">
        <x:v>5000</x:v>
      </x:c>
      <x:c r="H79" s="37" t="str">
        <x:v>g</x:v>
      </x:c>
      <x:c r="I79" s="37" t="str">
        <x:v>THÙNG</x:v>
      </x:c>
      <x:c r="J79" s="59" t="n">
        <x:v>0</x:v>
      </x:c>
      <x:c r="K79" s="59" t="n">
        <x:v>0</x:v>
      </x:c>
      <x:c r="L79" s="59" t="n">
        <x:v>0</x:v>
      </x:c>
      <x:c r="M79" s="37" t="str">
        <x:v>Trà</x:v>
      </x:c>
      <x:c r="N79" s="37" t="str">
        <x:v>ĐÃ GHÉP - AUTO</x:v>
      </x:c>
      <x:c r="O79" s="61" t="n">
        <x:v>0.859</x:v>
      </x:c>
      <x:c r="P79" s="37" t="n">
        <x:v>187</x:v>
      </x:c>
      <x:c r="Q79" s="30" t="str">
        <x:v>Trà Cozy túi lọc</x:v>
      </x:c>
      <x:c r="R79" s="30" t="str">
        <x:v>Thùng 36 hộp</x:v>
      </x:c>
      <x:c r="S79" s="30" t="str">
        <x:v>hộp</x:v>
      </x:c>
      <x:c r="T79" s="37" t="str">
        <x:v>ĐƠN VỊ</x:v>
      </x:c>
      <x:c r="U79" s="59" t="n">
        <x:v>38000</x:v>
      </x:c>
      <x:c r="V79" s="59"/>
      <x:c r="W79" s="117" t="n">
        <x:v>39000</x:v>
      </x:c>
      <x:c r="X79" s="59" t="str">
        <x:f>IFERROR(IF(OR($N79="ĐÃ GHÉP - AUTO",$N79="ĐÃ GHÉP - QUY TẮC"),IF($V79="","",IF($T79="THÙNG",$V79/$F79,$V79)),""),"")</x:f>
      </x:c>
      <x:c r="Y79" s="117" t="n">
        <x:f>IF(OR(W79="",F79=""),"",W79*F79)</x:f>
        <x:v>1404000</x:v>
      </x:c>
      <x:c r="Z79" s="59" t="str">
        <x:f>IFERROR(IF(OR($N79="ĐÃ GHÉP - AUTO",$N79="ĐÃ GHÉP - QUY TẮC"),IF($V79="","",IF($T79="THÙNG",$V79,$V79*$F79)),""),"")</x:f>
      </x:c>
      <x:c r="AA79" s="28" t="str">
        <x:f>IFERROR(IF(OR($K79="",$K79=0,$Y79=""),"",($Y79-$K79)/$K79),"")</x:f>
      </x:c>
      <x:c r="AB79" s="37" t="str">
        <x:f>IFERROR(IF($N79="CẦN DUYỆT","DUYỆT MAP",IF($N79="CHƯA CÓ GIÁ LẺ","THIẾU GIÁ",IF(OR($K79="",$K79=0,$Y79=""),"OK",IF(ABS(($Y79-$K79)/$K79)&gt;0.15,"LỆCH GIÁ CŨ","OK")))),"OK")</x:f>
        <x:v>OK</x:v>
      </x:c>
      <x:c r="AC79" s="30" t="str">
        <x:v>score=0.859; gap=0.352</x:v>
      </x:c>
      <x:c r="AD79" s="37" t="str">
        <x:v>COTLVA</x:v>
      </x:c>
      <x:c r="AE79" s="38" t="str">
        <x:v>COTLVAT</x:v>
      </x:c>
      <x:c r="AF79" s="123" t="n">
        <x:v>100</x:v>
      </x:c>
      <x:c r="AG79" s="112" t="str">
        <x:v>g</x:v>
      </x:c>
      <x:c r="AH79" s="112" t="str">
        <x:v>HỘP</x:v>
      </x:c>
      <x:c r="AI79" s="112" t="str">
        <x:v>100 g / HỘP</x:v>
      </x:c>
      <x:c r="AJ79" s="120" t="n">
        <x:v>39000</x:v>
      </x:c>
      <x:c r="AK79" s="120" t="n">
        <x:v>38000</x:v>
      </x:c>
      <x:c r="AL79" s="120" t="n">
        <x:v>39000</x:v>
      </x:c>
      <x:c r="AM79" s="112" t="str">
        <x:v>CẬP NHẬT GIÁ</x:v>
      </x:c>
      <x:c r="AN79" s="126" t="n">
        <x:v>175</x:v>
      </x:c>
      <x:c r="AO79" s="126" t="n">
        <x:v>176</x:v>
      </x:c>
      <x:c r="AP79" s="113" t="str">
        <x:v>36 HỘP / THÙNG</x:v>
      </x:c>
    </x:row>
    <x:row r="80">
      <x:c r="A80" s="71" t="str">
        <x:v>TRÀ SỐ 9 DOUXIAN</x:v>
      </x:c>
      <x:c r="B80" s="30" t="str">
        <x:v>TRÀ SỐ 9 DOUXIAN - THÙNG</x:v>
      </x:c>
      <x:c r="C80" s="37" t="str">
        <x:v>TR9DXN</x:v>
      </x:c>
      <x:c r="D80" s="37" t="str">
        <x:v>TR9DXNT</x:v>
      </x:c>
      <x:c r="E80" s="37" t="str">
        <x:v>TR9DXNT</x:v>
      </x:c>
      <x:c r="F80" s="37" t="n">
        <x:v>10</x:v>
      </x:c>
      <x:c r="G80" s="37" t="n">
        <x:v>0</x:v>
      </x:c>
      <x:c r="H80" s="37" t="str">
        <x:v>g</x:v>
      </x:c>
      <x:c r="I80" s="37" t="str">
        <x:v>THÙNG</x:v>
      </x:c>
      <x:c r="J80" s="59" t="n">
        <x:v>0</x:v>
      </x:c>
      <x:c r="K80" s="59" t="n">
        <x:v>0</x:v>
      </x:c>
      <x:c r="L80" s="59" t="n">
        <x:v>0</x:v>
      </x:c>
      <x:c r="M80" s="37" t="str">
        <x:v>Trà</x:v>
      </x:c>
      <x:c r="N80" s="37" t="str">
        <x:v>ĐÃ GHÉP - QUY TẮC</x:v>
      </x:c>
      <x:c r="O80" s="61" t="n">
        <x:v>0.99</x:v>
      </x:c>
      <x:c r="P80" s="37" t="n">
        <x:v>171</x:v>
      </x:c>
      <x:c r="Q80" s="30" t="str">
        <x:v>Trà đen 9 Douxian</x:v>
      </x:c>
      <x:c r="R80" s="30" t="str">
        <x:v>Thùng 10 gói</x:v>
      </x:c>
      <x:c r="S80" s="30" t="str">
        <x:v>gói 500g</x:v>
      </x:c>
      <x:c r="T80" s="37" t="str">
        <x:v>ĐƠN VỊ</x:v>
      </x:c>
      <x:c r="U80" s="59" t="n">
        <x:v>43000</x:v>
      </x:c>
      <x:c r="V80" s="59"/>
      <x:c r="W80" s="117" t="n">
        <x:v>54000</x:v>
      </x:c>
      <x:c r="X80" s="59" t="str">
        <x:f>IFERROR(IF(OR($N80="ĐÃ GHÉP - AUTO",$N80="ĐÃ GHÉP - QUY TẮC"),IF($V80="","",IF($T80="THÙNG",$V80/$F80,$V80)),""),"")</x:f>
      </x:c>
      <x:c r="Y80" s="117" t="n">
        <x:f>IF(OR(W80="",F80=""),"",W80*F80)</x:f>
        <x:v>540000</x:v>
      </x:c>
      <x:c r="Z80" s="59" t="str">
        <x:f>IFERROR(IF(OR($N80="ĐÃ GHÉP - AUTO",$N80="ĐÃ GHÉP - QUY TẮC"),IF($V80="","",IF($T80="THÙNG",$V80,$V80*$F80)),""),"")</x:f>
      </x:c>
      <x:c r="AA80" s="28" t="str">
        <x:f>IFERROR(IF(OR($K80="",$K80=0,$Y80=""),"",($Y80-$K80)/$K80),"")</x:f>
      </x:c>
      <x:c r="AB80" s="37" t="str">
        <x:f>IFERROR(IF($N80="CẦN DUYỆT","DUYỆT MAP",IF($N80="CHƯA CÓ GIÁ LẺ","THIẾU GIÁ",IF(OR($K80="",$K80=0,$Y80=""),"OK",IF(ABS(($Y80-$K80)/$K80)&gt;0.15,"LỆCH GIÁ CŨ","OK")))),"OK")</x:f>
        <x:v>OK</x:v>
      </x:c>
      <x:c r="AC80" s="30" t="str">
        <x:v>Trà đen số 9 Douxian</x:v>
      </x:c>
      <x:c r="AD80" s="37" t="str">
        <x:v>TR9DXN</x:v>
      </x:c>
      <x:c r="AE80" s="38" t="str">
        <x:v>TR9DXNT</x:v>
      </x:c>
      <x:c r="AF80" s="123" t="n">
        <x:v>0</x:v>
      </x:c>
      <x:c r="AG80" s="112" t="str">
        <x:v>g</x:v>
      </x:c>
      <x:c r="AH80" s="112" t="str">
        <x:v>BỊCH</x:v>
      </x:c>
      <x:c r="AI80" s="112" t="str">
        <x:v>0 g / BỊCH</x:v>
      </x:c>
      <x:c r="AJ80" s="120" t="n">
        <x:v>54000</x:v>
      </x:c>
      <x:c r="AK80" s="120" t="n">
        <x:v>43000</x:v>
      </x:c>
      <x:c r="AL80" s="120" t="n">
        <x:v>54000</x:v>
      </x:c>
      <x:c r="AM80" s="112" t="str">
        <x:v>CẬP NHẬT GIÁ</x:v>
      </x:c>
      <x:c r="AN80" s="126" t="n">
        <x:v>177</x:v>
      </x:c>
      <x:c r="AO80" s="126" t="n">
        <x:v>178</x:v>
      </x:c>
      <x:c r="AP80" s="113" t="str">
        <x:v>10 BỊCH / THÙNG</x:v>
      </x:c>
    </x:row>
    <x:row r="81">
      <x:c r="A81" s="71" t="str">
        <x:v>TRÀ SEN THÁI NGUYÊN</x:v>
      </x:c>
      <x:c r="B81" s="30" t="str">
        <x:v>TRÀ SEN THÁI NGUYÊN - THÙNG</x:v>
      </x:c>
      <x:c r="C81" s="37" t="str">
        <x:v>TRSETN</x:v>
      </x:c>
      <x:c r="D81" s="37" t="str">
        <x:v>TRSETNT</x:v>
      </x:c>
      <x:c r="E81" s="37" t="str">
        <x:v>TRSETNT</x:v>
      </x:c>
      <x:c r="F81" s="37" t="n">
        <x:v>25</x:v>
      </x:c>
      <x:c r="G81" s="37" t="n">
        <x:v>3000</x:v>
      </x:c>
      <x:c r="H81" s="37" t="str">
        <x:v>g</x:v>
      </x:c>
      <x:c r="I81" s="37" t="str">
        <x:v>THÙNG</x:v>
      </x:c>
      <x:c r="J81" s="59" t="n">
        <x:v>0</x:v>
      </x:c>
      <x:c r="K81" s="59" t="n">
        <x:v>0</x:v>
      </x:c>
      <x:c r="L81" s="59" t="n">
        <x:v>0</x:v>
      </x:c>
      <x:c r="M81" s="37" t="str">
        <x:v>Trà</x:v>
      </x:c>
      <x:c r="N81" s="37" t="str">
        <x:v>ĐÃ GHÉP - QUY TẮC</x:v>
      </x:c>
      <x:c r="O81" s="61" t="n">
        <x:v>0.99</x:v>
      </x:c>
      <x:c r="P81" s="37" t="n">
        <x:v>184</x:v>
      </x:c>
      <x:c r="Q81" s="30" t="str">
        <x:v>Trà sen/LÀI Thái Nguyên</x:v>
      </x:c>
      <x:c r="R81" s="30" t="str">
        <x:v>Thùng 25 gói</x:v>
      </x:c>
      <x:c r="S81" s="30" t="str">
        <x:v>gói</x:v>
      </x:c>
      <x:c r="T81" s="37" t="str">
        <x:v>ĐƠN VỊ</x:v>
      </x:c>
      <x:c r="U81" s="59" t="n">
        <x:v>40000</x:v>
      </x:c>
      <x:c r="V81" s="59"/>
      <x:c r="W81" s="117" t="n">
        <x:v>40000</x:v>
      </x:c>
      <x:c r="X81" s="59" t="str">
        <x:f>IFERROR(IF(OR($N81="ĐÃ GHÉP - AUTO",$N81="ĐÃ GHÉP - QUY TẮC"),IF($V81="","",IF($T81="THÙNG",$V81/$F81,$V81)),""),"")</x:f>
      </x:c>
      <x:c r="Y81" s="117" t="n">
        <x:f>IF(OR(W81="",F81=""),"",W81*F81)</x:f>
        <x:v>1000000</x:v>
      </x:c>
      <x:c r="Z81" s="59" t="str">
        <x:f>IFERROR(IF(OR($N81="ĐÃ GHÉP - AUTO",$N81="ĐÃ GHÉP - QUY TẮC"),IF($V81="","",IF($T81="THÙNG",$V81,$V81*$F81)),""),"")</x:f>
      </x:c>
      <x:c r="AA81" s="28" t="str">
        <x:f>IFERROR(IF(OR($K81="",$K81=0,$Y81=""),"",($Y81-$K81)/$K81),"")</x:f>
      </x:c>
      <x:c r="AB81" s="37" t="str">
        <x:f>IFERROR(IF($N81="CẦN DUYỆT","DUYỆT MAP",IF($N81="CHƯA CÓ GIÁ LẺ","THIẾU GIÁ",IF(OR($K81="",$K81=0,$Y81=""),"OK",IF(ABS(($Y81-$K81)/$K81)&gt;0.15,"LỆCH GIÁ CŨ","OK")))),"OK")</x:f>
        <x:v>OK</x:v>
      </x:c>
      <x:c r="AC81" s="30" t="str">
        <x:v>Giá chung sen/lài Thái Nguyên</x:v>
      </x:c>
      <x:c r="AD81" s="37" t="str">
        <x:v>TRSETN</x:v>
      </x:c>
      <x:c r="AE81" s="38" t="str">
        <x:v>TRSETNT</x:v>
      </x:c>
      <x:c r="AF81" s="123" t="n">
        <x:v>100</x:v>
      </x:c>
      <x:c r="AG81" s="112" t="str">
        <x:v>g</x:v>
      </x:c>
      <x:c r="AH81" s="112" t="str">
        <x:v>BỊCH</x:v>
      </x:c>
      <x:c r="AI81" s="112" t="str">
        <x:v>100 g / BỊCH</x:v>
      </x:c>
      <x:c r="AJ81" s="120" t="n">
        <x:v>40000</x:v>
      </x:c>
      <x:c r="AK81" s="120" t="n">
        <x:v>40000</x:v>
      </x:c>
      <x:c r="AL81" s="120" t="n">
        <x:v>40000</x:v>
      </x:c>
      <x:c r="AM81" s="112" t="str">
        <x:v>GIỮ NGUYÊN - ĐÃ KHỚP</x:v>
      </x:c>
      <x:c r="AN81" s="126" t="n">
        <x:v>179</x:v>
      </x:c>
      <x:c r="AO81" s="126" t="n">
        <x:v>180</x:v>
      </x:c>
      <x:c r="AP81" s="113" t="str">
        <x:v>25 BỊCH / THÙNG</x:v>
      </x:c>
    </x:row>
    <x:row r="82">
      <x:c r="A82" s="71" t="str">
        <x:v>TRÀ SEN PHÚC LONG LỌC</x:v>
      </x:c>
      <x:c r="B82" s="30" t="str">
        <x:v>TRÀ SEN PHÚC LONG LỌC - THÙNG</x:v>
      </x:c>
      <x:c r="C82" s="37" t="str">
        <x:v>TRSPLL</x:v>
      </x:c>
      <x:c r="D82" s="37" t="str">
        <x:v>TRSPLLT</x:v>
      </x:c>
      <x:c r="E82" s="37" t="str">
        <x:v>TRSPLLT</x:v>
      </x:c>
      <x:c r="F82" s="37" t="n">
        <x:v>20</x:v>
      </x:c>
      <x:c r="G82" s="37" t="n">
        <x:v>2000</x:v>
      </x:c>
      <x:c r="H82" s="37" t="str">
        <x:v>g</x:v>
      </x:c>
      <x:c r="I82" s="37" t="str">
        <x:v>THÙNG</x:v>
      </x:c>
      <x:c r="J82" s="59" t="n">
        <x:v>0</x:v>
      </x:c>
      <x:c r="K82" s="59" t="n">
        <x:v>0</x:v>
      </x:c>
      <x:c r="L82" s="59" t="n">
        <x:v>0</x:v>
      </x:c>
      <x:c r="M82" s="37" t="str">
        <x:v>Trà</x:v>
      </x:c>
      <x:c r="N82" s="37" t="str">
        <x:v>ĐÃ GHÉP - QUY TẮC</x:v>
      </x:c>
      <x:c r="O82" s="61" t="n">
        <x:v>0.99</x:v>
      </x:c>
      <x:c r="P82" s="37" t="n">
        <x:v>182</x:v>
      </x:c>
      <x:c r="Q82" s="30" t="str">
        <x:v>Trà sen/LÀI Phúc Long</x:v>
      </x:c>
      <x:c r="R82" s="30" t="str">
        <x:v>Thùng 20 hộp</x:v>
      </x:c>
      <x:c r="S82" s="30" t="str">
        <x:v>hộp</x:v>
      </x:c>
      <x:c r="T82" s="37" t="str">
        <x:v>ĐƠN VỊ</x:v>
      </x:c>
      <x:c r="U82" s="59" t="n">
        <x:v>38000</x:v>
      </x:c>
      <x:c r="V82" s="59"/>
      <x:c r="W82" s="117" t="n">
        <x:v>40000</x:v>
      </x:c>
      <x:c r="X82" s="59" t="str">
        <x:f>IFERROR(IF(OR($N82="ĐÃ GHÉP - AUTO",$N82="ĐÃ GHÉP - QUY TẮC"),IF($V82="","",IF($T82="THÙNG",$V82/$F82,$V82)),""),"")</x:f>
      </x:c>
      <x:c r="Y82" s="117" t="n">
        <x:f>IF(OR(W82="",F82=""),"",W82*F82)</x:f>
        <x:v>800000</x:v>
      </x:c>
      <x:c r="Z82" s="59" t="str">
        <x:f>IFERROR(IF(OR($N82="ĐÃ GHÉP - AUTO",$N82="ĐÃ GHÉP - QUY TẮC"),IF($V82="","",IF($T82="THÙNG",$V82,$V82*$F82)),""),"")</x:f>
      </x:c>
      <x:c r="AA82" s="28" t="str">
        <x:f>IFERROR(IF(OR($K82="",$K82=0,$Y82=""),"",($Y82-$K82)/$K82),"")</x:f>
      </x:c>
      <x:c r="AB82" s="37" t="str">
        <x:f>IFERROR(IF($N82="CẦN DUYỆT","DUYỆT MAP",IF($N82="CHƯA CÓ GIÁ LẺ","THIẾU GIÁ",IF(OR($K82="",$K82=0,$Y82=""),"OK",IF(ABS(($Y82-$K82)/$K82)&gt;0.15,"LỆCH GIÁ CŨ","OK")))),"OK")</x:f>
        <x:v>OK</x:v>
      </x:c>
      <x:c r="AC82" s="30" t="str">
        <x:v>Giá chung sen/lài Phúc Long</x:v>
      </x:c>
      <x:c r="AD82" s="37" t="str">
        <x:v>TRSPLL</x:v>
      </x:c>
      <x:c r="AE82" s="38" t="str">
        <x:v>TRSPLLT</x:v>
      </x:c>
      <x:c r="AF82" s="123" t="n">
        <x:v>100</x:v>
      </x:c>
      <x:c r="AG82" s="112" t="str">
        <x:v>g</x:v>
      </x:c>
      <x:c r="AH82" s="112" t="str">
        <x:v>HỘP</x:v>
      </x:c>
      <x:c r="AI82" s="112" t="str">
        <x:v>100 g / HỘP</x:v>
      </x:c>
      <x:c r="AJ82" s="120" t="n">
        <x:v>40000</x:v>
      </x:c>
      <x:c r="AK82" s="120" t="n">
        <x:v>38000</x:v>
      </x:c>
      <x:c r="AL82" s="120" t="n">
        <x:v>40000</x:v>
      </x:c>
      <x:c r="AM82" s="112" t="str">
        <x:v>CẬP NHẬT GIÁ</x:v>
      </x:c>
      <x:c r="AN82" s="126" t="n">
        <x:v>181</x:v>
      </x:c>
      <x:c r="AO82" s="126" t="n">
        <x:v>182</x:v>
      </x:c>
      <x:c r="AP82" s="113" t="str">
        <x:v>20 HỘP / THÙNG</x:v>
      </x:c>
    </x:row>
    <x:row r="83">
      <x:c r="A83" s="71" t="str">
        <x:v>TRÀ OLONG LỘC PHÁT</x:v>
      </x:c>
      <x:c r="B83" s="30" t="str">
        <x:v>TRÀ OLONG LỘC PHÁT - THÙNG</x:v>
      </x:c>
      <x:c r="C83" s="37" t="str">
        <x:v>TROLLP</x:v>
      </x:c>
      <x:c r="D83" s="37" t="str">
        <x:v>TROLLPT</x:v>
      </x:c>
      <x:c r="E83" s="37" t="str">
        <x:v>TROLLPT</x:v>
      </x:c>
      <x:c r="F83" s="37" t="n">
        <x:v>12</x:v>
      </x:c>
      <x:c r="G83" s="37" t="n">
        <x:v>13000</x:v>
      </x:c>
      <x:c r="H83" s="37" t="str">
        <x:v>g</x:v>
      </x:c>
      <x:c r="I83" s="37" t="str">
        <x:v>THÙNG</x:v>
      </x:c>
      <x:c r="J83" s="59" t="n">
        <x:v>0</x:v>
      </x:c>
      <x:c r="K83" s="59" t="n">
        <x:v>0</x:v>
      </x:c>
      <x:c r="L83" s="59" t="n">
        <x:v>0</x:v>
      </x:c>
      <x:c r="M83" s="37" t="str">
        <x:v>Trà</x:v>
      </x:c>
      <x:c r="N83" s="37" t="str">
        <x:v>ĐÃ GHÉP - AUTO</x:v>
      </x:c>
      <x:c r="O83" s="61" t="n">
        <x:v>0.97</x:v>
      </x:c>
      <x:c r="P83" s="37" t="n">
        <x:v>170</x:v>
      </x:c>
      <x:c r="Q83" s="30" t="str">
        <x:v>Trà olong Lộc phát</x:v>
      </x:c>
      <x:c r="R83" s="30" t="str">
        <x:v>Thùng 12 gói</x:v>
      </x:c>
      <x:c r="S83" s="30" t="str">
        <x:v>gói 1kg</x:v>
      </x:c>
      <x:c r="T83" s="37" t="str">
        <x:v>ĐƠN VỊ</x:v>
      </x:c>
      <x:c r="U83" s="59" t="n">
        <x:v>306000</x:v>
      </x:c>
      <x:c r="V83" s="59"/>
      <x:c r="W83" s="117" t="n">
        <x:v>306000</x:v>
      </x:c>
      <x:c r="X83" s="59" t="str">
        <x:f>IFERROR(IF(OR($N83="ĐÃ GHÉP - AUTO",$N83="ĐÃ GHÉP - QUY TẮC"),IF($V83="","",IF($T83="THÙNG",$V83/$F83,$V83)),""),"")</x:f>
      </x:c>
      <x:c r="Y83" s="117" t="n">
        <x:f>IF(OR(W83="",F83=""),"",W83*F83)</x:f>
        <x:v>3672000</x:v>
      </x:c>
      <x:c r="Z83" s="59" t="str">
        <x:f>IFERROR(IF(OR($N83="ĐÃ GHÉP - AUTO",$N83="ĐÃ GHÉP - QUY TẮC"),IF($V83="","",IF($T83="THÙNG",$V83,$V83*$F83)),""),"")</x:f>
      </x:c>
      <x:c r="AA83" s="28" t="str">
        <x:f>IFERROR(IF(OR($K83="",$K83=0,$Y83=""),"",($Y83-$K83)/$K83),"")</x:f>
      </x:c>
      <x:c r="AB83" s="37" t="str">
        <x:f>IFERROR(IF($N83="CẦN DUYỆT","DUYỆT MAP",IF($N83="CHƯA CÓ GIÁ LẺ","THIẾU GIÁ",IF(OR($K83="",$K83=0,$Y83=""),"OK",IF(ABS(($Y83-$K83)/$K83)&gt;0.15,"LỆCH GIÁ CŨ","OK")))),"OK")</x:f>
        <x:v>OK</x:v>
      </x:c>
      <x:c r="AC83" s="30" t="str">
        <x:v>score=0.970; gap=0.369</x:v>
      </x:c>
      <x:c r="AD83" s="37" t="str">
        <x:v>TROLLP</x:v>
      </x:c>
      <x:c r="AE83" s="38" t="str">
        <x:v>TROLLPT</x:v>
      </x:c>
      <x:c r="AF83" s="123" t="n">
        <x:v>1000</x:v>
      </x:c>
      <x:c r="AG83" s="112" t="str">
        <x:v>g</x:v>
      </x:c>
      <x:c r="AH83" s="112" t="str">
        <x:v>BỊCH</x:v>
      </x:c>
      <x:c r="AI83" s="112" t="str">
        <x:v>1000 g / BỊCH</x:v>
      </x:c>
      <x:c r="AJ83" s="120" t="n">
        <x:v>306000</x:v>
      </x:c>
      <x:c r="AK83" s="120" t="n">
        <x:v>306000</x:v>
      </x:c>
      <x:c r="AL83" s="120" t="n">
        <x:v>306000</x:v>
      </x:c>
      <x:c r="AM83" s="112" t="str">
        <x:v>GIỮ NGUYÊN - ĐÃ KHỚP</x:v>
      </x:c>
      <x:c r="AN83" s="126" t="n">
        <x:v>185</x:v>
      </x:c>
      <x:c r="AO83" s="126" t="n">
        <x:v>186</x:v>
      </x:c>
      <x:c r="AP83" s="113" t="str">
        <x:v>12 BỊCH / THÙNG</x:v>
      </x:c>
    </x:row>
    <x:row r="84">
      <x:c r="A84" s="71" t="str">
        <x:v>TRÀ OLONG KING</x:v>
      </x:c>
      <x:c r="B84" s="30" t="str">
        <x:v>TRÀ OLONG KING - THÙNG</x:v>
      </x:c>
      <x:c r="C84" s="37" t="str">
        <x:v>TROLKG</x:v>
      </x:c>
      <x:c r="D84" s="37" t="str">
        <x:v>TROLKGT</x:v>
      </x:c>
      <x:c r="E84" s="37" t="str">
        <x:v>TROLKGT</x:v>
      </x:c>
      <x:c r="F84" s="37" t="n">
        <x:v>30</x:v>
      </x:c>
      <x:c r="G84" s="37" t="n">
        <x:v>30</x:v>
      </x:c>
      <x:c r="H84" s="37" t="str">
        <x:v>kg</x:v>
      </x:c>
      <x:c r="I84" s="37" t="str">
        <x:v>BAO</x:v>
      </x:c>
      <x:c r="J84" s="59" t="n">
        <x:v>0</x:v>
      </x:c>
      <x:c r="K84" s="59" t="n">
        <x:v>0</x:v>
      </x:c>
      <x:c r="L84" s="59" t="n">
        <x:v>0</x:v>
      </x:c>
      <x:c r="M84" s="37" t="str">
        <x:v>Trà</x:v>
      </x:c>
      <x:c r="N84" s="37" t="str">
        <x:v>ĐÃ GHÉP - QUY TẮC</x:v>
      </x:c>
      <x:c r="O84" s="61" t="n">
        <x:v>0.99</x:v>
      </x:c>
      <x:c r="P84" s="37" t="n">
        <x:v>167</x:v>
      </x:c>
      <x:c r="Q84" s="30" t="str">
        <x:v>Tra olong kinh</x:v>
      </x:c>
      <x:c r="R84" s="30" t="str"/>
      <x:c r="S84" s="30" t="str">
        <x:v>gói 1kg</x:v>
      </x:c>
      <x:c r="T84" s="37" t="str">
        <x:v>ĐƠN VỊ</x:v>
      </x:c>
      <x:c r="U84" s="59" t="n">
        <x:v>160000</x:v>
      </x:c>
      <x:c r="V84" s="59"/>
      <x:c r="W84" s="117" t="n">
        <x:v>160000</x:v>
      </x:c>
      <x:c r="X84" s="59" t="str">
        <x:f>IFERROR(IF(OR($N84="ĐÃ GHÉP - AUTO",$N84="ĐÃ GHÉP - QUY TẮC"),IF($V84="","",IF($T84="THÙNG",$V84/$F84,$V84)),""),"")</x:f>
      </x:c>
      <x:c r="Y84" s="117" t="n">
        <x:f>IF(OR(W84="",F84=""),"",W84*F84)</x:f>
        <x:v>4800000</x:v>
      </x:c>
      <x:c r="Z84" s="59" t="str">
        <x:f>IFERROR(IF(OR($N84="ĐÃ GHÉP - AUTO",$N84="ĐÃ GHÉP - QUY TẮC"),IF($V84="","",IF($T84="THÙNG",$V84,$V84*$F84)),""),"")</x:f>
      </x:c>
      <x:c r="AA84" s="28" t="str">
        <x:f>IFERROR(IF(OR($K84="",$K84=0,$Y84=""),"",($Y84-$K84)/$K84),"")</x:f>
      </x:c>
      <x:c r="AB84" s="37" t="str">
        <x:f>IFERROR(IF($N84="CẦN DUYỆT","DUYỆT MAP",IF($N84="CHƯA CÓ GIÁ LẺ","THIẾU GIÁ",IF(OR($K84="",$K84=0,$Y84=""),"OK",IF(ABS(($Y84-$K84)/$K84)&gt;0.15,"LỆCH GIÁ CŨ","OK")))),"OK")</x:f>
        <x:v>OK</x:v>
      </x:c>
      <x:c r="AC84" s="30" t="str">
        <x:v>Bảng giá ghi nhầm KING thành KINH</x:v>
      </x:c>
      <x:c r="AD84" s="37" t="str">
        <x:v>TROLKG</x:v>
      </x:c>
      <x:c r="AE84" s="38" t="str">
        <x:v>TROLKGT</x:v>
      </x:c>
      <x:c r="AF84" s="123" t="n">
        <x:v>1</x:v>
      </x:c>
      <x:c r="AG84" s="112" t="str">
        <x:v>kg</x:v>
      </x:c>
      <x:c r="AH84" s="112" t="str">
        <x:v>BỊCH</x:v>
      </x:c>
      <x:c r="AI84" s="112" t="str">
        <x:v>1 kg / BỊCH</x:v>
      </x:c>
      <x:c r="AJ84" s="120" t="n">
        <x:v>160000</x:v>
      </x:c>
      <x:c r="AK84" s="120" t="n">
        <x:v>160000</x:v>
      </x:c>
      <x:c r="AL84" s="120" t="n">
        <x:v>160000</x:v>
      </x:c>
      <x:c r="AM84" s="112" t="str">
        <x:v>GIỮ NGUYÊN - ĐÃ KHỚP</x:v>
      </x:c>
      <x:c r="AN84" s="126" t="n">
        <x:v>187</x:v>
      </x:c>
      <x:c r="AO84" s="126" t="n">
        <x:v>188</x:v>
      </x:c>
      <x:c r="AP84" s="113" t="str">
        <x:v>30 BỊCH / BAO</x:v>
      </x:c>
    </x:row>
    <x:row r="85">
      <x:c r="A85" s="71" t="str">
        <x:v>TRÀ LÀI THÁI NGUYÊN</x:v>
      </x:c>
      <x:c r="B85" s="30" t="str">
        <x:v>TRÀ LÀI THÁI NGUYÊN - THÙNG</x:v>
      </x:c>
      <x:c r="C85" s="37" t="str">
        <x:v>TRLATN</x:v>
      </x:c>
      <x:c r="D85" s="37" t="str">
        <x:v>TRLATNT</x:v>
      </x:c>
      <x:c r="E85" s="37" t="str">
        <x:v>TRLATNT</x:v>
      </x:c>
      <x:c r="F85" s="37" t="n">
        <x:v>25</x:v>
      </x:c>
      <x:c r="G85" s="37" t="n">
        <x:v>3000</x:v>
      </x:c>
      <x:c r="H85" s="37" t="str">
        <x:v>g</x:v>
      </x:c>
      <x:c r="I85" s="37" t="str">
        <x:v>THÙNG</x:v>
      </x:c>
      <x:c r="J85" s="59" t="n">
        <x:v>0</x:v>
      </x:c>
      <x:c r="K85" s="59" t="n">
        <x:v>0</x:v>
      </x:c>
      <x:c r="L85" s="59" t="n">
        <x:v>0</x:v>
      </x:c>
      <x:c r="M85" s="37" t="str">
        <x:v>Trà</x:v>
      </x:c>
      <x:c r="N85" s="37" t="str">
        <x:v>ĐÃ GHÉP - QUY TẮC</x:v>
      </x:c>
      <x:c r="O85" s="61" t="n">
        <x:v>0.99</x:v>
      </x:c>
      <x:c r="P85" s="37" t="n">
        <x:v>184</x:v>
      </x:c>
      <x:c r="Q85" s="30" t="str">
        <x:v>Trà sen/LÀI Thái Nguyên</x:v>
      </x:c>
      <x:c r="R85" s="30" t="str">
        <x:v>Thùng 25 gói</x:v>
      </x:c>
      <x:c r="S85" s="30" t="str">
        <x:v>gói</x:v>
      </x:c>
      <x:c r="T85" s="37" t="str">
        <x:v>ĐƠN VỊ</x:v>
      </x:c>
      <x:c r="U85" s="59" t="n">
        <x:v>40000</x:v>
      </x:c>
      <x:c r="V85" s="59"/>
      <x:c r="W85" s="117" t="n">
        <x:v>40000</x:v>
      </x:c>
      <x:c r="X85" s="59" t="str">
        <x:f>IFERROR(IF(OR($N85="ĐÃ GHÉP - AUTO",$N85="ĐÃ GHÉP - QUY TẮC"),IF($V85="","",IF($T85="THÙNG",$V85/$F85,$V85)),""),"")</x:f>
      </x:c>
      <x:c r="Y85" s="117" t="n">
        <x:f>IF(OR(W85="",F85=""),"",W85*F85)</x:f>
        <x:v>1000000</x:v>
      </x:c>
      <x:c r="Z85" s="59" t="str">
        <x:f>IFERROR(IF(OR($N85="ĐÃ GHÉP - AUTO",$N85="ĐÃ GHÉP - QUY TẮC"),IF($V85="","",IF($T85="THÙNG",$V85,$V85*$F85)),""),"")</x:f>
      </x:c>
      <x:c r="AA85" s="28" t="str">
        <x:f>IFERROR(IF(OR($K85="",$K85=0,$Y85=""),"",($Y85-$K85)/$K85),"")</x:f>
      </x:c>
      <x:c r="AB85" s="37" t="str">
        <x:f>IFERROR(IF($N85="CẦN DUYỆT","DUYỆT MAP",IF($N85="CHƯA CÓ GIÁ LẺ","THIẾU GIÁ",IF(OR($K85="",$K85=0,$Y85=""),"OK",IF(ABS(($Y85-$K85)/$K85)&gt;0.15,"LỆCH GIÁ CŨ","OK")))),"OK")</x:f>
        <x:v>OK</x:v>
      </x:c>
      <x:c r="AC85" s="30" t="str">
        <x:v>Giá chung sen/lài Thái Nguyên</x:v>
      </x:c>
      <x:c r="AD85" s="37" t="str">
        <x:v>TRLATN</x:v>
      </x:c>
      <x:c r="AE85" s="38" t="str">
        <x:v>TRLATNT</x:v>
      </x:c>
      <x:c r="AF85" s="123" t="n">
        <x:v>100</x:v>
      </x:c>
      <x:c r="AG85" s="112" t="str">
        <x:v>g</x:v>
      </x:c>
      <x:c r="AH85" s="112" t="str">
        <x:v>BỊCH</x:v>
      </x:c>
      <x:c r="AI85" s="112" t="str">
        <x:v>100 g / BỊCH</x:v>
      </x:c>
      <x:c r="AJ85" s="120" t="n">
        <x:v>40000</x:v>
      </x:c>
      <x:c r="AK85" s="120" t="n">
        <x:v>40000</x:v>
      </x:c>
      <x:c r="AL85" s="120" t="n">
        <x:v>40000</x:v>
      </x:c>
      <x:c r="AM85" s="112" t="str">
        <x:v>GIỮ NGUYÊN - ĐÃ KHỚP</x:v>
      </x:c>
      <x:c r="AN85" s="126" t="n">
        <x:v>189</x:v>
      </x:c>
      <x:c r="AO85" s="126" t="n">
        <x:v>190</x:v>
      </x:c>
      <x:c r="AP85" s="113" t="str">
        <x:v>25 BỊCH / THÙNG</x:v>
      </x:c>
    </x:row>
    <x:row r="86">
      <x:c r="A86" s="71" t="str">
        <x:v>TRÀ LÀI TÂN NAM BẮC</x:v>
      </x:c>
      <x:c r="B86" s="30" t="str">
        <x:v>TRÀ LÀI TÂN NAM BẮC - THÙNG</x:v>
      </x:c>
      <x:c r="C86" s="37" t="str">
        <x:v>TRLTNB</x:v>
      </x:c>
      <x:c r="D86" s="37" t="str">
        <x:v>TRLTNBT</x:v>
      </x:c>
      <x:c r="E86" s="37" t="str">
        <x:v>TRLTNBT</x:v>
      </x:c>
      <x:c r="F86" s="37" t="n">
        <x:v>50</x:v>
      </x:c>
      <x:c r="G86" s="37" t="n">
        <x:v>20000</x:v>
      </x:c>
      <x:c r="H86" s="37" t="str">
        <x:v>g</x:v>
      </x:c>
      <x:c r="I86" s="37" t="str">
        <x:v>THÙNG</x:v>
      </x:c>
      <x:c r="J86" s="59" t="n">
        <x:v>1400000</x:v>
      </x:c>
      <x:c r="K86" s="59" t="n">
        <x:v>0</x:v>
      </x:c>
      <x:c r="L86" s="59" t="n">
        <x:v>0</x:v>
      </x:c>
      <x:c r="M86" s="37" t="str">
        <x:v>Trà</x:v>
      </x:c>
      <x:c r="N86" s="37" t="str">
        <x:v>ĐÃ GHÉP - QUY TẮC</x:v>
      </x:c>
      <x:c r="O86" s="61" t="n">
        <x:v>0.99</x:v>
      </x:c>
      <x:c r="P86" s="37" t="n">
        <x:v>180</x:v>
      </x:c>
      <x:c r="Q86" s="30" t="str">
        <x:v>Trà lài túi lọc TNB</x:v>
      </x:c>
      <x:c r="R86" s="30" t="str">
        <x:v>Thùng 50 gói</x:v>
      </x:c>
      <x:c r="S86" s="30" t="str">
        <x:v>gói</x:v>
      </x:c>
      <x:c r="T86" s="37" t="str">
        <x:v>ĐƠN VỊ</x:v>
      </x:c>
      <x:c r="U86" s="59" t="n">
        <x:v>29000</x:v>
      </x:c>
      <x:c r="V86" s="59"/>
      <x:c r="W86" s="117" t="n">
        <x:v>30000</x:v>
      </x:c>
      <x:c r="X86" s="59" t="str">
        <x:f>IFERROR(IF(OR($N86="ĐÃ GHÉP - AUTO",$N86="ĐÃ GHÉP - QUY TẮC"),IF($V86="","",IF($T86="THÙNG",$V86/$F86,$V86)),""),"")</x:f>
      </x:c>
      <x:c r="Y86" s="117" t="n">
        <x:f>IF(OR(W86="",F86=""),"",W86*F86)</x:f>
        <x:v>1500000</x:v>
      </x:c>
      <x:c r="Z86" s="59" t="str">
        <x:f>IFERROR(IF(OR($N86="ĐÃ GHÉP - AUTO",$N86="ĐÃ GHÉP - QUY TẮC"),IF($V86="","",IF($T86="THÙNG",$V86,$V86*$F86)),""),"")</x:f>
      </x:c>
      <x:c r="AA86" s="28" t="str">
        <x:f>IFERROR(IF(OR($K86="",$K86=0,$Y86=""),"",($Y86-$K86)/$K86),"")</x:f>
      </x:c>
      <x:c r="AB86" s="37" t="str">
        <x:f>IFERROR(IF($N86="CẦN DUYỆT","DUYỆT MAP",IF($N86="CHƯA CÓ GIÁ LẺ","THIẾU GIÁ",IF(OR($K86="",$K86=0,$Y86=""),"OK",IF(ABS(($Y86-$K86)/$K86)&gt;0.15,"LỆCH GIÁ CŨ","OK")))),"OK")</x:f>
        <x:v>OK</x:v>
      </x:c>
      <x:c r="AC86" s="30" t="str">
        <x:v>TNB = Tân Nam Bắc</x:v>
      </x:c>
      <x:c r="AD86" s="37" t="str">
        <x:v>TRLTNB</x:v>
      </x:c>
      <x:c r="AE86" s="38" t="str">
        <x:v>TRLTNBT</x:v>
      </x:c>
      <x:c r="AF86" s="123" t="n">
        <x:v>300</x:v>
      </x:c>
      <x:c r="AG86" s="112" t="str">
        <x:v>g</x:v>
      </x:c>
      <x:c r="AH86" s="112" t="str">
        <x:v>GÓI</x:v>
      </x:c>
      <x:c r="AI86" s="112" t="str">
        <x:v>300 g / GÓI</x:v>
      </x:c>
      <x:c r="AJ86" s="120" t="n">
        <x:v>30000</x:v>
      </x:c>
      <x:c r="AK86" s="120" t="n">
        <x:v>29000</x:v>
      </x:c>
      <x:c r="AL86" s="120" t="n">
        <x:v>30000</x:v>
      </x:c>
      <x:c r="AM86" s="112" t="str">
        <x:v>CẬP NHẬT GIÁ</x:v>
      </x:c>
      <x:c r="AN86" s="126" t="n">
        <x:v>191</x:v>
      </x:c>
      <x:c r="AO86" s="126" t="n">
        <x:v>192</x:v>
      </x:c>
      <x:c r="AP86" s="113" t="str">
        <x:v>50 GÓI / THÙNG</x:v>
      </x:c>
    </x:row>
    <x:row r="87">
      <x:c r="A87" s="71" t="str">
        <x:v>TRÀ LÀI PHÚC LONG LỌC</x:v>
      </x:c>
      <x:c r="B87" s="30" t="str">
        <x:v>TRÀ LÀI PHÚC LONG LỌC - THÙNG</x:v>
      </x:c>
      <x:c r="C87" s="37" t="str">
        <x:v>TRLPLL</x:v>
      </x:c>
      <x:c r="D87" s="37" t="str">
        <x:v>TRLPLLT</x:v>
      </x:c>
      <x:c r="E87" s="37" t="str">
        <x:v>TRLPLLT</x:v>
      </x:c>
      <x:c r="F87" s="37" t="n">
        <x:v>20</x:v>
      </x:c>
      <x:c r="G87" s="37" t="n">
        <x:v>2000</x:v>
      </x:c>
      <x:c r="H87" s="37" t="str">
        <x:v>g</x:v>
      </x:c>
      <x:c r="I87" s="37" t="str">
        <x:v>THÙNG</x:v>
      </x:c>
      <x:c r="J87" s="59" t="n">
        <x:v>0</x:v>
      </x:c>
      <x:c r="K87" s="59" t="n">
        <x:v>0</x:v>
      </x:c>
      <x:c r="L87" s="59" t="n">
        <x:v>0</x:v>
      </x:c>
      <x:c r="M87" s="37" t="str">
        <x:v>Trà</x:v>
      </x:c>
      <x:c r="N87" s="37" t="str">
        <x:v>ĐÃ GHÉP - QUY TẮC</x:v>
      </x:c>
      <x:c r="O87" s="61" t="n">
        <x:v>0.99</x:v>
      </x:c>
      <x:c r="P87" s="37" t="n">
        <x:v>182</x:v>
      </x:c>
      <x:c r="Q87" s="30" t="str">
        <x:v>Trà sen/LÀI Phúc Long</x:v>
      </x:c>
      <x:c r="R87" s="30" t="str">
        <x:v>Thùng 20 hộp</x:v>
      </x:c>
      <x:c r="S87" s="30" t="str">
        <x:v>hộp</x:v>
      </x:c>
      <x:c r="T87" s="37" t="str">
        <x:v>ĐƠN VỊ</x:v>
      </x:c>
      <x:c r="U87" s="59" t="n">
        <x:v>38000</x:v>
      </x:c>
      <x:c r="V87" s="59"/>
      <x:c r="W87" s="117" t="n">
        <x:v>40000</x:v>
      </x:c>
      <x:c r="X87" s="59" t="str">
        <x:f>IFERROR(IF(OR($N87="ĐÃ GHÉP - AUTO",$N87="ĐÃ GHÉP - QUY TẮC"),IF($V87="","",IF($T87="THÙNG",$V87/$F87,$V87)),""),"")</x:f>
      </x:c>
      <x:c r="Y87" s="117" t="n">
        <x:f>IF(OR(W87="",F87=""),"",W87*F87)</x:f>
        <x:v>800000</x:v>
      </x:c>
      <x:c r="Z87" s="59" t="str">
        <x:f>IFERROR(IF(OR($N87="ĐÃ GHÉP - AUTO",$N87="ĐÃ GHÉP - QUY TẮC"),IF($V87="","",IF($T87="THÙNG",$V87,$V87*$F87)),""),"")</x:f>
      </x:c>
      <x:c r="AA87" s="28" t="str">
        <x:f>IFERROR(IF(OR($K87="",$K87=0,$Y87=""),"",($Y87-$K87)/$K87),"")</x:f>
      </x:c>
      <x:c r="AB87" s="37" t="str">
        <x:f>IFERROR(IF($N87="CẦN DUYỆT","DUYỆT MAP",IF($N87="CHƯA CÓ GIÁ LẺ","THIẾU GIÁ",IF(OR($K87="",$K87=0,$Y87=""),"OK",IF(ABS(($Y87-$K87)/$K87)&gt;0.15,"LỆCH GIÁ CŨ","OK")))),"OK")</x:f>
        <x:v>OK</x:v>
      </x:c>
      <x:c r="AC87" s="30" t="str">
        <x:v>Giá chung sen/lài Phúc Long</x:v>
      </x:c>
      <x:c r="AD87" s="37" t="str">
        <x:v>TRLPLL</x:v>
      </x:c>
      <x:c r="AE87" s="38" t="str">
        <x:v>TRLPLLT</x:v>
      </x:c>
      <x:c r="AF87" s="123" t="n">
        <x:v>0</x:v>
      </x:c>
      <x:c r="AG87" s="112" t="str">
        <x:v>g</x:v>
      </x:c>
      <x:c r="AH87" s="112" t="str">
        <x:v>HỘP</x:v>
      </x:c>
      <x:c r="AI87" s="112" t="str">
        <x:v>0 g / HỘP</x:v>
      </x:c>
      <x:c r="AJ87" s="120" t="n">
        <x:v>40000</x:v>
      </x:c>
      <x:c r="AK87" s="120" t="n">
        <x:v>38000</x:v>
      </x:c>
      <x:c r="AL87" s="120" t="n">
        <x:v>40000</x:v>
      </x:c>
      <x:c r="AM87" s="112" t="str">
        <x:v>CẬP NHẬT GIÁ</x:v>
      </x:c>
      <x:c r="AN87" s="126" t="n">
        <x:v>193</x:v>
      </x:c>
      <x:c r="AO87" s="126" t="n">
        <x:v>194</x:v>
      </x:c>
      <x:c r="AP87" s="113" t="str">
        <x:v>20 HỘP / THÙNG</x:v>
      </x:c>
    </x:row>
    <x:row r="88">
      <x:c r="A88" s="71" t="str">
        <x:v>TRÀ LÀI NOVIA</x:v>
      </x:c>
      <x:c r="B88" s="30" t="str">
        <x:v>TRÀ LÀI NOVIA - THÙNG</x:v>
      </x:c>
      <x:c r="C88" s="37" t="str">
        <x:v>TRLANO</x:v>
      </x:c>
      <x:c r="D88" s="37" t="str">
        <x:v>TRLANOT</x:v>
      </x:c>
      <x:c r="E88" s="37" t="str">
        <x:v>TRLANOT</x:v>
      </x:c>
      <x:c r="F88" s="37" t="n">
        <x:v>20</x:v>
      </x:c>
      <x:c r="G88" s="37" t="n">
        <x:v>11000</x:v>
      </x:c>
      <x:c r="H88" s="37" t="str">
        <x:v>g</x:v>
      </x:c>
      <x:c r="I88" s="37" t="str">
        <x:v>THÙNG</x:v>
      </x:c>
      <x:c r="J88" s="59" t="n">
        <x:v>1564000</x:v>
      </x:c>
      <x:c r="K88" s="59" t="n">
        <x:v>0</x:v>
      </x:c>
      <x:c r="L88" s="59" t="n">
        <x:v>0</x:v>
      </x:c>
      <x:c r="M88" s="37" t="str">
        <x:v>Trà</x:v>
      </x:c>
      <x:c r="N88" s="37" t="str">
        <x:v>ĐÃ GHÉP - AUTO</x:v>
      </x:c>
      <x:c r="O88" s="61" t="n">
        <x:v>0.97</x:v>
      </x:c>
      <x:c r="P88" s="37" t="n">
        <x:v>192</x:v>
      </x:c>
      <x:c r="Q88" s="30" t="str">
        <x:v>Trà  lài novia</x:v>
      </x:c>
      <x:c r="R88" s="30" t="str">
        <x:v>Thùng 20 gói</x:v>
      </x:c>
      <x:c r="S88" s="30" t="str">
        <x:v>gói 500g</x:v>
      </x:c>
      <x:c r="T88" s="37" t="str">
        <x:v>ĐƠN VỊ</x:v>
      </x:c>
      <x:c r="U88" s="59" t="n">
        <x:v>80000</x:v>
      </x:c>
      <x:c r="V88" s="59" t="n">
        <x:v>78000</x:v>
      </x:c>
      <x:c r="W88" s="117" t="n">
        <x:v>80000</x:v>
      </x:c>
      <x:c r="X88" s="59" t="n">
        <x:f>IFERROR(IF(OR($N88="ĐÃ GHÉP - AUTO",$N88="ĐÃ GHÉP - QUY TẮC"),IF($V88="","",IF($T88="THÙNG",$V88/$F88,$V88)),""),"")</x:f>
        <x:v>78000</x:v>
      </x:c>
      <x:c r="Y88" s="117" t="n">
        <x:f>IF(OR(W88="",F88=""),"",W88*F88)</x:f>
        <x:v>1600000</x:v>
      </x:c>
      <x:c r="Z88" s="59" t="n">
        <x:f>IFERROR(IF(OR($N88="ĐÃ GHÉP - AUTO",$N88="ĐÃ GHÉP - QUY TẮC"),IF($V88="","",IF($T88="THÙNG",$V88,$V88*$F88)),""),"")</x:f>
        <x:v>1560000</x:v>
      </x:c>
      <x:c r="AA88" s="28" t="str">
        <x:f>IFERROR(IF(OR($K88="",$K88=0,$Y88=""),"",($Y88-$K88)/$K88),"")</x:f>
      </x:c>
      <x:c r="AB88" s="37" t="str">
        <x:f>IFERROR(IF($N88="CẦN DUYỆT","DUYỆT MAP",IF($N88="CHƯA CÓ GIÁ LẺ","THIẾU GIÁ",IF(OR($K88="",$K88=0,$Y88=""),"OK",IF(ABS(($Y88-$K88)/$K88)&gt;0.15,"LỆCH GIÁ CŨ","OK")))),"OK")</x:f>
        <x:v>OK</x:v>
      </x:c>
      <x:c r="AC88" s="30" t="str">
        <x:v>score=0.970; gap=0.368</x:v>
      </x:c>
      <x:c r="AD88" s="37" t="str">
        <x:v>TRLANO</x:v>
      </x:c>
      <x:c r="AE88" s="38" t="str">
        <x:v>TRLANOT</x:v>
      </x:c>
      <x:c r="AF88" s="123" t="n">
        <x:v>500</x:v>
      </x:c>
      <x:c r="AG88" s="112" t="str">
        <x:v>g</x:v>
      </x:c>
      <x:c r="AH88" s="112" t="str">
        <x:v>BỊCH</x:v>
      </x:c>
      <x:c r="AI88" s="112" t="str">
        <x:v>500 g / BỊCH</x:v>
      </x:c>
      <x:c r="AJ88" s="120" t="n">
        <x:v>80000</x:v>
      </x:c>
      <x:c r="AK88" s="120" t="n">
        <x:v>80000</x:v>
      </x:c>
      <x:c r="AL88" s="120" t="n">
        <x:v>80000</x:v>
      </x:c>
      <x:c r="AM88" s="112" t="str">
        <x:v>GIỮ NGUYÊN - ĐÃ KHỚP</x:v>
      </x:c>
      <x:c r="AN88" s="126" t="n">
        <x:v>195</x:v>
      </x:c>
      <x:c r="AO88" s="126" t="n">
        <x:v>196</x:v>
      </x:c>
      <x:c r="AP88" s="113" t="str">
        <x:v>20 BỊCH / THÙNG</x:v>
      </x:c>
    </x:row>
    <x:row r="89">
      <x:c r="A89" s="71" t="str">
        <x:v>TRÀ LÀI LỘC PHÁT</x:v>
      </x:c>
      <x:c r="B89" s="30" t="str">
        <x:v>TRÀ LÀI LỘC PHÁT - THÙNG</x:v>
      </x:c>
      <x:c r="C89" s="37" t="str">
        <x:v>TRLALP</x:v>
      </x:c>
      <x:c r="D89" s="37" t="str">
        <x:v>TRLALPT</x:v>
      </x:c>
      <x:c r="E89" s="37" t="str">
        <x:v>TRLALPT</x:v>
      </x:c>
      <x:c r="F89" s="37" t="n">
        <x:v>12</x:v>
      </x:c>
      <x:c r="G89" s="37" t="n">
        <x:v>13000</x:v>
      </x:c>
      <x:c r="H89" s="37" t="str">
        <x:v>g</x:v>
      </x:c>
      <x:c r="I89" s="37" t="str">
        <x:v>THÙNG</x:v>
      </x:c>
      <x:c r="J89" s="59" t="n">
        <x:v>0</x:v>
      </x:c>
      <x:c r="K89" s="59" t="n">
        <x:v>0</x:v>
      </x:c>
      <x:c r="L89" s="59" t="n">
        <x:v>0</x:v>
      </x:c>
      <x:c r="M89" s="37" t="str">
        <x:v>Trà</x:v>
      </x:c>
      <x:c r="N89" s="37" t="str">
        <x:v>ĐÃ GHÉP - AUTO</x:v>
      </x:c>
      <x:c r="O89" s="61" t="n">
        <x:v>0.97</x:v>
      </x:c>
      <x:c r="P89" s="37" t="n">
        <x:v>168</x:v>
      </x:c>
      <x:c r="Q89" s="30" t="str">
        <x:v>Trà lài Lộc Phát</x:v>
      </x:c>
      <x:c r="R89" s="30" t="str">
        <x:v>Thùng 12 gói</x:v>
      </x:c>
      <x:c r="S89" s="30" t="str">
        <x:v>gói 1kg</x:v>
      </x:c>
      <x:c r="T89" s="37" t="str">
        <x:v>ĐƠN VỊ</x:v>
      </x:c>
      <x:c r="U89" s="59" t="n">
        <x:v>155000</x:v>
      </x:c>
      <x:c r="V89" s="59"/>
      <x:c r="W89" s="117" t="n">
        <x:v>155000</x:v>
      </x:c>
      <x:c r="X89" s="59" t="str">
        <x:f>IFERROR(IF(OR($N89="ĐÃ GHÉP - AUTO",$N89="ĐÃ GHÉP - QUY TẮC"),IF($V89="","",IF($T89="THÙNG",$V89/$F89,$V89)),""),"")</x:f>
      </x:c>
      <x:c r="Y89" s="117" t="n">
        <x:f>IF(OR(W89="",F89=""),"",W89*F89)</x:f>
        <x:v>1860000</x:v>
      </x:c>
      <x:c r="Z89" s="59" t="str">
        <x:f>IFERROR(IF(OR($N89="ĐÃ GHÉP - AUTO",$N89="ĐÃ GHÉP - QUY TẮC"),IF($V89="","",IF($T89="THÙNG",$V89,$V89*$F89)),""),"")</x:f>
      </x:c>
      <x:c r="AA89" s="28" t="str">
        <x:f>IFERROR(IF(OR($K89="",$K89=0,$Y89=""),"",($Y89-$K89)/$K89),"")</x:f>
      </x:c>
      <x:c r="AB89" s="37" t="str">
        <x:f>IFERROR(IF($N89="CẦN DUYỆT","DUYỆT MAP",IF($N89="CHƯA CÓ GIÁ LẺ","THIẾU GIÁ",IF(OR($K89="",$K89=0,$Y89=""),"OK",IF(ABS(($Y89-$K89)/$K89)&gt;0.15,"LỆCH GIÁ CŨ","OK")))),"OK")</x:f>
        <x:v>OK</x:v>
      </x:c>
      <x:c r="AC89" s="30" t="str">
        <x:v>score=0.970; gap=0.383</x:v>
      </x:c>
      <x:c r="AD89" s="37" t="str">
        <x:v>TRLALP</x:v>
      </x:c>
      <x:c r="AE89" s="38" t="str">
        <x:v>TRLALPT</x:v>
      </x:c>
      <x:c r="AF89" s="123" t="n">
        <x:v>1000</x:v>
      </x:c>
      <x:c r="AG89" s="112" t="str">
        <x:v>g</x:v>
      </x:c>
      <x:c r="AH89" s="112" t="str">
        <x:v>BỊCH</x:v>
      </x:c>
      <x:c r="AI89" s="112" t="str">
        <x:v>1000 g / BỊCH</x:v>
      </x:c>
      <x:c r="AJ89" s="120" t="n">
        <x:v>155000</x:v>
      </x:c>
      <x:c r="AK89" s="120" t="n">
        <x:v>155000</x:v>
      </x:c>
      <x:c r="AL89" s="120" t="n">
        <x:v>155000</x:v>
      </x:c>
      <x:c r="AM89" s="112" t="str">
        <x:v>GIỮ NGUYÊN - ĐÃ KHỚP</x:v>
      </x:c>
      <x:c r="AN89" s="126" t="n">
        <x:v>197</x:v>
      </x:c>
      <x:c r="AO89" s="126" t="n">
        <x:v>198</x:v>
      </x:c>
      <x:c r="AP89" s="113" t="str">
        <x:v>12 BỊCH / THÙNG</x:v>
      </x:c>
    </x:row>
    <x:row r="90">
      <x:c r="A90" s="71" t="str">
        <x:v>TRÀ LÀI KING GÓI</x:v>
      </x:c>
      <x:c r="B90" s="30" t="str">
        <x:v>TRÀ LÀI KING GÓI - THÙNG</x:v>
      </x:c>
      <x:c r="C90" s="37" t="str">
        <x:v>TRLAKG</x:v>
      </x:c>
      <x:c r="D90" s="37" t="str">
        <x:v>TRLAKGT</x:v>
      </x:c>
      <x:c r="E90" s="37" t="str">
        <x:v>TRLAKGT</x:v>
      </x:c>
      <x:c r="F90" s="37" t="n">
        <x:v>30</x:v>
      </x:c>
      <x:c r="G90" s="37" t="n">
        <x:v>0</x:v>
      </x:c>
      <x:c r="H90" s="37" t="str">
        <x:v>g</x:v>
      </x:c>
      <x:c r="I90" s="37" t="str">
        <x:v>THÙNG</x:v>
      </x:c>
      <x:c r="J90" s="59" t="n">
        <x:v>0</x:v>
      </x:c>
      <x:c r="K90" s="59" t="n">
        <x:v>0</x:v>
      </x:c>
      <x:c r="L90" s="59" t="n">
        <x:v>0</x:v>
      </x:c>
      <x:c r="M90" s="37" t="str">
        <x:v>Trà</x:v>
      </x:c>
      <x:c r="N90" s="37" t="str">
        <x:v>ĐÃ GHÉP - AUTO</x:v>
      </x:c>
      <x:c r="O90" s="61" t="n">
        <x:v>0.93</x:v>
      </x:c>
      <x:c r="P90" s="37" t="n">
        <x:v>166</x:v>
      </x:c>
      <x:c r="Q90" s="30" t="str">
        <x:v>Trà lài King</x:v>
      </x:c>
      <x:c r="R90" s="30" t="str"/>
      <x:c r="S90" s="30" t="str">
        <x:v>gói 1kg</x:v>
      </x:c>
      <x:c r="T90" s="37" t="str">
        <x:v>ĐƠN VỊ</x:v>
      </x:c>
      <x:c r="U90" s="59" t="n">
        <x:v>155000</x:v>
      </x:c>
      <x:c r="V90" s="59"/>
      <x:c r="W90" s="117" t="n">
        <x:v>160000</x:v>
      </x:c>
      <x:c r="X90" s="59" t="str">
        <x:f>IFERROR(IF(OR($N90="ĐÃ GHÉP - AUTO",$N90="ĐÃ GHÉP - QUY TẮC"),IF($V90="","",IF($T90="THÙNG",$V90/$F90,$V90)),""),"")</x:f>
      </x:c>
      <x:c r="Y90" s="117" t="n">
        <x:f>IF(OR(W90="",F90=""),"",W90*F90)</x:f>
        <x:v>4800000</x:v>
      </x:c>
      <x:c r="Z90" s="59" t="str">
        <x:f>IFERROR(IF(OR($N90="ĐÃ GHÉP - AUTO",$N90="ĐÃ GHÉP - QUY TẮC"),IF($V90="","",IF($T90="THÙNG",$V90,$V90*$F90)),""),"")</x:f>
      </x:c>
      <x:c r="AA90" s="28" t="str">
        <x:f>IFERROR(IF(OR($K90="",$K90=0,$Y90=""),"",($Y90-$K90)/$K90),"")</x:f>
      </x:c>
      <x:c r="AB90" s="37" t="str">
        <x:f>IFERROR(IF($N90="CẦN DUYỆT","DUYỆT MAP",IF($N90="CHƯA CÓ GIÁ LẺ","THIẾU GIÁ",IF(OR($K90="",$K90=0,$Y90=""),"OK",IF(ABS(($Y90-$K90)/$K90)&gt;0.15,"LỆCH GIÁ CŨ","OK")))),"OK")</x:f>
        <x:v>OK</x:v>
      </x:c>
      <x:c r="AC90" s="30" t="str">
        <x:v>score=0.930; gap=0.077</x:v>
      </x:c>
      <x:c r="AD90" s="37" t="str">
        <x:v>TRLAKG</x:v>
      </x:c>
      <x:c r="AE90" s="38" t="str">
        <x:v>TRLAKGT</x:v>
      </x:c>
      <x:c r="AF90" s="123" t="n">
        <x:v>1</x:v>
      </x:c>
      <x:c r="AG90" s="112" t="str">
        <x:v>kg</x:v>
      </x:c>
      <x:c r="AH90" s="112" t="str">
        <x:v>BỊCH</x:v>
      </x:c>
      <x:c r="AI90" s="112" t="str">
        <x:v>1 kg / BỊCH</x:v>
      </x:c>
      <x:c r="AJ90" s="120" t="n">
        <x:v>160000</x:v>
      </x:c>
      <x:c r="AK90" s="120" t="n">
        <x:v>155000</x:v>
      </x:c>
      <x:c r="AL90" s="120" t="n">
        <x:v>160000</x:v>
      </x:c>
      <x:c r="AM90" s="112" t="str">
        <x:v>CẬP NHẬT GIÁ</x:v>
      </x:c>
      <x:c r="AN90" s="126" t="n">
        <x:v>199</x:v>
      </x:c>
      <x:c r="AO90" s="126" t="n">
        <x:v>200</x:v>
      </x:c>
      <x:c r="AP90" s="113" t="str">
        <x:v>30 BỊCH / THÙNG</x:v>
      </x:c>
    </x:row>
    <x:row r="91">
      <x:c r="A91" s="71" t="str">
        <x:v>TRÀ LÀI HOÀNG GIA</x:v>
      </x:c>
      <x:c r="B91" s="30" t="str">
        <x:v>TRÀ LÀI HOÀNG GIA - THÙNG</x:v>
      </x:c>
      <x:c r="C91" s="37" t="str">
        <x:v>TRLAHG</x:v>
      </x:c>
      <x:c r="D91" s="37" t="str">
        <x:v>TRLAHGT</x:v>
      </x:c>
      <x:c r="E91" s="37" t="str">
        <x:v>TRLAHGT</x:v>
      </x:c>
      <x:c r="F91" s="37" t="n">
        <x:v>20</x:v>
      </x:c>
      <x:c r="G91" s="37" t="n">
        <x:v>11000</x:v>
      </x:c>
      <x:c r="H91" s="37" t="str">
        <x:v>g</x:v>
      </x:c>
      <x:c r="I91" s="37" t="str">
        <x:v>THÙNG</x:v>
      </x:c>
      <x:c r="J91" s="59" t="n">
        <x:v>1564000</x:v>
      </x:c>
      <x:c r="K91" s="59" t="n">
        <x:v>0</x:v>
      </x:c>
      <x:c r="L91" s="59" t="n">
        <x:v>0</x:v>
      </x:c>
      <x:c r="M91" s="37" t="str">
        <x:v>Trà</x:v>
      </x:c>
      <x:c r="N91" s="37" t="str">
        <x:v>ĐÃ GHÉP - AUTO</x:v>
      </x:c>
      <x:c r="O91" s="61" t="n">
        <x:v>0.97</x:v>
      </x:c>
      <x:c r="P91" s="37" t="n">
        <x:v>175</x:v>
      </x:c>
      <x:c r="Q91" s="30" t="str">
        <x:v>Trà lài Hoàng Gia</x:v>
      </x:c>
      <x:c r="R91" s="30" t="str">
        <x:v>Thùng 20 gói</x:v>
      </x:c>
      <x:c r="S91" s="30" t="str">
        <x:v>gói 500g</x:v>
      </x:c>
      <x:c r="T91" s="37" t="str">
        <x:v>ĐƠN VỊ</x:v>
      </x:c>
      <x:c r="U91" s="59" t="n">
        <x:v>80000</x:v>
      </x:c>
      <x:c r="V91" s="59" t="n">
        <x:v>78000</x:v>
      </x:c>
      <x:c r="W91" s="117" t="n">
        <x:v>80000</x:v>
      </x:c>
      <x:c r="X91" s="59" t="n">
        <x:f>IFERROR(IF(OR($N91="ĐÃ GHÉP - AUTO",$N91="ĐÃ GHÉP - QUY TẮC"),IF($V91="","",IF($T91="THÙNG",$V91/$F91,$V91)),""),"")</x:f>
        <x:v>78000</x:v>
      </x:c>
      <x:c r="Y91" s="117" t="n">
        <x:f>IF(OR(W91="",F91=""),"",W91*F91)</x:f>
        <x:v>1600000</x:v>
      </x:c>
      <x:c r="Z91" s="59" t="n">
        <x:f>IFERROR(IF(OR($N91="ĐÃ GHÉP - AUTO",$N91="ĐÃ GHÉP - QUY TẮC"),IF($V91="","",IF($T91="THÙNG",$V91,$V91*$F91)),""),"")</x:f>
        <x:v>1560000</x:v>
      </x:c>
      <x:c r="AA91" s="28" t="str">
        <x:f>IFERROR(IF(OR($K91="",$K91=0,$Y91=""),"",($Y91-$K91)/$K91),"")</x:f>
      </x:c>
      <x:c r="AB91" s="37" t="str">
        <x:f>IFERROR(IF($N91="CẦN DUYỆT","DUYỆT MAP",IF($N91="CHƯA CÓ GIÁ LẺ","THIẾU GIÁ",IF(OR($K91="",$K91=0,$Y91=""),"OK",IF(ABS(($Y91-$K91)/$K91)&gt;0.15,"LỆCH GIÁ CŨ","OK")))),"OK")</x:f>
        <x:v>OK</x:v>
      </x:c>
      <x:c r="AC91" s="30" t="str">
        <x:v>score=0.970; gap=0.235</x:v>
      </x:c>
      <x:c r="AD91" s="37" t="str">
        <x:v>TRLAHG</x:v>
      </x:c>
      <x:c r="AE91" s="38" t="str">
        <x:v>TRLAHGT</x:v>
      </x:c>
      <x:c r="AF91" s="123" t="n">
        <x:v>500</x:v>
      </x:c>
      <x:c r="AG91" s="112" t="str">
        <x:v>g</x:v>
      </x:c>
      <x:c r="AH91" s="112" t="str">
        <x:v>BỊCH</x:v>
      </x:c>
      <x:c r="AI91" s="112" t="str">
        <x:v>500 g / BỊCH</x:v>
      </x:c>
      <x:c r="AJ91" s="120" t="n">
        <x:v>80000</x:v>
      </x:c>
      <x:c r="AK91" s="120" t="n">
        <x:v>80000</x:v>
      </x:c>
      <x:c r="AL91" s="120" t="n">
        <x:v>80000</x:v>
      </x:c>
      <x:c r="AM91" s="112" t="str">
        <x:v>GIỮ NGUYÊN - ĐÃ KHỚP</x:v>
      </x:c>
      <x:c r="AN91" s="126" t="n">
        <x:v>201</x:v>
      </x:c>
      <x:c r="AO91" s="126" t="n">
        <x:v>202</x:v>
      </x:c>
      <x:c r="AP91" s="113" t="str">
        <x:v>20 BỊCH / THÙNG</x:v>
      </x:c>
    </x:row>
    <x:row r="92">
      <x:c r="A92" s="71" t="str">
        <x:v>TRÀ HOA TRÂN NHÁM</x:v>
      </x:c>
      <x:c r="B92" s="30" t="str">
        <x:v>TRÀ HOA TRÂN NHÁM - THÙNG</x:v>
      </x:c>
      <x:c r="C92" s="37" t="str">
        <x:v>TRHTNH</x:v>
      </x:c>
      <x:c r="D92" s="37" t="str">
        <x:v>TRHTNHT</x:v>
      </x:c>
      <x:c r="E92" s="37" t="str">
        <x:v>TRHTNHT</x:v>
      </x:c>
      <x:c r="F92" s="37" t="n">
        <x:v>20</x:v>
      </x:c>
      <x:c r="G92" s="37" t="n">
        <x:v>11000</x:v>
      </x:c>
      <x:c r="H92" s="37" t="str">
        <x:v>g</x:v>
      </x:c>
      <x:c r="I92" s="37" t="str">
        <x:v>THÙNG</x:v>
      </x:c>
      <x:c r="J92" s="59" t="n">
        <x:v>0</x:v>
      </x:c>
      <x:c r="K92" s="59" t="n">
        <x:v>0</x:v>
      </x:c>
      <x:c r="L92" s="59" t="n">
        <x:v>0</x:v>
      </x:c>
      <x:c r="M92" s="37" t="str">
        <x:v>Trà</x:v>
      </x:c>
      <x:c r="N92" s="37" t="str">
        <x:v>CHƯA CÓ GIÁ LẺ</x:v>
      </x:c>
      <x:c r="O92" s="61" t="n">
        <x:v>0.416</x:v>
      </x:c>
      <x:c r="P92" s="37"/>
      <x:c r="Q92" s="30"/>
      <x:c r="R92" s="30"/>
      <x:c r="S92" s="30"/>
      <x:c r="T92" s="37"/>
      <x:c r="U92" s="59"/>
      <x:c r="V92" s="59"/>
      <x:c r="W92" s="117" t="n">
        <x:v>68000</x:v>
      </x:c>
      <x:c r="X92" s="59" t="str">
        <x:f>IFERROR(IF(OR($N92="ĐÃ GHÉP - AUTO",$N92="ĐÃ GHÉP - QUY TẮC"),IF($V92="","",IF($T92="THÙNG",$V92/$F92,$V92)),""),"")</x:f>
      </x:c>
      <x:c r="Y92" s="117" t="n">
        <x:f>IF(OR(W92="",F92=""),"",W92*F92)</x:f>
        <x:v>1360000</x:v>
      </x:c>
      <x:c r="Z92" s="59" t="str">
        <x:f>IFERROR(IF(OR($N92="ĐÃ GHÉP - AUTO",$N92="ĐÃ GHÉP - QUY TẮC"),IF($V92="","",IF($T92="THÙNG",$V92,$V92*$F92)),""),"")</x:f>
      </x:c>
      <x:c r="AA92" s="28" t="str">
        <x:f>IFERROR(IF(OR($K92="",$K92=0,$Y92=""),"",($Y92-$K92)/$K92),"")</x:f>
      </x:c>
      <x:c r="AB92" s="37" t="str">
        <x:f>IFERROR(IF($N92="CẦN DUYỆT","DUYỆT MAP",IF($N92="CHƯA CÓ GIÁ LẺ","THIẾU GIÁ",IF(OR($K92="",$K92=0,$Y92=""),"OK",IF(ABS(($Y92-$K92)/$K92)&gt;0.15,"LỆCH GIÁ CŨ","OK")))),"OK")</x:f>
        <x:v>THIẾU GIÁ</x:v>
      </x:c>
      <x:c r="AC92" s="30" t="str">
        <x:v>ứng viên gần nhất=Trà Cozy Hòa tan; score=0.416</x:v>
      </x:c>
      <x:c r="AD92" s="37" t="str">
        <x:v>TRHTNH</x:v>
      </x:c>
      <x:c r="AE92" s="38" t="str">
        <x:v>TRHTNHT</x:v>
      </x:c>
      <x:c r="AF92" s="123" t="n">
        <x:v>500</x:v>
      </x:c>
      <x:c r="AG92" s="112" t="str">
        <x:v>g</x:v>
      </x:c>
      <x:c r="AH92" s="112" t="str">
        <x:v>BỊCH</x:v>
      </x:c>
      <x:c r="AI92" s="112" t="str">
        <x:v>500 g / BỊCH</x:v>
      </x:c>
      <x:c r="AJ92" s="120" t="n">
        <x:v>68000</x:v>
      </x:c>
      <x:c r="AK92" s="120"/>
      <x:c r="AL92" s="120" t="n">
        <x:v>68000</x:v>
      </x:c>
      <x:c r="AM92" s="112" t="str">
        <x:v>BỔ SUNG GIÁ</x:v>
      </x:c>
      <x:c r="AN92" s="126" t="n">
        <x:v>204</x:v>
      </x:c>
      <x:c r="AO92" s="126" t="n">
        <x:v>205</x:v>
      </x:c>
      <x:c r="AP92" s="113" t="str">
        <x:v>20 BỊCH / THÙNG</x:v>
      </x:c>
    </x:row>
    <x:row r="93">
      <x:c r="A93" s="71" t="str">
        <x:v>TRÀ GẠO NOVIA</x:v>
      </x:c>
      <x:c r="B93" s="30" t="str">
        <x:v>TRÀ GẠO NOVIA - THÙNG</x:v>
      </x:c>
      <x:c r="C93" s="37" t="str">
        <x:v>TRGANO</x:v>
      </x:c>
      <x:c r="D93" s="37" t="str">
        <x:v>TRGANOT</x:v>
      </x:c>
      <x:c r="E93" s="37" t="str">
        <x:v>TRGANOT</x:v>
      </x:c>
      <x:c r="F93" s="37" t="n">
        <x:v>20</x:v>
      </x:c>
      <x:c r="G93" s="37" t="n">
        <x:v>11000</x:v>
      </x:c>
      <x:c r="H93" s="37" t="str">
        <x:v>g</x:v>
      </x:c>
      <x:c r="I93" s="37" t="str">
        <x:v>THÙNG</x:v>
      </x:c>
      <x:c r="J93" s="59" t="n">
        <x:v>2391600</x:v>
      </x:c>
      <x:c r="K93" s="59" t="n">
        <x:v>0</x:v>
      </x:c>
      <x:c r="L93" s="59" t="n">
        <x:v>0</x:v>
      </x:c>
      <x:c r="M93" s="37" t="str">
        <x:v>Trà</x:v>
      </x:c>
      <x:c r="N93" s="37" t="str">
        <x:v>ĐÃ GHÉP - AUTO</x:v>
      </x:c>
      <x:c r="O93" s="61" t="n">
        <x:v>0.97</x:v>
      </x:c>
      <x:c r="P93" s="37" t="n">
        <x:v>190</x:v>
      </x:c>
      <x:c r="Q93" s="30" t="str">
        <x:v>Trà gạo novia</x:v>
      </x:c>
      <x:c r="R93" s="30" t="str">
        <x:v>Thùng 20 gói</x:v>
      </x:c>
      <x:c r="S93" s="30" t="str">
        <x:v>gói 500g</x:v>
      </x:c>
      <x:c r="T93" s="37" t="str">
        <x:v>ĐƠN VỊ</x:v>
      </x:c>
      <x:c r="U93" s="59" t="n">
        <x:v>125000</x:v>
      </x:c>
      <x:c r="V93" s="59"/>
      <x:c r="W93" s="117" t="n">
        <x:v>125000</x:v>
      </x:c>
      <x:c r="X93" s="59" t="str">
        <x:f>IFERROR(IF(OR($N93="ĐÃ GHÉP - AUTO",$N93="ĐÃ GHÉP - QUY TẮC"),IF($V93="","",IF($T93="THÙNG",$V93/$F93,$V93)),""),"")</x:f>
      </x:c>
      <x:c r="Y93" s="117" t="n">
        <x:f>IF(OR(W93="",F93=""),"",W93*F93)</x:f>
        <x:v>2500000</x:v>
      </x:c>
      <x:c r="Z93" s="59" t="str">
        <x:f>IFERROR(IF(OR($N93="ĐÃ GHÉP - AUTO",$N93="ĐÃ GHÉP - QUY TẮC"),IF($V93="","",IF($T93="THÙNG",$V93,$V93*$F93)),""),"")</x:f>
      </x:c>
      <x:c r="AA93" s="28" t="str">
        <x:f>IFERROR(IF(OR($K93="",$K93=0,$Y93=""),"",($Y93-$K93)/$K93),"")</x:f>
      </x:c>
      <x:c r="AB93" s="37" t="str">
        <x:f>IFERROR(IF($N93="CẦN DUYỆT","DUYỆT MAP",IF($N93="CHƯA CÓ GIÁ LẺ","THIẾU GIÁ",IF(OR($K93="",$K93=0,$Y93=""),"OK",IF(ABS(($Y93-$K93)/$K93)&gt;0.15,"LỆCH GIÁ CŨ","OK")))),"OK")</x:f>
        <x:v>OK</x:v>
      </x:c>
      <x:c r="AC93" s="30" t="str">
        <x:v>score=0.970; gap=0.336</x:v>
      </x:c>
      <x:c r="AD93" s="37" t="str">
        <x:v>TRGANO</x:v>
      </x:c>
      <x:c r="AE93" s="38" t="str">
        <x:v>TRGANOT</x:v>
      </x:c>
      <x:c r="AF93" s="123" t="n">
        <x:v>500</x:v>
      </x:c>
      <x:c r="AG93" s="112" t="str">
        <x:v>g</x:v>
      </x:c>
      <x:c r="AH93" s="112" t="str">
        <x:v>BỊCH</x:v>
      </x:c>
      <x:c r="AI93" s="112" t="str">
        <x:v>500 g / BỊCH</x:v>
      </x:c>
      <x:c r="AJ93" s="120" t="n">
        <x:v>125000</x:v>
      </x:c>
      <x:c r="AK93" s="120" t="n">
        <x:v>125000</x:v>
      </x:c>
      <x:c r="AL93" s="120" t="n">
        <x:v>125000</x:v>
      </x:c>
      <x:c r="AM93" s="112" t="str">
        <x:v>GIỮ NGUYÊN - ĐÃ KHỚP</x:v>
      </x:c>
      <x:c r="AN93" s="126" t="n">
        <x:v>207</x:v>
      </x:c>
      <x:c r="AO93" s="126" t="n">
        <x:v>208</x:v>
      </x:c>
      <x:c r="AP93" s="113" t="str">
        <x:v>20 BỊCH / THÙNG</x:v>
      </x:c>
    </x:row>
    <x:row r="94">
      <x:c r="A94" s="71" t="str">
        <x:v>TRÀ GẠO LỘC PHÁT</x:v>
      </x:c>
      <x:c r="B94" s="30" t="str">
        <x:v>TRÀ GẠO LỘC PHÁT - THÙNG</x:v>
      </x:c>
      <x:c r="C94" s="37" t="str">
        <x:v>TRGALP</x:v>
      </x:c>
      <x:c r="D94" s="37" t="str">
        <x:v>TRGALPT</x:v>
      </x:c>
      <x:c r="E94" s="37" t="str">
        <x:v>TRGALPT</x:v>
      </x:c>
      <x:c r="F94" s="37" t="n">
        <x:v>24</x:v>
      </x:c>
      <x:c r="G94" s="37" t="n">
        <x:v>13000</x:v>
      </x:c>
      <x:c r="H94" s="37" t="str">
        <x:v>g</x:v>
      </x:c>
      <x:c r="I94" s="37" t="str">
        <x:v>THÙNG</x:v>
      </x:c>
      <x:c r="J94" s="59" t="n">
        <x:v>0</x:v>
      </x:c>
      <x:c r="K94" s="59" t="n">
        <x:v>0</x:v>
      </x:c>
      <x:c r="L94" s="59" t="n">
        <x:v>0</x:v>
      </x:c>
      <x:c r="M94" s="37" t="str">
        <x:v>Trà</x:v>
      </x:c>
      <x:c r="N94" s="37" t="str">
        <x:v>CHƯA CÓ GIÁ LẺ</x:v>
      </x:c>
      <x:c r="O94" s="61" t="n">
        <x:v>0.556</x:v>
      </x:c>
      <x:c r="P94" s="37"/>
      <x:c r="Q94" s="30"/>
      <x:c r="R94" s="30"/>
      <x:c r="S94" s="30"/>
      <x:c r="T94" s="37"/>
      <x:c r="U94" s="59"/>
      <x:c r="V94" s="59"/>
      <x:c r="W94" s="117" t="n">
        <x:v>126000</x:v>
      </x:c>
      <x:c r="X94" s="59" t="str">
        <x:f>IFERROR(IF(OR($N94="ĐÃ GHÉP - AUTO",$N94="ĐÃ GHÉP - QUY TẮC"),IF($V94="","",IF($T94="THÙNG",$V94/$F94,$V94)),""),"")</x:f>
      </x:c>
      <x:c r="Y94" s="117" t="n">
        <x:f>IF(OR(W94="",F94=""),"",W94*F94)</x:f>
        <x:v>3024000</x:v>
      </x:c>
      <x:c r="Z94" s="59" t="str">
        <x:f>IFERROR(IF(OR($N94="ĐÃ GHÉP - AUTO",$N94="ĐÃ GHÉP - QUY TẮC"),IF($V94="","",IF($T94="THÙNG",$V94,$V94*$F94)),""),"")</x:f>
      </x:c>
      <x:c r="AA94" s="28" t="str">
        <x:f>IFERROR(IF(OR($K94="",$K94=0,$Y94=""),"",($Y94-$K94)/$K94),"")</x:f>
      </x:c>
      <x:c r="AB94" s="37" t="str">
        <x:f>IFERROR(IF($N94="CẦN DUYỆT","DUYỆT MAP",IF($N94="CHƯA CÓ GIÁ LẺ","THIẾU GIÁ",IF(OR($K94="",$K94=0,$Y94=""),"OK",IF(ABS(($Y94-$K94)/$K94)&gt;0.15,"LỆCH GIÁ CŨ","OK")))),"OK")</x:f>
        <x:v>THIẾU GIÁ</x:v>
      </x:c>
      <x:c r="AC94" s="30" t="str">
        <x:v>ứng viên gần nhất=Trà lài Lộc Phát; score=0.556</x:v>
      </x:c>
      <x:c r="AD94" s="37" t="str">
        <x:v>TRGALP</x:v>
      </x:c>
      <x:c r="AE94" s="38" t="str">
        <x:v>TRGALPT</x:v>
      </x:c>
      <x:c r="AF94" s="123" t="n">
        <x:v>1000</x:v>
      </x:c>
      <x:c r="AG94" s="112" t="str">
        <x:v>g</x:v>
      </x:c>
      <x:c r="AH94" s="112" t="str">
        <x:v>BỊCH</x:v>
      </x:c>
      <x:c r="AI94" s="112" t="str">
        <x:v>1000 g / BỊCH</x:v>
      </x:c>
      <x:c r="AJ94" s="120" t="n">
        <x:v>126000</x:v>
      </x:c>
      <x:c r="AK94" s="120"/>
      <x:c r="AL94" s="120" t="n">
        <x:v>126000</x:v>
      </x:c>
      <x:c r="AM94" s="112" t="str">
        <x:v>BỔ SUNG GIÁ</x:v>
      </x:c>
      <x:c r="AN94" s="126" t="n">
        <x:v>209</x:v>
      </x:c>
      <x:c r="AO94" s="126" t="n">
        <x:v>210</x:v>
      </x:c>
      <x:c r="AP94" s="113" t="str">
        <x:v>24 BỊCH / THÙNG</x:v>
      </x:c>
    </x:row>
    <x:row r="95">
      <x:c r="A95" s="71" t="str">
        <x:v>TRÀ ĐEN PHÚC LONG</x:v>
      </x:c>
      <x:c r="B95" s="30" t="str">
        <x:v>TRÀ ĐEN PHÚC LONG - THÙNG</x:v>
      </x:c>
      <x:c r="C95" s="37" t="str">
        <x:v>TRDEPL</x:v>
      </x:c>
      <x:c r="D95" s="37" t="str">
        <x:v>TRDEPLT</x:v>
      </x:c>
      <x:c r="E95" s="37" t="str">
        <x:v>TRDEPLT</x:v>
      </x:c>
      <x:c r="F95" s="37" t="n">
        <x:v>20</x:v>
      </x:c>
      <x:c r="G95" s="37" t="n">
        <x:v>12</x:v>
      </x:c>
      <x:c r="H95" s="37" t="str">
        <x:v>kg</x:v>
      </x:c>
      <x:c r="I95" s="37" t="str">
        <x:v>THÙNG</x:v>
      </x:c>
      <x:c r="J95" s="59" t="n">
        <x:v>0</x:v>
      </x:c>
      <x:c r="K95" s="59" t="n">
        <x:v>0</x:v>
      </x:c>
      <x:c r="L95" s="59" t="n">
        <x:v>0</x:v>
      </x:c>
      <x:c r="M95" s="37" t="str">
        <x:v>Trà</x:v>
      </x:c>
      <x:c r="N95" s="37" t="str">
        <x:v>ĐÃ GHÉP - AUTO</x:v>
      </x:c>
      <x:c r="O95" s="61" t="n">
        <x:v>0.97</x:v>
      </x:c>
      <x:c r="P95" s="37" t="n">
        <x:v>181</x:v>
      </x:c>
      <x:c r="Q95" s="30" t="str">
        <x:v>Tra den phuc long</x:v>
      </x:c>
      <x:c r="R95" s="30" t="str">
        <x:v>Thung 20goi</x:v>
      </x:c>
      <x:c r="S95" s="30" t="str">
        <x:v>gói 500g</x:v>
      </x:c>
      <x:c r="T95" s="37" t="str">
        <x:v>ĐƠN VỊ</x:v>
      </x:c>
      <x:c r="U95" s="59" t="n">
        <x:v>107000</x:v>
      </x:c>
      <x:c r="V95" s="59"/>
      <x:c r="W95" s="117" t="n">
        <x:v>107000</x:v>
      </x:c>
      <x:c r="X95" s="59" t="str">
        <x:f>IFERROR(IF(OR($N95="ĐÃ GHÉP - AUTO",$N95="ĐÃ GHÉP - QUY TẮC"),IF($V95="","",IF($T95="THÙNG",$V95/$F95,$V95)),""),"")</x:f>
      </x:c>
      <x:c r="Y95" s="117" t="n">
        <x:f>IF(OR(W95="",F95=""),"",W95*F95)</x:f>
        <x:v>2140000</x:v>
      </x:c>
      <x:c r="Z95" s="59" t="str">
        <x:f>IFERROR(IF(OR($N95="ĐÃ GHÉP - AUTO",$N95="ĐÃ GHÉP - QUY TẮC"),IF($V95="","",IF($T95="THÙNG",$V95,$V95*$F95)),""),"")</x:f>
      </x:c>
      <x:c r="AA95" s="28" t="str">
        <x:f>IFERROR(IF(OR($K95="",$K95=0,$Y95=""),"",($Y95-$K95)/$K95),"")</x:f>
      </x:c>
      <x:c r="AB95" s="37" t="str">
        <x:f>IFERROR(IF($N95="CẦN DUYỆT","DUYỆT MAP",IF($N95="CHƯA CÓ GIÁ LẺ","THIẾU GIÁ",IF(OR($K95="",$K95=0,$Y95=""),"OK",IF(ABS(($Y95-$K95)/$K95)&gt;0.15,"LỆCH GIÁ CŨ","OK")))),"OK")</x:f>
        <x:v>OK</x:v>
      </x:c>
      <x:c r="AC95" s="30" t="str">
        <x:v>score=0.970; gap=0.248</x:v>
      </x:c>
      <x:c r="AD95" s="37" t="str">
        <x:v>TRDEPL</x:v>
      </x:c>
      <x:c r="AE95" s="38" t="str">
        <x:v>TRDEPLT</x:v>
      </x:c>
      <x:c r="AF95" s="123" t="n">
        <x:v>500</x:v>
      </x:c>
      <x:c r="AG95" s="112" t="str">
        <x:v>g</x:v>
      </x:c>
      <x:c r="AH95" s="112" t="str">
        <x:v>BỊCH</x:v>
      </x:c>
      <x:c r="AI95" s="112" t="str">
        <x:v>500 g / BỊCH</x:v>
      </x:c>
      <x:c r="AJ95" s="120" t="n">
        <x:v>107000</x:v>
      </x:c>
      <x:c r="AK95" s="120" t="n">
        <x:v>107000</x:v>
      </x:c>
      <x:c r="AL95" s="120" t="n">
        <x:v>107000</x:v>
      </x:c>
      <x:c r="AM95" s="112" t="str">
        <x:v>GIỮ NGUYÊN - ĐÃ KHỚP</x:v>
      </x:c>
      <x:c r="AN95" s="126" t="n">
        <x:v>211</x:v>
      </x:c>
      <x:c r="AO95" s="126" t="n">
        <x:v>212</x:v>
      </x:c>
      <x:c r="AP95" s="113" t="str">
        <x:v>20 BỊCH / THÙNG</x:v>
      </x:c>
    </x:row>
    <x:row r="96">
      <x:c r="A96" s="71" t="str">
        <x:v>TRÀ ĐEN NOVIA</x:v>
      </x:c>
      <x:c r="B96" s="30" t="str">
        <x:v>TRÀ ĐEN NOVIA - THÙNG</x:v>
      </x:c>
      <x:c r="C96" s="37" t="str">
        <x:v>TRDENN</x:v>
      </x:c>
      <x:c r="D96" s="37" t="str">
        <x:v>TRDENNT</x:v>
      </x:c>
      <x:c r="E96" s="37" t="str">
        <x:v>TRDENNT</x:v>
      </x:c>
      <x:c r="F96" s="37" t="n">
        <x:v>20</x:v>
      </x:c>
      <x:c r="G96" s="37" t="n">
        <x:v>11000</x:v>
      </x:c>
      <x:c r="H96" s="37" t="str">
        <x:v>g</x:v>
      </x:c>
      <x:c r="I96" s="37" t="str">
        <x:v>THÙNG</x:v>
      </x:c>
      <x:c r="J96" s="59" t="n">
        <x:v>1598000</x:v>
      </x:c>
      <x:c r="K96" s="59" t="n">
        <x:v>0</x:v>
      </x:c>
      <x:c r="L96" s="59" t="n">
        <x:v>0</x:v>
      </x:c>
      <x:c r="M96" s="37" t="str">
        <x:v>Trà</x:v>
      </x:c>
      <x:c r="N96" s="37" t="str">
        <x:v>ĐÃ GHÉP - AUTO</x:v>
      </x:c>
      <x:c r="O96" s="61" t="n">
        <x:v>0.97</x:v>
      </x:c>
      <x:c r="P96" s="37" t="n">
        <x:v>191</x:v>
      </x:c>
      <x:c r="Q96" s="30" t="str">
        <x:v>Trà đen novia</x:v>
      </x:c>
      <x:c r="R96" s="30" t="str">
        <x:v>Thùng 20 gói</x:v>
      </x:c>
      <x:c r="S96" s="30" t="str">
        <x:v>gói 500g</x:v>
      </x:c>
      <x:c r="T96" s="37" t="str">
        <x:v>ĐƠN VỊ</x:v>
      </x:c>
      <x:c r="U96" s="59" t="n">
        <x:v>82000</x:v>
      </x:c>
      <x:c r="V96" s="59" t="n">
        <x:v>80000</x:v>
      </x:c>
      <x:c r="W96" s="117" t="n">
        <x:v>82000</x:v>
      </x:c>
      <x:c r="X96" s="59" t="n">
        <x:f>IFERROR(IF(OR($N96="ĐÃ GHÉP - AUTO",$N96="ĐÃ GHÉP - QUY TẮC"),IF($V96="","",IF($T96="THÙNG",$V96/$F96,$V96)),""),"")</x:f>
        <x:v>80000</x:v>
      </x:c>
      <x:c r="Y96" s="117" t="n">
        <x:f>IF(OR(W96="",F96=""),"",W96*F96)</x:f>
        <x:v>1640000</x:v>
      </x:c>
      <x:c r="Z96" s="59" t="n">
        <x:f>IFERROR(IF(OR($N96="ĐÃ GHÉP - AUTO",$N96="ĐÃ GHÉP - QUY TẮC"),IF($V96="","",IF($T96="THÙNG",$V96,$V96*$F96)),""),"")</x:f>
        <x:v>1600000</x:v>
      </x:c>
      <x:c r="AA96" s="28" t="str">
        <x:f>IFERROR(IF(OR($K96="",$K96=0,$Y96=""),"",($Y96-$K96)/$K96),"")</x:f>
      </x:c>
      <x:c r="AB96" s="37" t="str">
        <x:f>IFERROR(IF($N96="CẦN DUYỆT","DUYỆT MAP",IF($N96="CHƯA CÓ GIÁ LẺ","THIẾU GIÁ",IF(OR($K96="",$K96=0,$Y96=""),"OK",IF(ABS(($Y96-$K96)/$K96)&gt;0.15,"LỆCH GIÁ CŨ","OK")))),"OK")</x:f>
        <x:v>OK</x:v>
      </x:c>
      <x:c r="AC96" s="30" t="str">
        <x:v>score=0.970; gap=0.357</x:v>
      </x:c>
      <x:c r="AD96" s="37" t="str">
        <x:v>TRDENN</x:v>
      </x:c>
      <x:c r="AE96" s="38" t="str">
        <x:v>TRDENNT</x:v>
      </x:c>
      <x:c r="AF96" s="123" t="n">
        <x:v>500</x:v>
      </x:c>
      <x:c r="AG96" s="112" t="str">
        <x:v>g</x:v>
      </x:c>
      <x:c r="AH96" s="112" t="str">
        <x:v>BỊCH</x:v>
      </x:c>
      <x:c r="AI96" s="112" t="str">
        <x:v>500 g / BỊCH</x:v>
      </x:c>
      <x:c r="AJ96" s="120" t="n">
        <x:v>82000</x:v>
      </x:c>
      <x:c r="AK96" s="120" t="n">
        <x:v>82000</x:v>
      </x:c>
      <x:c r="AL96" s="120" t="n">
        <x:v>82000</x:v>
      </x:c>
      <x:c r="AM96" s="112" t="str">
        <x:v>GIỮ NGUYÊN - ĐÃ KHỚP</x:v>
      </x:c>
      <x:c r="AN96" s="126" t="n">
        <x:v>213</x:v>
      </x:c>
      <x:c r="AO96" s="126" t="n">
        <x:v>214</x:v>
      </x:c>
      <x:c r="AP96" s="113" t="str">
        <x:v>20 BỊCH / THÙNG</x:v>
      </x:c>
    </x:row>
    <x:row r="97">
      <x:c r="A97" s="71" t="str">
        <x:v>TRÀ ĐEN LỘC PHÁT</x:v>
      </x:c>
      <x:c r="B97" s="30" t="str">
        <x:v>TRÀ ĐEN LỘC PHÁT - THÙNG</x:v>
      </x:c>
      <x:c r="C97" s="37" t="str">
        <x:v>TRDELP</x:v>
      </x:c>
      <x:c r="D97" s="37" t="str">
        <x:v>TRDELPT</x:v>
      </x:c>
      <x:c r="E97" s="37" t="str">
        <x:v>TRDELPT</x:v>
      </x:c>
      <x:c r="F97" s="37" t="n">
        <x:v>12</x:v>
      </x:c>
      <x:c r="G97" s="37" t="n">
        <x:v>13000</x:v>
      </x:c>
      <x:c r="H97" s="37" t="str">
        <x:v>g</x:v>
      </x:c>
      <x:c r="I97" s="37" t="str">
        <x:v>THÙNG</x:v>
      </x:c>
      <x:c r="J97" s="59" t="n">
        <x:v>0</x:v>
      </x:c>
      <x:c r="K97" s="59" t="n">
        <x:v>0</x:v>
      </x:c>
      <x:c r="L97" s="59" t="n">
        <x:v>0</x:v>
      </x:c>
      <x:c r="M97" s="37" t="str">
        <x:v>Trà</x:v>
      </x:c>
      <x:c r="N97" s="37" t="str">
        <x:v>ĐÃ GHÉP - AUTO</x:v>
      </x:c>
      <x:c r="O97" s="61" t="n">
        <x:v>0.97</x:v>
      </x:c>
      <x:c r="P97" s="37" t="n">
        <x:v>169</x:v>
      </x:c>
      <x:c r="Q97" s="30" t="str">
        <x:v>Trà đen Lộc Phát</x:v>
      </x:c>
      <x:c r="R97" s="30" t="str">
        <x:v>Thùng 12 gói</x:v>
      </x:c>
      <x:c r="S97" s="30" t="str">
        <x:v>gói 1kg</x:v>
      </x:c>
      <x:c r="T97" s="37" t="str">
        <x:v>ĐƠN VỊ</x:v>
      </x:c>
      <x:c r="U97" s="59" t="n">
        <x:v>155000</x:v>
      </x:c>
      <x:c r="V97" s="59"/>
      <x:c r="W97" s="117" t="n">
        <x:v>155000</x:v>
      </x:c>
      <x:c r="X97" s="59" t="str">
        <x:f>IFERROR(IF(OR($N97="ĐÃ GHÉP - AUTO",$N97="ĐÃ GHÉP - QUY TẮC"),IF($V97="","",IF($T97="THÙNG",$V97/$F97,$V97)),""),"")</x:f>
      </x:c>
      <x:c r="Y97" s="117" t="n">
        <x:f>IF(OR(W97="",F97=""),"",W97*F97)</x:f>
        <x:v>1860000</x:v>
      </x:c>
      <x:c r="Z97" s="59" t="str">
        <x:f>IFERROR(IF(OR($N97="ĐÃ GHÉP - AUTO",$N97="ĐÃ GHÉP - QUY TẮC"),IF($V97="","",IF($T97="THÙNG",$V97,$V97*$F97)),""),"")</x:f>
      </x:c>
      <x:c r="AA97" s="28" t="str">
        <x:f>IFERROR(IF(OR($K97="",$K97=0,$Y97=""),"",($Y97-$K97)/$K97),"")</x:f>
      </x:c>
      <x:c r="AB97" s="37" t="str">
        <x:f>IFERROR(IF($N97="CẦN DUYỆT","DUYỆT MAP",IF($N97="CHƯA CÓ GIÁ LẺ","THIẾU GIÁ",IF(OR($K97="",$K97=0,$Y97=""),"OK",IF(ABS(($Y97-$K97)/$K97)&gt;0.15,"LỆCH GIÁ CŨ","OK")))),"OK")</x:f>
        <x:v>OK</x:v>
      </x:c>
      <x:c r="AC97" s="30" t="str">
        <x:v>score=0.970; gap=0.373</x:v>
      </x:c>
      <x:c r="AD97" s="37" t="str">
        <x:v>TRDELP</x:v>
      </x:c>
      <x:c r="AE97" s="38" t="str">
        <x:v>TRDELPT</x:v>
      </x:c>
      <x:c r="AF97" s="123" t="n">
        <x:v>1000</x:v>
      </x:c>
      <x:c r="AG97" s="112" t="str">
        <x:v>g</x:v>
      </x:c>
      <x:c r="AH97" s="112" t="str">
        <x:v>BỊCH</x:v>
      </x:c>
      <x:c r="AI97" s="112" t="str">
        <x:v>1000 g / BỊCH</x:v>
      </x:c>
      <x:c r="AJ97" s="120" t="n">
        <x:v>155000</x:v>
      </x:c>
      <x:c r="AK97" s="120" t="n">
        <x:v>155000</x:v>
      </x:c>
      <x:c r="AL97" s="120" t="n">
        <x:v>155000</x:v>
      </x:c>
      <x:c r="AM97" s="112" t="str">
        <x:v>GIỮ NGUYÊN - ĐÃ KHỚP</x:v>
      </x:c>
      <x:c r="AN97" s="126" t="n">
        <x:v>215</x:v>
      </x:c>
      <x:c r="AO97" s="126" t="n">
        <x:v>216</x:v>
      </x:c>
      <x:c r="AP97" s="113" t="str">
        <x:v>12 BỊCH / THÙNG</x:v>
      </x:c>
    </x:row>
    <x:row r="98">
      <x:c r="A98" s="71" t="str">
        <x:v>TRÀ ĐEN HOÀNG GIA</x:v>
      </x:c>
      <x:c r="B98" s="30" t="str">
        <x:v>TRÀ ĐEN HOÀNG GIA - THÙNG</x:v>
      </x:c>
      <x:c r="C98" s="37" t="str">
        <x:v>TRDEHG</x:v>
      </x:c>
      <x:c r="D98" s="37" t="str">
        <x:v>TRDEHGT</x:v>
      </x:c>
      <x:c r="E98" s="37" t="str">
        <x:v>TRDEHGT</x:v>
      </x:c>
      <x:c r="F98" s="37" t="n">
        <x:v>20</x:v>
      </x:c>
      <x:c r="G98" s="37" t="n">
        <x:v>11000</x:v>
      </x:c>
      <x:c r="H98" s="37" t="str">
        <x:v>g</x:v>
      </x:c>
      <x:c r="I98" s="37" t="str">
        <x:v>THÙNG</x:v>
      </x:c>
      <x:c r="J98" s="59" t="n">
        <x:v>1071000</x:v>
      </x:c>
      <x:c r="K98" s="59" t="n">
        <x:v>1140000</x:v>
      </x:c>
      <x:c r="L98" s="59" t="n">
        <x:v>0</x:v>
      </x:c>
      <x:c r="M98" s="37" t="str">
        <x:v>Trà</x:v>
      </x:c>
      <x:c r="N98" s="37" t="str">
        <x:v>ĐÃ GHÉP - AUTO</x:v>
      </x:c>
      <x:c r="O98" s="61" t="n">
        <x:v>1</x:v>
      </x:c>
      <x:c r="P98" s="37" t="n">
        <x:v>174</x:v>
      </x:c>
      <x:c r="Q98" s="30" t="str">
        <x:v>Trà đen Hoàng Gia</x:v>
      </x:c>
      <x:c r="R98" s="30" t="str">
        <x:v>Thùng 20 gói</x:v>
      </x:c>
      <x:c r="S98" s="30" t="str">
        <x:v>gói 500g</x:v>
      </x:c>
      <x:c r="T98" s="37" t="str">
        <x:v>ĐƠN VỊ</x:v>
      </x:c>
      <x:c r="U98" s="59" t="n">
        <x:v>57000</x:v>
      </x:c>
      <x:c r="V98" s="59" t="n">
        <x:v>55000</x:v>
      </x:c>
      <x:c r="W98" s="117" t="n">
        <x:v>57000</x:v>
      </x:c>
      <x:c r="X98" s="59" t="n">
        <x:f>IFERROR(IF(OR($N98="ĐÃ GHÉP - AUTO",$N98="ĐÃ GHÉP - QUY TẮC"),IF($V98="","",IF($T98="THÙNG",$V98/$F98,$V98)),""),"")</x:f>
        <x:v>55000</x:v>
      </x:c>
      <x:c r="Y98" s="117" t="n">
        <x:f>IF(OR(W98="",F98=""),"",W98*F98)</x:f>
        <x:v>1140000</x:v>
      </x:c>
      <x:c r="Z98" s="59" t="n">
        <x:f>IFERROR(IF(OR($N98="ĐÃ GHÉP - AUTO",$N98="ĐÃ GHÉP - QUY TẮC"),IF($V98="","",IF($T98="THÙNG",$V98,$V98*$F98)),""),"")</x:f>
        <x:v>1100000</x:v>
      </x:c>
      <x:c r="AA98" s="28" t="n">
        <x:f>IFERROR(IF(OR($K98="",$K98=0,$Y98=""),"",($Y98-$K98)/$K98),"")</x:f>
        <x:v>0</x:v>
      </x:c>
      <x:c r="AB98" s="37" t="str">
        <x:f>IFERROR(IF($N98="CẦN DUYỆT","DUYỆT MAP",IF($N98="CHƯA CÓ GIÁ LẺ","THIẾU GIÁ",IF(OR($K98="",$K98=0,$Y98=""),"OK",IF(ABS(($Y98-$K98)/$K98)&gt;0.15,"LỆCH GIÁ CŨ","OK")))),"OK")</x:f>
        <x:v>OK</x:v>
      </x:c>
      <x:c r="AC98" s="30" t="str">
        <x:v>score=1.000; gap=0.286</x:v>
      </x:c>
      <x:c r="AD98" s="37" t="str">
        <x:v>TRDEHG</x:v>
      </x:c>
      <x:c r="AE98" s="38" t="str">
        <x:v>TRDEHGT</x:v>
      </x:c>
      <x:c r="AF98" s="123" t="n">
        <x:v>500</x:v>
      </x:c>
      <x:c r="AG98" s="112" t="str">
        <x:v>g</x:v>
      </x:c>
      <x:c r="AH98" s="112" t="str">
        <x:v>BỊCH</x:v>
      </x:c>
      <x:c r="AI98" s="112" t="str">
        <x:v>500 g / BỊCH</x:v>
      </x:c>
      <x:c r="AJ98" s="120" t="n">
        <x:v>57000</x:v>
      </x:c>
      <x:c r="AK98" s="120" t="n">
        <x:v>57000</x:v>
      </x:c>
      <x:c r="AL98" s="120" t="n">
        <x:v>57000</x:v>
      </x:c>
      <x:c r="AM98" s="112" t="str">
        <x:v>GIỮ NGUYÊN - ĐÃ KHỚP</x:v>
      </x:c>
      <x:c r="AN98" s="126" t="n">
        <x:v>217</x:v>
      </x:c>
      <x:c r="AO98" s="126" t="n">
        <x:v>218</x:v>
      </x:c>
      <x:c r="AP98" s="113" t="str">
        <x:v>20 BỊCH / THÙNG</x:v>
      </x:c>
    </x:row>
    <x:row r="99">
      <x:c r="A99" s="71" t="str">
        <x:v>TRÀ ĐÀO TÂN NAM BẮC</x:v>
      </x:c>
      <x:c r="B99" s="30" t="str">
        <x:v>TRÀ ĐÀO TÂN NAM BẮC - THÙNG</x:v>
      </x:c>
      <x:c r="C99" s="37" t="str">
        <x:v>TRDTNB</x:v>
      </x:c>
      <x:c r="D99" s="37" t="str">
        <x:v>TRDTNBT</x:v>
      </x:c>
      <x:c r="E99" s="37" t="str">
        <x:v>TRDTNBT</x:v>
      </x:c>
      <x:c r="F99" s="37" t="n">
        <x:v>30</x:v>
      </x:c>
      <x:c r="G99" s="37" t="n">
        <x:v>10000</x:v>
      </x:c>
      <x:c r="H99" s="37" t="str">
        <x:v>g</x:v>
      </x:c>
      <x:c r="I99" s="37" t="str">
        <x:v>THÙNG</x:v>
      </x:c>
      <x:c r="J99" s="59" t="n">
        <x:v>1220000</x:v>
      </x:c>
      <x:c r="K99" s="59" t="n">
        <x:v>0</x:v>
      </x:c>
      <x:c r="L99" s="59" t="n">
        <x:v>0</x:v>
      </x:c>
      <x:c r="M99" s="37" t="str">
        <x:v>Trà</x:v>
      </x:c>
      <x:c r="N99" s="37" t="str">
        <x:v>ĐÃ GHÉP - AUTO</x:v>
      </x:c>
      <x:c r="O99" s="61" t="n">
        <x:v>0.97</x:v>
      </x:c>
      <x:c r="P99" s="37" t="n">
        <x:v>179</x:v>
      </x:c>
      <x:c r="Q99" s="30" t="str">
        <x:v>Trà đào túi lọc TNB</x:v>
      </x:c>
      <x:c r="R99" s="30" t="str">
        <x:v>Thùng 30 gói</x:v>
      </x:c>
      <x:c r="S99" s="30" t="str">
        <x:v>gói</x:v>
      </x:c>
      <x:c r="T99" s="37" t="str">
        <x:v>ĐƠN VỊ</x:v>
      </x:c>
      <x:c r="U99" s="59" t="n">
        <x:v>42000</x:v>
      </x:c>
      <x:c r="V99" s="59"/>
      <x:c r="W99" s="117" t="n">
        <x:v>42000</x:v>
      </x:c>
      <x:c r="X99" s="59" t="str">
        <x:f>IFERROR(IF(OR($N99="ĐÃ GHÉP - AUTO",$N99="ĐÃ GHÉP - QUY TẮC"),IF($V99="","",IF($T99="THÙNG",$V99/$F99,$V99)),""),"")</x:f>
      </x:c>
      <x:c r="Y99" s="117" t="n">
        <x:f>IF(OR(W99="",F99=""),"",W99*F99)</x:f>
        <x:v>1260000</x:v>
      </x:c>
      <x:c r="Z99" s="59" t="str">
        <x:f>IFERROR(IF(OR($N99="ĐÃ GHÉP - AUTO",$N99="ĐÃ GHÉP - QUY TẮC"),IF($V99="","",IF($T99="THÙNG",$V99,$V99*$F99)),""),"")</x:f>
      </x:c>
      <x:c r="AA99" s="28" t="str">
        <x:f>IFERROR(IF(OR($K99="",$K99=0,$Y99=""),"",($Y99-$K99)/$K99),"")</x:f>
      </x:c>
      <x:c r="AB99" s="37" t="str">
        <x:f>IFERROR(IF($N99="CẦN DUYỆT","DUYỆT MAP",IF($N99="CHƯA CÓ GIÁ LẺ","THIẾU GIÁ",IF(OR($K99="",$K99=0,$Y99=""),"OK",IF(ABS(($Y99-$K99)/$K99)&gt;0.15,"LỆCH GIÁ CŨ","OK")))),"OK")</x:f>
        <x:v>OK</x:v>
      </x:c>
      <x:c r="AC99" s="30" t="str">
        <x:v>score=0.970; gap=0.116</x:v>
      </x:c>
      <x:c r="AD99" s="37" t="str">
        <x:v>TRDTNB</x:v>
      </x:c>
      <x:c r="AE99" s="38" t="str">
        <x:v>TRDTNBT</x:v>
      </x:c>
      <x:c r="AF99" s="123" t="n">
        <x:v>200</x:v>
      </x:c>
      <x:c r="AG99" s="112" t="str">
        <x:v>g</x:v>
      </x:c>
      <x:c r="AH99" s="112" t="str">
        <x:v>GÓI</x:v>
      </x:c>
      <x:c r="AI99" s="112" t="str">
        <x:v>200 g / GÓI</x:v>
      </x:c>
      <x:c r="AJ99" s="120" t="n">
        <x:v>42000</x:v>
      </x:c>
      <x:c r="AK99" s="120" t="n">
        <x:v>42000</x:v>
      </x:c>
      <x:c r="AL99" s="120" t="n">
        <x:v>42000</x:v>
      </x:c>
      <x:c r="AM99" s="112" t="str">
        <x:v>GIỮ NGUYÊN - ĐÃ KHỚP</x:v>
      </x:c>
      <x:c r="AN99" s="126" t="n">
        <x:v>219</x:v>
      </x:c>
      <x:c r="AO99" s="126" t="n">
        <x:v>220</x:v>
      </x:c>
      <x:c r="AP99" s="113" t="str">
        <x:v>30 GÓI / THÙNG</x:v>
      </x:c>
    </x:row>
    <x:row r="100">
      <x:c r="A100" s="71" t="str">
        <x:v>COZY TÚI LỌC HỒNG TRÀ</x:v>
      </x:c>
      <x:c r="B100" s="30" t="str">
        <x:v>COZY TÚI LỌC HỒNG TRÀ  - THÙNG</x:v>
      </x:c>
      <x:c r="C100" s="37" t="str">
        <x:v>COTLHT</x:v>
      </x:c>
      <x:c r="D100" s="37" t="str">
        <x:v>COTLHTT</x:v>
      </x:c>
      <x:c r="E100" s="37" t="str">
        <x:v>COTLHTT</x:v>
      </x:c>
      <x:c r="F100" s="37" t="n">
        <x:v>36</x:v>
      </x:c>
      <x:c r="G100" s="37" t="n">
        <x:v>5000</x:v>
      </x:c>
      <x:c r="H100" s="37" t="str">
        <x:v>g</x:v>
      </x:c>
      <x:c r="I100" s="37" t="str">
        <x:v>THÙNG</x:v>
      </x:c>
      <x:c r="J100" s="59" t="n">
        <x:v>0</x:v>
      </x:c>
      <x:c r="K100" s="59" t="n">
        <x:v>0</x:v>
      </x:c>
      <x:c r="L100" s="59" t="n">
        <x:v>0</x:v>
      </x:c>
      <x:c r="M100" s="37" t="str">
        <x:v>Trà</x:v>
      </x:c>
      <x:c r="N100" s="37" t="str">
        <x:v>ĐÃ GHÉP - AUTO</x:v>
      </x:c>
      <x:c r="O100" s="61" t="n">
        <x:v>0.97</x:v>
      </x:c>
      <x:c r="P100" s="37" t="n">
        <x:v>187</x:v>
      </x:c>
      <x:c r="Q100" s="30" t="str">
        <x:v>Trà Cozy túi lọc</x:v>
      </x:c>
      <x:c r="R100" s="30" t="str">
        <x:v>Thùng 36 hộp</x:v>
      </x:c>
      <x:c r="S100" s="30" t="str">
        <x:v>hộp</x:v>
      </x:c>
      <x:c r="T100" s="37" t="str">
        <x:v>ĐƠN VỊ</x:v>
      </x:c>
      <x:c r="U100" s="59" t="n">
        <x:v>38000</x:v>
      </x:c>
      <x:c r="V100" s="59"/>
      <x:c r="W100" s="117" t="n">
        <x:v>39000</x:v>
      </x:c>
      <x:c r="X100" s="59" t="str">
        <x:f>IFERROR(IF(OR($N100="ĐÃ GHÉP - AUTO",$N100="ĐÃ GHÉP - QUY TẮC"),IF($V100="","",IF($T100="THÙNG",$V100/$F100,$V100)),""),"")</x:f>
      </x:c>
      <x:c r="Y100" s="117" t="n">
        <x:f>IF(OR(W100="",F100=""),"",W100*F100)</x:f>
        <x:v>1404000</x:v>
      </x:c>
      <x:c r="Z100" s="59" t="str">
        <x:f>IFERROR(IF(OR($N100="ĐÃ GHÉP - AUTO",$N100="ĐÃ GHÉP - QUY TẮC"),IF($V100="","",IF($T100="THÙNG",$V100,$V100*$F100)),""),"")</x:f>
      </x:c>
      <x:c r="AA100" s="28" t="str">
        <x:f>IFERROR(IF(OR($K100="",$K100=0,$Y100=""),"",($Y100-$K100)/$K100),"")</x:f>
      </x:c>
      <x:c r="AB100" s="37" t="str">
        <x:f>IFERROR(IF($N100="CẦN DUYỆT","DUYỆT MAP",IF($N100="CHƯA CÓ GIÁ LẺ","THIẾU GIÁ",IF(OR($K100="",$K100=0,$Y100=""),"OK",IF(ABS(($Y100-$K100)/$K100)&gt;0.15,"LỆCH GIÁ CŨ","OK")))),"OK")</x:f>
        <x:v>OK</x:v>
      </x:c>
      <x:c r="AC100" s="30" t="str">
        <x:v>score=0.970; gap=0.334</x:v>
      </x:c>
      <x:c r="AD100" s="37" t="str">
        <x:v>COTLHT</x:v>
      </x:c>
      <x:c r="AE100" s="38" t="str">
        <x:v>COTLHTT</x:v>
      </x:c>
      <x:c r="AF100" s="123" t="n">
        <x:v>10</x:v>
      </x:c>
      <x:c r="AG100" s="112" t="str">
        <x:v>g</x:v>
      </x:c>
      <x:c r="AH100" s="112" t="str">
        <x:v>HỘP</x:v>
      </x:c>
      <x:c r="AI100" s="112" t="str">
        <x:v>10 g / HỘP</x:v>
      </x:c>
      <x:c r="AJ100" s="120" t="n">
        <x:v>39000</x:v>
      </x:c>
      <x:c r="AK100" s="120" t="n">
        <x:v>38000</x:v>
      </x:c>
      <x:c r="AL100" s="120" t="n">
        <x:v>39000</x:v>
      </x:c>
      <x:c r="AM100" s="112" t="str">
        <x:v>CẬP NHẬT GIÁ</x:v>
      </x:c>
      <x:c r="AN100" s="126" t="n">
        <x:v>221</x:v>
      </x:c>
      <x:c r="AO100" s="126" t="n">
        <x:v>222</x:v>
      </x:c>
      <x:c r="AP100" s="113" t="str">
        <x:v>36 HỘP / THÙNG</x:v>
      </x:c>
    </x:row>
    <x:row r="101">
      <x:c r="A101" s="71" t="str">
        <x:v>COZY TÚI LỌC ĐÀO</x:v>
      </x:c>
      <x:c r="B101" s="30" t="str">
        <x:v>COZY TÚI LỌC ĐÀO - THÙNG</x:v>
      </x:c>
      <x:c r="C101" s="37" t="str">
        <x:v>COTLDO</x:v>
      </x:c>
      <x:c r="D101" s="37" t="str">
        <x:v>COTLDOT</x:v>
      </x:c>
      <x:c r="E101" s="37" t="str">
        <x:v>COTLDOT</x:v>
      </x:c>
      <x:c r="F101" s="37" t="n">
        <x:v>36</x:v>
      </x:c>
      <x:c r="G101" s="37" t="n">
        <x:v>5000</x:v>
      </x:c>
      <x:c r="H101" s="37" t="str">
        <x:v>g</x:v>
      </x:c>
      <x:c r="I101" s="37" t="str">
        <x:v>THÙNG</x:v>
      </x:c>
      <x:c r="J101" s="59" t="n">
        <x:v>0</x:v>
      </x:c>
      <x:c r="K101" s="59" t="n">
        <x:v>0</x:v>
      </x:c>
      <x:c r="L101" s="59" t="n">
        <x:v>0</x:v>
      </x:c>
      <x:c r="M101" s="37" t="str">
        <x:v>Trà</x:v>
      </x:c>
      <x:c r="N101" s="37" t="str">
        <x:v>ĐÃ GHÉP - AUTO</x:v>
      </x:c>
      <x:c r="O101" s="61" t="n">
        <x:v>0.867</x:v>
      </x:c>
      <x:c r="P101" s="37" t="n">
        <x:v>187</x:v>
      </x:c>
      <x:c r="Q101" s="30" t="str">
        <x:v>Trà Cozy túi lọc</x:v>
      </x:c>
      <x:c r="R101" s="30" t="str">
        <x:v>Thùng 36 hộp</x:v>
      </x:c>
      <x:c r="S101" s="30" t="str">
        <x:v>hộp</x:v>
      </x:c>
      <x:c r="T101" s="37" t="str">
        <x:v>ĐƠN VỊ</x:v>
      </x:c>
      <x:c r="U101" s="59" t="n">
        <x:v>38000</x:v>
      </x:c>
      <x:c r="V101" s="59"/>
      <x:c r="W101" s="117" t="n">
        <x:v>39000</x:v>
      </x:c>
      <x:c r="X101" s="59" t="str">
        <x:f>IFERROR(IF(OR($N101="ĐÃ GHÉP - AUTO",$N101="ĐÃ GHÉP - QUY TẮC"),IF($V101="","",IF($T101="THÙNG",$V101/$F101,$V101)),""),"")</x:f>
      </x:c>
      <x:c r="Y101" s="117" t="n">
        <x:f>IF(OR(W101="",F101=""),"",W101*F101)</x:f>
        <x:v>1404000</x:v>
      </x:c>
      <x:c r="Z101" s="59" t="str">
        <x:f>IFERROR(IF(OR($N101="ĐÃ GHÉP - AUTO",$N101="ĐÃ GHÉP - QUY TẮC"),IF($V101="","",IF($T101="THÙNG",$V101,$V101*$F101)),""),"")</x:f>
      </x:c>
      <x:c r="AA101" s="28" t="str">
        <x:f>IFERROR(IF(OR($K101="",$K101=0,$Y101=""),"",($Y101-$K101)/$K101),"")</x:f>
      </x:c>
      <x:c r="AB101" s="37" t="str">
        <x:f>IFERROR(IF($N101="CẦN DUYỆT","DUYỆT MAP",IF($N101="CHƯA CÓ GIÁ LẺ","THIẾU GIÁ",IF(OR($K101="",$K101=0,$Y101=""),"OK",IF(ABS(($Y101-$K101)/$K101)&gt;0.15,"LỆCH GIÁ CŨ","OK")))),"OK")</x:f>
        <x:v>OK</x:v>
      </x:c>
      <x:c r="AC101" s="30" t="str">
        <x:v>score=0.867; gap=0.357</x:v>
      </x:c>
      <x:c r="AD101" s="37" t="str">
        <x:v>COTLDO</x:v>
      </x:c>
      <x:c r="AE101" s="38" t="str">
        <x:v>COTLDOT</x:v>
      </x:c>
      <x:c r="AF101" s="123" t="n">
        <x:v>100</x:v>
      </x:c>
      <x:c r="AG101" s="112" t="str">
        <x:v>g</x:v>
      </x:c>
      <x:c r="AH101" s="112" t="str">
        <x:v>HỘP</x:v>
      </x:c>
      <x:c r="AI101" s="112" t="str">
        <x:v>100 g / HỘP</x:v>
      </x:c>
      <x:c r="AJ101" s="120" t="n">
        <x:v>39000</x:v>
      </x:c>
      <x:c r="AK101" s="120" t="n">
        <x:v>38000</x:v>
      </x:c>
      <x:c r="AL101" s="120" t="n">
        <x:v>39000</x:v>
      </x:c>
      <x:c r="AM101" s="112" t="str">
        <x:v>CẬP NHẬT GIÁ</x:v>
      </x:c>
      <x:c r="AN101" s="126" t="n">
        <x:v>224</x:v>
      </x:c>
      <x:c r="AO101" s="126" t="n">
        <x:v>225</x:v>
      </x:c>
      <x:c r="AP101" s="113" t="str">
        <x:v>36 HỘP / THÙNG</x:v>
      </x:c>
    </x:row>
    <x:row r="102">
      <x:c r="A102" s="71" t="str">
        <x:v>TRÀ 9 BÓNG</x:v>
      </x:c>
      <x:c r="B102" s="30" t="str">
        <x:v>TRÀ 9 BÓNG - BAO</x:v>
      </x:c>
      <x:c r="C102" s="37" t="str">
        <x:v>TR9BOG</x:v>
      </x:c>
      <x:c r="D102" s="37" t="str">
        <x:v>TR9BOGT</x:v>
      </x:c>
      <x:c r="E102" s="37" t="str">
        <x:v>TR9BOGT</x:v>
      </x:c>
      <x:c r="F102" s="37" t="n">
        <x:v>50</x:v>
      </x:c>
      <x:c r="G102" s="37" t="n">
        <x:v>26000</x:v>
      </x:c>
      <x:c r="H102" s="37" t="str">
        <x:v>g</x:v>
      </x:c>
      <x:c r="I102" s="37" t="str">
        <x:v>BAO</x:v>
      </x:c>
      <x:c r="J102" s="59" t="n">
        <x:v>0</x:v>
      </x:c>
      <x:c r="K102" s="59" t="n">
        <x:v>0</x:v>
      </x:c>
      <x:c r="L102" s="59" t="n">
        <x:v>0</x:v>
      </x:c>
      <x:c r="M102" s="37" t="str">
        <x:v>Trà</x:v>
      </x:c>
      <x:c r="N102" s="37" t="str">
        <x:v>CHƯA CÓ GIÁ LẺ</x:v>
      </x:c>
      <x:c r="O102" s="61" t="n">
        <x:v>0.566</x:v>
      </x:c>
      <x:c r="P102" s="37"/>
      <x:c r="Q102" s="30"/>
      <x:c r="R102" s="30"/>
      <x:c r="S102" s="30"/>
      <x:c r="T102" s="37"/>
      <x:c r="U102" s="59"/>
      <x:c r="V102" s="59"/>
      <x:c r="W102" s="117" t="n">
        <x:v>45000</x:v>
      </x:c>
      <x:c r="X102" s="59" t="str">
        <x:f>IFERROR(IF(OR($N102="ĐÃ GHÉP - AUTO",$N102="ĐÃ GHÉP - QUY TẮC"),IF($V102="","",IF($T102="THÙNG",$V102/$F102,$V102)),""),"")</x:f>
      </x:c>
      <x:c r="Y102" s="117" t="n">
        <x:f>IF(OR(W102="",F102=""),"",W102*F102)</x:f>
        <x:v>2250000</x:v>
      </x:c>
      <x:c r="Z102" s="59" t="str">
        <x:f>IFERROR(IF(OR($N102="ĐÃ GHÉP - AUTO",$N102="ĐÃ GHÉP - QUY TẮC"),IF($V102="","",IF($T102="THÙNG",$V102,$V102*$F102)),""),"")</x:f>
      </x:c>
      <x:c r="AA102" s="28" t="str">
        <x:f>IFERROR(IF(OR($K102="",$K102=0,$Y102=""),"",($Y102-$K102)/$K102),"")</x:f>
      </x:c>
      <x:c r="AB102" s="37" t="str">
        <x:f>IFERROR(IF($N102="CẦN DUYỆT","DUYỆT MAP",IF($N102="CHƯA CÓ GIÁ LẺ","THIẾU GIÁ",IF(OR($K102="",$K102=0,$Y102=""),"OK",IF(ABS(($Y102-$K102)/$K102)&gt;0.15,"LỆCH GIÁ CŨ","OK")))),"OK")</x:f>
        <x:v>THIẾU GIÁ</x:v>
      </x:c>
      <x:c r="AC102" s="30" t="str">
        <x:v>ứng viên gần nhất=Trà đen HT 9 bóng; score=0.566</x:v>
      </x:c>
      <x:c r="AD102" s="37" t="str">
        <x:v>TR9BOG</x:v>
      </x:c>
      <x:c r="AE102" s="38" t="str">
        <x:v>TR9BOGT</x:v>
      </x:c>
      <x:c r="AF102" s="123" t="n">
        <x:v>500</x:v>
      </x:c>
      <x:c r="AG102" s="112" t="str">
        <x:v>g</x:v>
      </x:c>
      <x:c r="AH102" s="112" t="str">
        <x:v>BỊCH</x:v>
      </x:c>
      <x:c r="AI102" s="112" t="str">
        <x:v>500 g / BỊCH</x:v>
      </x:c>
      <x:c r="AJ102" s="120" t="n">
        <x:v>45000</x:v>
      </x:c>
      <x:c r="AK102" s="120"/>
      <x:c r="AL102" s="120" t="n">
        <x:v>45000</x:v>
      </x:c>
      <x:c r="AM102" s="112" t="str">
        <x:v>BỔ SUNG GIÁ</x:v>
      </x:c>
      <x:c r="AN102" s="126" t="n">
        <x:v>227</x:v>
      </x:c>
      <x:c r="AO102" s="126" t="n">
        <x:v>228</x:v>
      </x:c>
      <x:c r="AP102" s="113" t="str">
        <x:v>50 BỊCH / BAO</x:v>
      </x:c>
    </x:row>
    <x:row r="103">
      <x:c r="A103" s="71" t="str">
        <x:v>TRÀ OLONG PHÚC LONG LỌC</x:v>
      </x:c>
      <x:c r="B103" s="30" t="str">
        <x:v>TRÀ OLONG PHÚC LONG LỌC - THÙNG</x:v>
      </x:c>
      <x:c r="C103" s="37" t="str">
        <x:v>TROPLL</x:v>
      </x:c>
      <x:c r="D103" s="37" t="str">
        <x:v>TROPLLT</x:v>
      </x:c>
      <x:c r="E103" s="37" t="str">
        <x:v>TROPLLT</x:v>
      </x:c>
      <x:c r="F103" s="37" t="n">
        <x:v>20</x:v>
      </x:c>
      <x:c r="G103" s="37" t="n">
        <x:v>2000</x:v>
      </x:c>
      <x:c r="H103" s="37" t="str">
        <x:v>g</x:v>
      </x:c>
      <x:c r="I103" s="37" t="str">
        <x:v>THÙNG</x:v>
      </x:c>
      <x:c r="J103" s="59" t="n">
        <x:v>0</x:v>
      </x:c>
      <x:c r="K103" s="59" t="n">
        <x:v>0</x:v>
      </x:c>
      <x:c r="L103" s="59" t="n">
        <x:v>0</x:v>
      </x:c>
      <x:c r="M103" s="37" t="str">
        <x:v>Trà</x:v>
      </x:c>
      <x:c r="N103" s="37" t="str">
        <x:v>ĐÃ GHÉP - AUTO</x:v>
      </x:c>
      <x:c r="O103" s="61" t="n">
        <x:v>0.97</x:v>
      </x:c>
      <x:c r="P103" s="37" t="n">
        <x:v>183</x:v>
      </x:c>
      <x:c r="Q103" s="30" t="str">
        <x:v>tra olong phuc long</x:v>
      </x:c>
      <x:c r="R103" s="30" t="str">
        <x:v>Thung 20 hop</x:v>
      </x:c>
      <x:c r="S103" s="30" t="str">
        <x:v>hộp</x:v>
      </x:c>
      <x:c r="T103" s="37" t="str">
        <x:v>ĐƠN VỊ</x:v>
      </x:c>
      <x:c r="U103" s="59" t="n">
        <x:v>40000</x:v>
      </x:c>
      <x:c r="V103" s="59"/>
      <x:c r="W103" s="117" t="n">
        <x:v>40000</x:v>
      </x:c>
      <x:c r="X103" s="59" t="str">
        <x:f>IFERROR(IF(OR($N103="ĐÃ GHÉP - AUTO",$N103="ĐÃ GHÉP - QUY TẮC"),IF($V103="","",IF($T103="THÙNG",$V103/$F103,$V103)),""),"")</x:f>
      </x:c>
      <x:c r="Y103" s="117" t="n">
        <x:f>IF(OR(W103="",F103=""),"",W103*F103)</x:f>
        <x:v>800000</x:v>
      </x:c>
      <x:c r="Z103" s="59" t="str">
        <x:f>IFERROR(IF(OR($N103="ĐÃ GHÉP - AUTO",$N103="ĐÃ GHÉP - QUY TẮC"),IF($V103="","",IF($T103="THÙNG",$V103,$V103*$F103)),""),"")</x:f>
      </x:c>
      <x:c r="AA103" s="28" t="str">
        <x:f>IFERROR(IF(OR($K103="",$K103=0,$Y103=""),"",($Y103-$K103)/$K103),"")</x:f>
      </x:c>
      <x:c r="AB103" s="37" t="str">
        <x:f>IFERROR(IF($N103="CẦN DUYỆT","DUYỆT MAP",IF($N103="CHƯA CÓ GIÁ LẺ","THIẾU GIÁ",IF(OR($K103="",$K103=0,$Y103=""),"OK",IF(ABS(($Y103-$K103)/$K103)&gt;0.15,"LỆCH GIÁ CŨ","OK")))),"OK")</x:f>
        <x:v>OK</x:v>
      </x:c>
      <x:c r="AC103" s="30" t="str">
        <x:v>score=0.970; gap=0.246</x:v>
      </x:c>
      <x:c r="AD103" s="37" t="str">
        <x:v>TROPLL</x:v>
      </x:c>
      <x:c r="AE103" s="38" t="str">
        <x:v>TROPLLT</x:v>
      </x:c>
      <x:c r="AF103" s="123" t="n">
        <x:v>0</x:v>
      </x:c>
      <x:c r="AG103" s="112" t="str">
        <x:v>g</x:v>
      </x:c>
      <x:c r="AH103" s="112" t="str">
        <x:v>HỘP</x:v>
      </x:c>
      <x:c r="AI103" s="112" t="str">
        <x:v>0 g / HỘP</x:v>
      </x:c>
      <x:c r="AJ103" s="120" t="n">
        <x:v>40000</x:v>
      </x:c>
      <x:c r="AK103" s="120" t="n">
        <x:v>40000</x:v>
      </x:c>
      <x:c r="AL103" s="120" t="n">
        <x:v>40000</x:v>
      </x:c>
      <x:c r="AM103" s="112" t="str">
        <x:v>GIỮ NGUYÊN - ĐÃ KHỚP</x:v>
      </x:c>
      <x:c r="AN103" s="126" t="n">
        <x:v>229</x:v>
      </x:c>
      <x:c r="AO103" s="126" t="n">
        <x:v>230</x:v>
      </x:c>
      <x:c r="AP103" s="113" t="str">
        <x:v>20 HỘP / THÙNG</x:v>
      </x:c>
    </x:row>
    <x:row r="104">
      <x:c r="A104" s="71" t="str">
        <x:v>THỐT NỐT NHƯ QUỲNH</x:v>
      </x:c>
      <x:c r="B104" s="30" t="str">
        <x:v>THỐT NỐT NHƯ QUỲNH - THÙNG</x:v>
      </x:c>
      <x:c r="C104" s="37" t="str">
        <x:v>TNOTNQ</x:v>
      </x:c>
      <x:c r="D104" s="37" t="str">
        <x:v>TNOTNQT</x:v>
      </x:c>
      <x:c r="E104" s="37" t="str">
        <x:v>TNOTNQT</x:v>
      </x:c>
      <x:c r="F104" s="37" t="n">
        <x:v>10</x:v>
      </x:c>
      <x:c r="G104" s="37" t="n">
        <x:v>10</x:v>
      </x:c>
      <x:c r="H104" s="37" t="str">
        <x:v>kg</x:v>
      </x:c>
      <x:c r="I104" s="37" t="str">
        <x:v>THÙNG</x:v>
      </x:c>
      <x:c r="J104" s="59" t="n">
        <x:v>0</x:v>
      </x:c>
      <x:c r="K104" s="59" t="n">
        <x:v>510000</x:v>
      </x:c>
      <x:c r="L104" s="59" t="n">
        <x:v>0</x:v>
      </x:c>
      <x:c r="M104" s="37" t="str">
        <x:v>Trái cây hộp</x:v>
      </x:c>
      <x:c r="N104" s="37" t="str">
        <x:v>ĐÃ GHÉP - AUTO</x:v>
      </x:c>
      <x:c r="O104" s="61" t="n">
        <x:v>0.903</x:v>
      </x:c>
      <x:c r="P104" s="37" t="n">
        <x:v>114</x:v>
      </x:c>
      <x:c r="Q104" s="30" t="str">
        <x:v>Thốt Nốt</x:v>
      </x:c>
      <x:c r="R104" s="30" t="str">
        <x:v>Thùng 10 gói</x:v>
      </x:c>
      <x:c r="S104" s="30" t="str">
        <x:v>bịch</x:v>
      </x:c>
      <x:c r="T104" s="37" t="str">
        <x:v>ĐƠN VỊ</x:v>
      </x:c>
      <x:c r="U104" s="59" t="n">
        <x:v>52000</x:v>
      </x:c>
      <x:c r="V104" s="59"/>
      <x:c r="W104" s="117" t="n">
        <x:v>52000</x:v>
      </x:c>
      <x:c r="X104" s="59" t="str">
        <x:f>IFERROR(IF(OR($N104="ĐÃ GHÉP - AUTO",$N104="ĐÃ GHÉP - QUY TẮC"),IF($V104="","",IF($T104="THÙNG",$V104/$F104,$V104)),""),"")</x:f>
      </x:c>
      <x:c r="Y104" s="117" t="n">
        <x:f>IF(OR(W104="",F104=""),"",W104*F104)</x:f>
        <x:v>520000</x:v>
      </x:c>
      <x:c r="Z104" s="59" t="str">
        <x:f>IFERROR(IF(OR($N104="ĐÃ GHÉP - AUTO",$N104="ĐÃ GHÉP - QUY TẮC"),IF($V104="","",IF($T104="THÙNG",$V104,$V104*$F104)),""),"")</x:f>
      </x:c>
      <x:c r="AA104" s="28" t="n">
        <x:f>IFERROR(IF(OR($K104="",$K104=0,$Y104=""),"",($Y104-$K104)/$K104),"")</x:f>
        <x:v>0.0196078431372549</x:v>
      </x:c>
      <x:c r="AB104" s="37" t="str">
        <x:f>IFERROR(IF($N104="CẦN DUYỆT","DUYỆT MAP",IF($N104="CHƯA CÓ GIÁ LẺ","THIẾU GIÁ",IF(OR($K104="",$K104=0,$Y104=""),"OK",IF(ABS(($Y104-$K104)/$K104)&gt;0.15,"LỆCH GIÁ CŨ","OK")))),"OK")</x:f>
        <x:v>OK</x:v>
      </x:c>
      <x:c r="AC104" s="30" t="str">
        <x:v>score=0.903; gap=0.858</x:v>
      </x:c>
      <x:c r="AD104" s="37" t="str">
        <x:v>TNOTNQ</x:v>
      </x:c>
      <x:c r="AE104" s="38" t="str">
        <x:v>TNOTNQT</x:v>
      </x:c>
      <x:c r="AF104" s="123" t="n">
        <x:v>1</x:v>
      </x:c>
      <x:c r="AG104" s="112" t="str">
        <x:v>kg</x:v>
      </x:c>
      <x:c r="AH104" s="112" t="str">
        <x:v>BỊCH</x:v>
      </x:c>
      <x:c r="AI104" s="112" t="str">
        <x:v>1 kg / BỊCH</x:v>
      </x:c>
      <x:c r="AJ104" s="120" t="n">
        <x:v>52000</x:v>
      </x:c>
      <x:c r="AK104" s="120" t="n">
        <x:v>52000</x:v>
      </x:c>
      <x:c r="AL104" s="120" t="n">
        <x:v>52000</x:v>
      </x:c>
      <x:c r="AM104" s="112" t="str">
        <x:v>GIỮ NGUYÊN - ĐÃ KHỚP</x:v>
      </x:c>
      <x:c r="AN104" s="126" t="n">
        <x:v>231</x:v>
      </x:c>
      <x:c r="AO104" s="126" t="n">
        <x:v>232</x:v>
      </x:c>
      <x:c r="AP104" s="113" t="str">
        <x:v>10 BỊCH / THÙNG</x:v>
      </x:c>
    </x:row>
    <x:row r="105">
      <x:c r="A105" s="71" t="str">
        <x:v>THÁI XANH CÔNG TY</x:v>
      </x:c>
      <x:c r="B105" s="30" t="str">
        <x:v>THÁI XANH CÔNG TY - THÙNG</x:v>
      </x:c>
      <x:c r="C105" s="37" t="str">
        <x:v>TXACTY</x:v>
      </x:c>
      <x:c r="D105" s="37" t="str">
        <x:v>TXACTYT</x:v>
      </x:c>
      <x:c r="E105" s="37" t="str">
        <x:v>TXACTYT</x:v>
      </x:c>
      <x:c r="F105" s="37" t="n">
        <x:v>12</x:v>
      </x:c>
      <x:c r="G105" s="37" t="n">
        <x:v>3</x:v>
      </x:c>
      <x:c r="H105" s="37" t="str">
        <x:v>kg</x:v>
      </x:c>
      <x:c r="I105" s="37" t="str">
        <x:v>THÙNG</x:v>
      </x:c>
      <x:c r="J105" s="59" t="n">
        <x:v>0</x:v>
      </x:c>
      <x:c r="K105" s="59" t="n">
        <x:v>800000</x:v>
      </x:c>
      <x:c r="L105" s="59" t="n">
        <x:v>0</x:v>
      </x:c>
      <x:c r="M105" s="37" t="str">
        <x:v>Trà</x:v>
      </x:c>
      <x:c r="N105" s="37" t="str">
        <x:v>ĐÃ GHÉP - QUY TẮC</x:v>
      </x:c>
      <x:c r="O105" s="61" t="n">
        <x:v>0.99</x:v>
      </x:c>
      <x:c r="P105" s="37" t="n">
        <x:v>188</x:v>
      </x:c>
      <x:c r="Q105" s="30" t="str">
        <x:v>Trà Thái xanh/đỏ Cty</x:v>
      </x:c>
      <x:c r="R105" s="30" t="str">
        <x:v>Thùng 12 gói</x:v>
      </x:c>
      <x:c r="S105" s="30" t="str">
        <x:v>gói</x:v>
      </x:c>
      <x:c r="T105" s="37" t="str">
        <x:v>ĐƠN VỊ</x:v>
      </x:c>
      <x:c r="U105" s="59" t="n">
        <x:v>70000</x:v>
      </x:c>
      <x:c r="V105" s="59"/>
      <x:c r="W105" s="117" t="n">
        <x:v>70000</x:v>
      </x:c>
      <x:c r="X105" s="59" t="str">
        <x:f>IFERROR(IF(OR($N105="ĐÃ GHÉP - AUTO",$N105="ĐÃ GHÉP - QUY TẮC"),IF($V105="","",IF($T105="THÙNG",$V105/$F105,$V105)),""),"")</x:f>
      </x:c>
      <x:c r="Y105" s="117" t="n">
        <x:f>IF(OR(W105="",F105=""),"",W105*F105)</x:f>
        <x:v>840000</x:v>
      </x:c>
      <x:c r="Z105" s="59" t="str">
        <x:f>IFERROR(IF(OR($N105="ĐÃ GHÉP - AUTO",$N105="ĐÃ GHÉP - QUY TẮC"),IF($V105="","",IF($T105="THÙNG",$V105,$V105*$F105)),""),"")</x:f>
      </x:c>
      <x:c r="AA105" s="28" t="n">
        <x:f>IFERROR(IF(OR($K105="",$K105=0,$Y105=""),"",($Y105-$K105)/$K105),"")</x:f>
        <x:v>0.05</x:v>
      </x:c>
      <x:c r="AB105" s="37" t="str">
        <x:f>IFERROR(IF($N105="CẦN DUYỆT","DUYỆT MAP",IF($N105="CHƯA CÓ GIÁ LẺ","THIẾU GIÁ",IF(OR($K105="",$K105=0,$Y105=""),"OK",IF(ABS(($Y105-$K105)/$K105)&gt;0.15,"LỆCH GIÁ CŨ","OK")))),"OK")</x:f>
        <x:v>OK</x:v>
      </x:c>
      <x:c r="AC105" s="30" t="str">
        <x:v>Giá chung trà Thái công ty</x:v>
      </x:c>
      <x:c r="AD105" s="37" t="str">
        <x:v>TXACTY</x:v>
      </x:c>
      <x:c r="AE105" s="38" t="str">
        <x:v>TXACTYT</x:v>
      </x:c>
      <x:c r="AF105" s="123" t="n">
        <x:v>200</x:v>
      </x:c>
      <x:c r="AG105" s="112" t="str">
        <x:v>g</x:v>
      </x:c>
      <x:c r="AH105" s="112" t="str">
        <x:v>GÓI</x:v>
      </x:c>
      <x:c r="AI105" s="112" t="str">
        <x:v>200 g / GÓI</x:v>
      </x:c>
      <x:c r="AJ105" s="120" t="n">
        <x:v>70000</x:v>
      </x:c>
      <x:c r="AK105" s="120" t="n">
        <x:v>70000</x:v>
      </x:c>
      <x:c r="AL105" s="120" t="n">
        <x:v>70000</x:v>
      </x:c>
      <x:c r="AM105" s="112" t="str">
        <x:v>GIỮ NGUYÊN - ĐÃ KHỚP</x:v>
      </x:c>
      <x:c r="AN105" s="126" t="n">
        <x:v>238</x:v>
      </x:c>
      <x:c r="AO105" s="126" t="n">
        <x:v>239</x:v>
      </x:c>
      <x:c r="AP105" s="113" t="str">
        <x:v>12 GÓI / THÙNG</x:v>
      </x:c>
    </x:row>
    <x:row r="106">
      <x:c r="A106" s="71" t="str">
        <x:v>THÁI XANH B-ONE</x:v>
      </x:c>
      <x:c r="B106" s="30" t="str">
        <x:v>THÁI XANH B-ONE - THÙNG</x:v>
      </x:c>
      <x:c r="C106" s="37" t="str">
        <x:v>TXABON</x:v>
      </x:c>
      <x:c r="D106" s="37" t="str">
        <x:v>TXABONT</x:v>
      </x:c>
      <x:c r="E106" s="37" t="str">
        <x:v>TXABONT</x:v>
      </x:c>
      <x:c r="F106" s="37" t="n">
        <x:v>12</x:v>
      </x:c>
      <x:c r="G106" s="37" t="n">
        <x:v>2000</x:v>
      </x:c>
      <x:c r="H106" s="37" t="str">
        <x:v>g</x:v>
      </x:c>
      <x:c r="I106" s="37" t="str">
        <x:v>THÙNG</x:v>
      </x:c>
      <x:c r="J106" s="59" t="n">
        <x:v>0</x:v>
      </x:c>
      <x:c r="K106" s="59" t="n">
        <x:v>0</x:v>
      </x:c>
      <x:c r="L106" s="59" t="n">
        <x:v>0</x:v>
      </x:c>
      <x:c r="M106" s="37" t="str">
        <x:v>Trà</x:v>
      </x:c>
      <x:c r="N106" s="37" t="str">
        <x:v>ĐÃ GHÉP - AUTO</x:v>
      </x:c>
      <x:c r="O106" s="61" t="n">
        <x:v>0.862</x:v>
      </x:c>
      <x:c r="P106" s="37" t="n">
        <x:v>189</x:v>
      </x:c>
      <x:c r="Q106" s="30" t="str">
        <x:v>Trà Thái xanh thường</x:v>
      </x:c>
      <x:c r="R106" s="30" t="str">
        <x:v>Thùng 12 gói</x:v>
      </x:c>
      <x:c r="S106" s="30" t="str">
        <x:v>gói</x:v>
      </x:c>
      <x:c r="T106" s="37" t="str">
        <x:v>ĐƠN VỊ</x:v>
      </x:c>
      <x:c r="U106" s="59" t="n">
        <x:v>65000</x:v>
      </x:c>
      <x:c r="V106" s="59"/>
      <x:c r="W106" s="117" t="n">
        <x:v>30000</x:v>
      </x:c>
      <x:c r="X106" s="59" t="str">
        <x:f>IFERROR(IF(OR($N106="ĐÃ GHÉP - AUTO",$N106="ĐÃ GHÉP - QUY TẮC"),IF($V106="","",IF($T106="THÙNG",$V106/$F106,$V106)),""),"")</x:f>
      </x:c>
      <x:c r="Y106" s="117" t="n">
        <x:f>IF(OR(W106="",F106=""),"",W106*F106)</x:f>
        <x:v>360000</x:v>
      </x:c>
      <x:c r="Z106" s="59" t="str">
        <x:f>IFERROR(IF(OR($N106="ĐÃ GHÉP - AUTO",$N106="ĐÃ GHÉP - QUY TẮC"),IF($V106="","",IF($T106="THÙNG",$V106,$V106*$F106)),""),"")</x:f>
      </x:c>
      <x:c r="AA106" s="28" t="str">
        <x:f>IFERROR(IF(OR($K106="",$K106=0,$Y106=""),"",($Y106-$K106)/$K106),"")</x:f>
      </x:c>
      <x:c r="AB106" s="37" t="str">
        <x:f>IFERROR(IF($N106="CẦN DUYỆT","DUYỆT MAP",IF($N106="CHƯA CÓ GIÁ LẺ","THIẾU GIÁ",IF(OR($K106="",$K106=0,$Y106=""),"OK",IF(ABS(($Y106-$K106)/$K106)&gt;0.15,"LỆCH GIÁ CŨ","OK")))),"OK")</x:f>
        <x:v>OK</x:v>
      </x:c>
      <x:c r="AC106" s="30" t="str">
        <x:v>score=0.862; gap=0.301</x:v>
      </x:c>
      <x:c r="AD106" s="37" t="str">
        <x:v>TXABON</x:v>
      </x:c>
      <x:c r="AE106" s="38" t="str">
        <x:v>TXABONT</x:v>
      </x:c>
      <x:c r="AF106" s="123" t="n">
        <x:v>200</x:v>
      </x:c>
      <x:c r="AG106" s="112" t="str">
        <x:v>g</x:v>
      </x:c>
      <x:c r="AH106" s="112" t="str">
        <x:v>GÓI</x:v>
      </x:c>
      <x:c r="AI106" s="112" t="str">
        <x:v>200 g / GÓI</x:v>
      </x:c>
      <x:c r="AJ106" s="120" t="n">
        <x:v>30000</x:v>
      </x:c>
      <x:c r="AK106" s="120" t="n">
        <x:v>65000</x:v>
      </x:c>
      <x:c r="AL106" s="120" t="n">
        <x:v>30000</x:v>
      </x:c>
      <x:c r="AM106" s="112" t="str">
        <x:v>CẬP NHẬT GIÁ</x:v>
      </x:c>
      <x:c r="AN106" s="126" t="n">
        <x:v>240</x:v>
      </x:c>
      <x:c r="AO106" s="126" t="n">
        <x:v>241</x:v>
      </x:c>
      <x:c r="AP106" s="113" t="str">
        <x:v>12 GÓI / THÙNG</x:v>
      </x:c>
    </x:row>
    <x:row r="107">
      <x:c r="A107" s="71" t="str">
        <x:v>THÁI XANH BIÊN</x:v>
      </x:c>
      <x:c r="B107" s="30" t="str">
        <x:v>THÁI XANH BIÊN - THÙNG</x:v>
      </x:c>
      <x:c r="C107" s="37" t="str">
        <x:v>TXABIE</x:v>
      </x:c>
      <x:c r="D107" s="37" t="str">
        <x:v>TXABIET</x:v>
      </x:c>
      <x:c r="E107" s="37" t="str">
        <x:v>TXABIET</x:v>
      </x:c>
      <x:c r="F107" s="37" t="n">
        <x:v>12</x:v>
      </x:c>
      <x:c r="G107" s="37" t="n">
        <x:v>2000</x:v>
      </x:c>
      <x:c r="H107" s="37" t="str">
        <x:v>g</x:v>
      </x:c>
      <x:c r="I107" s="37" t="str">
        <x:v>THÙNG</x:v>
      </x:c>
      <x:c r="J107" s="59" t="n">
        <x:v>0</x:v>
      </x:c>
      <x:c r="K107" s="59" t="n">
        <x:v>0</x:v>
      </x:c>
      <x:c r="L107" s="59" t="n">
        <x:v>0</x:v>
      </x:c>
      <x:c r="M107" s="37" t="str">
        <x:v>Trà</x:v>
      </x:c>
      <x:c r="N107" s="37" t="str">
        <x:v>ĐÃ GHÉP - AUTO</x:v>
      </x:c>
      <x:c r="O107" s="61" t="n">
        <x:v>0.893</x:v>
      </x:c>
      <x:c r="P107" s="37" t="n">
        <x:v>189</x:v>
      </x:c>
      <x:c r="Q107" s="30" t="str">
        <x:v>Trà Thái xanh thường</x:v>
      </x:c>
      <x:c r="R107" s="30" t="str">
        <x:v>Thùng 12 gói</x:v>
      </x:c>
      <x:c r="S107" s="30" t="str">
        <x:v>gói</x:v>
      </x:c>
      <x:c r="T107" s="37" t="str">
        <x:v>ĐƠN VỊ</x:v>
      </x:c>
      <x:c r="U107" s="59" t="n">
        <x:v>65000</x:v>
      </x:c>
      <x:c r="V107" s="59"/>
      <x:c r="W107" s="117" t="n">
        <x:v>65000</x:v>
      </x:c>
      <x:c r="X107" s="59" t="str">
        <x:f>IFERROR(IF(OR($N107="ĐÃ GHÉP - AUTO",$N107="ĐÃ GHÉP - QUY TẮC"),IF($V107="","",IF($T107="THÙNG",$V107/$F107,$V107)),""),"")</x:f>
      </x:c>
      <x:c r="Y107" s="117" t="n">
        <x:f>IF(OR(W107="",F107=""),"",W107*F107)</x:f>
        <x:v>780000</x:v>
      </x:c>
      <x:c r="Z107" s="59" t="str">
        <x:f>IFERROR(IF(OR($N107="ĐÃ GHÉP - AUTO",$N107="ĐÃ GHÉP - QUY TẮC"),IF($V107="","",IF($T107="THÙNG",$V107,$V107*$F107)),""),"")</x:f>
      </x:c>
      <x:c r="AA107" s="28" t="str">
        <x:f>IFERROR(IF(OR($K107="",$K107=0,$Y107=""),"",($Y107-$K107)/$K107),"")</x:f>
      </x:c>
      <x:c r="AB107" s="37" t="str">
        <x:f>IFERROR(IF($N107="CẦN DUYỆT","DUYỆT MAP",IF($N107="CHƯA CÓ GIÁ LẺ","THIẾU GIÁ",IF(OR($K107="",$K107=0,$Y107=""),"OK",IF(ABS(($Y107-$K107)/$K107)&gt;0.15,"LỆCH GIÁ CŨ","OK")))),"OK")</x:f>
        <x:v>OK</x:v>
      </x:c>
      <x:c r="AC107" s="30" t="str">
        <x:v>score=0.893; gap=0.318</x:v>
      </x:c>
      <x:c r="AD107" s="37" t="str">
        <x:v>TXABIE</x:v>
      </x:c>
      <x:c r="AE107" s="38" t="str">
        <x:v>TXABIET</x:v>
      </x:c>
      <x:c r="AF107" s="123" t="n">
        <x:v>200</x:v>
      </x:c>
      <x:c r="AG107" s="112" t="str">
        <x:v>g</x:v>
      </x:c>
      <x:c r="AH107" s="112" t="str">
        <x:v>GÓI</x:v>
      </x:c>
      <x:c r="AI107" s="112" t="str">
        <x:v>200 g / GÓI</x:v>
      </x:c>
      <x:c r="AJ107" s="120" t="n">
        <x:v>65000</x:v>
      </x:c>
      <x:c r="AK107" s="120" t="n">
        <x:v>65000</x:v>
      </x:c>
      <x:c r="AL107" s="120" t="n">
        <x:v>65000</x:v>
      </x:c>
      <x:c r="AM107" s="112" t="str">
        <x:v>GIỮ NGUYÊN - ĐÃ KHỚP</x:v>
      </x:c>
      <x:c r="AN107" s="126" t="n">
        <x:v>242</x:v>
      </x:c>
      <x:c r="AO107" s="126" t="n">
        <x:v>243</x:v>
      </x:c>
      <x:c r="AP107" s="113" t="str">
        <x:v>12 GÓI / THÙNG</x:v>
      </x:c>
    </x:row>
    <x:row r="108">
      <x:c r="A108" s="71" t="str">
        <x:v>THÁI ĐỎ CÔNG TY</x:v>
      </x:c>
      <x:c r="B108" s="30" t="str">
        <x:v>THÁI ĐỎ CÔNG TY - THÙNG</x:v>
      </x:c>
      <x:c r="C108" s="37" t="str">
        <x:v>TDOCTY</x:v>
      </x:c>
      <x:c r="D108" s="37" t="str">
        <x:v>TDOCTYT</x:v>
      </x:c>
      <x:c r="E108" s="37" t="str">
        <x:v>TDOCTYT</x:v>
      </x:c>
      <x:c r="F108" s="37" t="n">
        <x:v>12</x:v>
      </x:c>
      <x:c r="G108" s="37" t="n">
        <x:v>3000</x:v>
      </x:c>
      <x:c r="H108" s="37" t="str">
        <x:v>g</x:v>
      </x:c>
      <x:c r="I108" s="37" t="str">
        <x:v>THÙNG</x:v>
      </x:c>
      <x:c r="J108" s="59" t="n">
        <x:v>0</x:v>
      </x:c>
      <x:c r="K108" s="59" t="n">
        <x:v>800000</x:v>
      </x:c>
      <x:c r="L108" s="59" t="n">
        <x:v>0</x:v>
      </x:c>
      <x:c r="M108" s="37" t="str">
        <x:v>Trà</x:v>
      </x:c>
      <x:c r="N108" s="37" t="str">
        <x:v>ĐÃ GHÉP - QUY TẮC</x:v>
      </x:c>
      <x:c r="O108" s="61" t="n">
        <x:v>0.99</x:v>
      </x:c>
      <x:c r="P108" s="37" t="n">
        <x:v>188</x:v>
      </x:c>
      <x:c r="Q108" s="30" t="str">
        <x:v>Trà Thái xanh/đỏ Cty</x:v>
      </x:c>
      <x:c r="R108" s="30" t="str">
        <x:v>Thùng 12 gói</x:v>
      </x:c>
      <x:c r="S108" s="30" t="str">
        <x:v>gói</x:v>
      </x:c>
      <x:c r="T108" s="37" t="str">
        <x:v>ĐƠN VỊ</x:v>
      </x:c>
      <x:c r="U108" s="59" t="n">
        <x:v>70000</x:v>
      </x:c>
      <x:c r="V108" s="59"/>
      <x:c r="W108" s="117" t="n">
        <x:v>70000</x:v>
      </x:c>
      <x:c r="X108" s="59" t="str">
        <x:f>IFERROR(IF(OR($N108="ĐÃ GHÉP - AUTO",$N108="ĐÃ GHÉP - QUY TẮC"),IF($V108="","",IF($T108="THÙNG",$V108/$F108,$V108)),""),"")</x:f>
      </x:c>
      <x:c r="Y108" s="117" t="n">
        <x:f>IF(OR(W108="",F108=""),"",W108*F108)</x:f>
        <x:v>840000</x:v>
      </x:c>
      <x:c r="Z108" s="59" t="str">
        <x:f>IFERROR(IF(OR($N108="ĐÃ GHÉP - AUTO",$N108="ĐÃ GHÉP - QUY TẮC"),IF($V108="","",IF($T108="THÙNG",$V108,$V108*$F108)),""),"")</x:f>
      </x:c>
      <x:c r="AA108" s="28" t="n">
        <x:f>IFERROR(IF(OR($K108="",$K108=0,$Y108=""),"",($Y108-$K108)/$K108),"")</x:f>
        <x:v>0.05</x:v>
      </x:c>
      <x:c r="AB108" s="37" t="str">
        <x:f>IFERROR(IF($N108="CẦN DUYỆT","DUYỆT MAP",IF($N108="CHƯA CÓ GIÁ LẺ","THIẾU GIÁ",IF(OR($K108="",$K108=0,$Y108=""),"OK",IF(ABS(($Y108-$K108)/$K108)&gt;0.15,"LỆCH GIÁ CŨ","OK")))),"OK")</x:f>
        <x:v>OK</x:v>
      </x:c>
      <x:c r="AC108" s="30" t="str">
        <x:v>Giá chung trà Thái công ty</x:v>
      </x:c>
      <x:c r="AD108" s="37" t="str">
        <x:v>TDOCTY</x:v>
      </x:c>
      <x:c r="AE108" s="38" t="str">
        <x:v>TDOCTYT</x:v>
      </x:c>
      <x:c r="AF108" s="123" t="n">
        <x:v>200</x:v>
      </x:c>
      <x:c r="AG108" s="112" t="str">
        <x:v>g</x:v>
      </x:c>
      <x:c r="AH108" s="112" t="str">
        <x:v>GÓI</x:v>
      </x:c>
      <x:c r="AI108" s="112" t="str">
        <x:v>200 g / GÓI</x:v>
      </x:c>
      <x:c r="AJ108" s="120" t="n">
        <x:v>70000</x:v>
      </x:c>
      <x:c r="AK108" s="120" t="n">
        <x:v>70000</x:v>
      </x:c>
      <x:c r="AL108" s="120" t="n">
        <x:v>70000</x:v>
      </x:c>
      <x:c r="AM108" s="112" t="str">
        <x:v>GIỮ NGUYÊN - ĐÃ KHỚP</x:v>
      </x:c>
      <x:c r="AN108" s="126" t="n">
        <x:v>244</x:v>
      </x:c>
      <x:c r="AO108" s="126" t="n">
        <x:v>245</x:v>
      </x:c>
      <x:c r="AP108" s="113" t="str">
        <x:v>12 GÓI / THÙNG</x:v>
      </x:c>
    </x:row>
    <x:row r="109">
      <x:c r="A109" s="71" t="str">
        <x:v>THÁI ĐỎ BIÊN</x:v>
      </x:c>
      <x:c r="B109" s="30" t="str">
        <x:v>THÁI ĐỎ BIÊN - THÙNG</x:v>
      </x:c>
      <x:c r="C109" s="37" t="str">
        <x:v>TDOBIE</x:v>
      </x:c>
      <x:c r="D109" s="37" t="str">
        <x:v>TDOBIET</x:v>
      </x:c>
      <x:c r="E109" s="37" t="str">
        <x:v>TDOBIET</x:v>
      </x:c>
      <x:c r="F109" s="37" t="n">
        <x:v>12</x:v>
      </x:c>
      <x:c r="G109" s="37" t="n">
        <x:v>2000</x:v>
      </x:c>
      <x:c r="H109" s="37" t="str">
        <x:v>g</x:v>
      </x:c>
      <x:c r="I109" s="37" t="str">
        <x:v>THÙNG</x:v>
      </x:c>
      <x:c r="J109" s="59" t="n">
        <x:v>0</x:v>
      </x:c>
      <x:c r="K109" s="59" t="n">
        <x:v>0</x:v>
      </x:c>
      <x:c r="L109" s="59" t="n">
        <x:v>0</x:v>
      </x:c>
      <x:c r="M109" s="37" t="str">
        <x:v>Trà</x:v>
      </x:c>
      <x:c r="N109" s="37" t="str">
        <x:v>CHƯA CÓ GIÁ LẺ</x:v>
      </x:c>
      <x:c r="O109" s="61" t="n">
        <x:v>0.585</x:v>
      </x:c>
      <x:c r="P109" s="37"/>
      <x:c r="Q109" s="30"/>
      <x:c r="R109" s="30"/>
      <x:c r="S109" s="30"/>
      <x:c r="T109" s="37"/>
      <x:c r="U109" s="59"/>
      <x:c r="V109" s="59"/>
      <x:c r="W109" s="117" t="n">
        <x:v>65000</x:v>
      </x:c>
      <x:c r="X109" s="59" t="str">
        <x:f>IFERROR(IF(OR($N109="ĐÃ GHÉP - AUTO",$N109="ĐÃ GHÉP - QUY TẮC"),IF($V109="","",IF($T109="THÙNG",$V109/$F109,$V109)),""),"")</x:f>
      </x:c>
      <x:c r="Y109" s="117" t="n">
        <x:f>IF(OR(W109="",F109=""),"",W109*F109)</x:f>
        <x:v>780000</x:v>
      </x:c>
      <x:c r="Z109" s="59" t="str">
        <x:f>IFERROR(IF(OR($N109="ĐÃ GHÉP - AUTO",$N109="ĐÃ GHÉP - QUY TẮC"),IF($V109="","",IF($T109="THÙNG",$V109,$V109*$F109)),""),"")</x:f>
      </x:c>
      <x:c r="AA109" s="28" t="str">
        <x:f>IFERROR(IF(OR($K109="",$K109=0,$Y109=""),"",($Y109-$K109)/$K109),"")</x:f>
      </x:c>
      <x:c r="AB109" s="37" t="str">
        <x:f>IFERROR(IF($N109="CẦN DUYỆT","DUYỆT MAP",IF($N109="CHƯA CÓ GIÁ LẺ","THIẾU GIÁ",IF(OR($K109="",$K109=0,$Y109=""),"OK",IF(ABS(($Y109-$K109)/$K109)&gt;0.15,"LỆCH GIÁ CŨ","OK")))),"OK")</x:f>
        <x:v>THIẾU GIÁ</x:v>
      </x:c>
      <x:c r="AC109" s="30" t="str">
        <x:v>ứng viên gần nhất=Trà Thái xanh/đỏ Cty; score=0.585</x:v>
      </x:c>
      <x:c r="AD109" s="37" t="str">
        <x:v>TDOBIE</x:v>
      </x:c>
      <x:c r="AE109" s="38" t="str">
        <x:v>TDOBIET</x:v>
      </x:c>
      <x:c r="AF109" s="123" t="n">
        <x:v>200</x:v>
      </x:c>
      <x:c r="AG109" s="112" t="str">
        <x:v>g</x:v>
      </x:c>
      <x:c r="AH109" s="112" t="str">
        <x:v>GÓI</x:v>
      </x:c>
      <x:c r="AI109" s="112" t="str">
        <x:v>200 g / GÓI</x:v>
      </x:c>
      <x:c r="AJ109" s="120" t="n">
        <x:v>65000</x:v>
      </x:c>
      <x:c r="AK109" s="120"/>
      <x:c r="AL109" s="120" t="n">
        <x:v>65000</x:v>
      </x:c>
      <x:c r="AM109" s="112" t="str">
        <x:v>BỔ SUNG GIÁ</x:v>
      </x:c>
      <x:c r="AN109" s="126" t="n">
        <x:v>246</x:v>
      </x:c>
      <x:c r="AO109" s="126" t="n">
        <x:v>247</x:v>
      </x:c>
      <x:c r="AP109" s="113" t="str">
        <x:v>12 GÓI / THÙNG</x:v>
      </x:c>
    </x:row>
    <x:row r="110">
      <x:c r="A110" s="71" t="str">
        <x:v>THẠCH TRỨNG ĐÀO</x:v>
      </x:c>
      <x:c r="B110" s="30" t="str">
        <x:v>THẠCH TRỨNG ĐÀO - THÙNG</x:v>
      </x:c>
      <x:c r="C110" s="37" t="str">
        <x:v>TTRDAO</x:v>
      </x:c>
      <x:c r="D110" s="37" t="str">
        <x:v>TTRDAOT</x:v>
      </x:c>
      <x:c r="E110" s="37" t="str">
        <x:v>TTRDAOT</x:v>
      </x:c>
      <x:c r="F110" s="37" t="n">
        <x:v>6</x:v>
      </x:c>
      <x:c r="G110" s="37" t="n">
        <x:v>16000</x:v>
      </x:c>
      <x:c r="H110" s="37" t="str">
        <x:v>g</x:v>
      </x:c>
      <x:c r="I110" s="37" t="str">
        <x:v>THÙNG</x:v>
      </x:c>
      <x:c r="J110" s="59" t="n">
        <x:v>0</x:v>
      </x:c>
      <x:c r="K110" s="59" t="n">
        <x:v>410000</x:v>
      </x:c>
      <x:c r="L110" s="59" t="n">
        <x:v>0</x:v>
      </x:c>
      <x:c r="M110" s="37" t="str">
        <x:v>Khác</x:v>
      </x:c>
      <x:c r="N110" s="37" t="str">
        <x:v>CHƯA CÓ GIÁ LẺ</x:v>
      </x:c>
      <x:c r="O110" s="61" t="n">
        <x:v>0.494</x:v>
      </x:c>
      <x:c r="P110" s="37"/>
      <x:c r="Q110" s="30"/>
      <x:c r="R110" s="30"/>
      <x:c r="S110" s="30"/>
      <x:c r="T110" s="37"/>
      <x:c r="U110" s="59"/>
      <x:c r="V110" s="59"/>
      <x:c r="W110" s="117" t="n">
        <x:v>70000</x:v>
      </x:c>
      <x:c r="X110" s="59" t="str">
        <x:f>IFERROR(IF(OR($N110="ĐÃ GHÉP - AUTO",$N110="ĐÃ GHÉP - QUY TẮC"),IF($V110="","",IF($T110="THÙNG",$V110/$F110,$V110)),""),"")</x:f>
      </x:c>
      <x:c r="Y110" s="117" t="n">
        <x:f>IF(OR(W110="",F110=""),"",W110*F110)</x:f>
        <x:v>420000</x:v>
      </x:c>
      <x:c r="Z110" s="59" t="str">
        <x:f>IFERROR(IF(OR($N110="ĐÃ GHÉP - AUTO",$N110="ĐÃ GHÉP - QUY TẮC"),IF($V110="","",IF($T110="THÙNG",$V110,$V110*$F110)),""),"")</x:f>
      </x:c>
      <x:c r="AA110" s="28" t="n">
        <x:f>IFERROR(IF(OR($K110="",$K110=0,$Y110=""),"",($Y110-$K110)/$K110),"")</x:f>
        <x:v>0.024390243902439025</x:v>
      </x:c>
      <x:c r="AB110" s="37" t="str">
        <x:f>IFERROR(IF($N110="CẦN DUYỆT","DUYỆT MAP",IF($N110="CHƯA CÓ GIÁ LẺ","THIẾU GIÁ",IF(OR($K110="",$K110=0,$Y110=""),"OK",IF(ABS(($Y110-$K110)/$K110)&gt;0.15,"LỆCH GIÁ CŨ","OK")))),"OK")</x:f>
        <x:v>THIẾU GIÁ</x:v>
      </x:c>
      <x:c r="AC110" s="30" t="str">
        <x:v>ứng viên gần nhất=Bánh Bao Trứng; score=0.494</x:v>
      </x:c>
      <x:c r="AD110" s="37" t="str">
        <x:v>TTRDAO</x:v>
      </x:c>
      <x:c r="AE110" s="38" t="str">
        <x:v>TTRDAOT</x:v>
      </x:c>
      <x:c r="AF110" s="123" t="n">
        <x:v>2600</x:v>
      </x:c>
      <x:c r="AG110" s="112" t="str">
        <x:v>g</x:v>
      </x:c>
      <x:c r="AH110" s="112" t="str">
        <x:v>HỘP</x:v>
      </x:c>
      <x:c r="AI110" s="112" t="str">
        <x:v>2600 g / HỘP</x:v>
      </x:c>
      <x:c r="AJ110" s="120" t="n">
        <x:v>70000</x:v>
      </x:c>
      <x:c r="AK110" s="120"/>
      <x:c r="AL110" s="120" t="n">
        <x:v>70000</x:v>
      </x:c>
      <x:c r="AM110" s="112" t="str">
        <x:v>BỔ SUNG GIÁ</x:v>
      </x:c>
      <x:c r="AN110" s="126" t="n">
        <x:v>248</x:v>
      </x:c>
      <x:c r="AO110" s="126" t="n">
        <x:v>249</x:v>
      </x:c>
      <x:c r="AP110" s="113" t="str">
        <x:v>6 HỘP / THÙNG</x:v>
      </x:c>
    </x:row>
    <x:row r="111">
      <x:c r="A111" s="71" t="str">
        <x:v>THẠCH TRỨNG 4 MÀU</x:v>
      </x:c>
      <x:c r="B111" s="30" t="str">
        <x:v>THẠCH TRỨNG 4 MÀU - THÙNG</x:v>
      </x:c>
      <x:c r="C111" s="37" t="str">
        <x:v>TTR4MA</x:v>
      </x:c>
      <x:c r="D111" s="37" t="str">
        <x:v>TTR4MAT</x:v>
      </x:c>
      <x:c r="E111" s="37" t="str">
        <x:v>TTR4MAT</x:v>
      </x:c>
      <x:c r="F111" s="37" t="n">
        <x:v>6</x:v>
      </x:c>
      <x:c r="G111" s="37" t="n">
        <x:v>16000</x:v>
      </x:c>
      <x:c r="H111" s="37" t="str">
        <x:v>g</x:v>
      </x:c>
      <x:c r="I111" s="37" t="str">
        <x:v>THÙNG</x:v>
      </x:c>
      <x:c r="J111" s="59" t="n">
        <x:v>0</x:v>
      </x:c>
      <x:c r="K111" s="59" t="n">
        <x:v>410000</x:v>
      </x:c>
      <x:c r="L111" s="59" t="n">
        <x:v>0</x:v>
      </x:c>
      <x:c r="M111" s="37" t="str">
        <x:v>Khác</x:v>
      </x:c>
      <x:c r="N111" s="37" t="str">
        <x:v>CHƯA CÓ GIÁ LẺ</x:v>
      </x:c>
      <x:c r="O111" s="61" t="n">
        <x:v>0.494</x:v>
      </x:c>
      <x:c r="P111" s="37"/>
      <x:c r="Q111" s="30"/>
      <x:c r="R111" s="30"/>
      <x:c r="S111" s="30"/>
      <x:c r="T111" s="37"/>
      <x:c r="U111" s="59"/>
      <x:c r="V111" s="59"/>
      <x:c r="W111" s="117" t="n">
        <x:v>70000</x:v>
      </x:c>
      <x:c r="X111" s="59" t="str">
        <x:f>IFERROR(IF(OR($N111="ĐÃ GHÉP - AUTO",$N111="ĐÃ GHÉP - QUY TẮC"),IF($V111="","",IF($T111="THÙNG",$V111/$F111,$V111)),""),"")</x:f>
      </x:c>
      <x:c r="Y111" s="117" t="n">
        <x:f>IF(OR(W111="",F111=""),"",W111*F111)</x:f>
        <x:v>420000</x:v>
      </x:c>
      <x:c r="Z111" s="59" t="str">
        <x:f>IFERROR(IF(OR($N111="ĐÃ GHÉP - AUTO",$N111="ĐÃ GHÉP - QUY TẮC"),IF($V111="","",IF($T111="THÙNG",$V111,$V111*$F111)),""),"")</x:f>
      </x:c>
      <x:c r="AA111" s="28" t="n">
        <x:f>IFERROR(IF(OR($K111="",$K111=0,$Y111=""),"",($Y111-$K111)/$K111),"")</x:f>
        <x:v>0.024390243902439025</x:v>
      </x:c>
      <x:c r="AB111" s="37" t="str">
        <x:f>IFERROR(IF($N111="CẦN DUYỆT","DUYỆT MAP",IF($N111="CHƯA CÓ GIÁ LẺ","THIẾU GIÁ",IF(OR($K111="",$K111=0,$Y111=""),"OK",IF(ABS(($Y111-$K111)/$K111)&gt;0.15,"LỆCH GIÁ CŨ","OK")))),"OK")</x:f>
        <x:v>THIẾU GIÁ</x:v>
      </x:c>
      <x:c r="AC111" s="30" t="str">
        <x:v>ứng viên gần nhất=Bánh Bao Trứng; score=0.494</x:v>
      </x:c>
      <x:c r="AD111" s="37" t="str">
        <x:v>TTR4MA</x:v>
      </x:c>
      <x:c r="AE111" s="38" t="str">
        <x:v>TTR4MAT</x:v>
      </x:c>
      <x:c r="AF111" s="123" t="n">
        <x:v>0</x:v>
      </x:c>
      <x:c r="AG111" s="112" t="str">
        <x:v>g</x:v>
      </x:c>
      <x:c r="AH111" s="112" t="str">
        <x:v>HỘP</x:v>
      </x:c>
      <x:c r="AI111" s="112" t="str">
        <x:v>0 g / HỘP</x:v>
      </x:c>
      <x:c r="AJ111" s="120" t="n">
        <x:v>70000</x:v>
      </x:c>
      <x:c r="AK111" s="120"/>
      <x:c r="AL111" s="120" t="n">
        <x:v>70000</x:v>
      </x:c>
      <x:c r="AM111" s="112" t="str">
        <x:v>BỔ SUNG GIÁ</x:v>
      </x:c>
      <x:c r="AN111" s="126" t="n">
        <x:v>250</x:v>
      </x:c>
      <x:c r="AO111" s="126" t="n">
        <x:v>251</x:v>
      </x:c>
      <x:c r="AP111" s="113" t="str">
        <x:v>6 HỘP / THÙNG</x:v>
      </x:c>
    </x:row>
    <x:row r="112">
      <x:c r="A112" s="71" t="str">
        <x:v>THẠCH TRÁI CÂY 5M NHỎ</x:v>
      </x:c>
      <x:c r="B112" s="30" t="str">
        <x:v>THẠCH TRÁI CÂY 5M NHỎ - THÙNG</x:v>
      </x:c>
      <x:c r="C112" s="37" t="str">
        <x:v>TTC5MN</x:v>
      </x:c>
      <x:c r="D112" s="37" t="str">
        <x:v>TTC5MNT</x:v>
      </x:c>
      <x:c r="E112" s="37" t="str">
        <x:v>TTC5MNT</x:v>
      </x:c>
      <x:c r="F112" s="37" t="n">
        <x:v>6</x:v>
      </x:c>
      <x:c r="G112" s="37" t="n">
        <x:v>16000</x:v>
      </x:c>
      <x:c r="H112" s="37" t="str">
        <x:v>g</x:v>
      </x:c>
      <x:c r="I112" s="37" t="str">
        <x:v>THÙNG</x:v>
      </x:c>
      <x:c r="J112" s="59" t="n">
        <x:v>0</x:v>
      </x:c>
      <x:c r="K112" s="59" t="n">
        <x:v>410000</x:v>
      </x:c>
      <x:c r="L112" s="59" t="n">
        <x:v>0</x:v>
      </x:c>
      <x:c r="M112" s="37" t="str">
        <x:v>Khác</x:v>
      </x:c>
      <x:c r="N112" s="37" t="str">
        <x:v>CHƯA CÓ GIÁ LẺ</x:v>
      </x:c>
      <x:c r="O112" s="61" t="n">
        <x:v>0.418</x:v>
      </x:c>
      <x:c r="P112" s="37"/>
      <x:c r="Q112" s="30"/>
      <x:c r="R112" s="30"/>
      <x:c r="S112" s="30"/>
      <x:c r="T112" s="37"/>
      <x:c r="U112" s="59"/>
      <x:c r="V112" s="59"/>
      <x:c r="W112" s="117" t="n">
        <x:v>70000</x:v>
      </x:c>
      <x:c r="X112" s="59" t="str">
        <x:f>IFERROR(IF(OR($N112="ĐÃ GHÉP - AUTO",$N112="ĐÃ GHÉP - QUY TẮC"),IF($V112="","",IF($T112="THÙNG",$V112/$F112,$V112)),""),"")</x:f>
      </x:c>
      <x:c r="Y112" s="117" t="n">
        <x:f>IF(OR(W112="",F112=""),"",W112*F112)</x:f>
        <x:v>420000</x:v>
      </x:c>
      <x:c r="Z112" s="59" t="str">
        <x:f>IFERROR(IF(OR($N112="ĐÃ GHÉP - AUTO",$N112="ĐÃ GHÉP - QUY TẮC"),IF($V112="","",IF($T112="THÙNG",$V112,$V112*$F112)),""),"")</x:f>
      </x:c>
      <x:c r="AA112" s="28" t="n">
        <x:f>IFERROR(IF(OR($K112="",$K112=0,$Y112=""),"",($Y112-$K112)/$K112),"")</x:f>
        <x:v>0.024390243902439025</x:v>
      </x:c>
      <x:c r="AB112" s="37" t="str">
        <x:f>IFERROR(IF($N112="CẦN DUYỆT","DUYỆT MAP",IF($N112="CHƯA CÓ GIÁ LẺ","THIẾU GIÁ",IF(OR($K112="",$K112=0,$Y112=""),"OK",IF(ABS(($Y112-$K112)/$K112)&gt;0.15,"LỆCH GIÁ CŨ","OK")))),"OK")</x:f>
        <x:v>THIẾU GIÁ</x:v>
      </x:c>
      <x:c r="AC112" s="30" t="str">
        <x:v>ứng viên gần nhất=Sinh Tố Gol Nho; score=0.418</x:v>
      </x:c>
      <x:c r="AD112" s="37" t="str">
        <x:v>TTC5MN</x:v>
      </x:c>
      <x:c r="AE112" s="38" t="str">
        <x:v>TTC5MNT</x:v>
      </x:c>
      <x:c r="AF112" s="123" t="n">
        <x:v>2600</x:v>
      </x:c>
      <x:c r="AG112" s="112" t="str">
        <x:v>g</x:v>
      </x:c>
      <x:c r="AH112" s="112" t="str">
        <x:v>HỘP</x:v>
      </x:c>
      <x:c r="AI112" s="112" t="str">
        <x:v>2600 g / HỘP</x:v>
      </x:c>
      <x:c r="AJ112" s="120" t="n">
        <x:v>70000</x:v>
      </x:c>
      <x:c r="AK112" s="120"/>
      <x:c r="AL112" s="120" t="n">
        <x:v>70000</x:v>
      </x:c>
      <x:c r="AM112" s="112" t="str">
        <x:v>BỔ SUNG GIÁ</x:v>
      </x:c>
      <x:c r="AN112" s="126" t="n">
        <x:v>252</x:v>
      </x:c>
      <x:c r="AO112" s="126" t="n">
        <x:v>253</x:v>
      </x:c>
      <x:c r="AP112" s="113" t="str">
        <x:v>6 HỘP / THÙNG</x:v>
      </x:c>
    </x:row>
    <x:row r="113">
      <x:c r="A113" s="71" t="str">
        <x:v>THẠCH TRÁI CÂY 3M NHỎ</x:v>
      </x:c>
      <x:c r="B113" s="30" t="str">
        <x:v>THẠCH TRÁI CÂY 3M NHỎ - THÙNG</x:v>
      </x:c>
      <x:c r="C113" s="37" t="str">
        <x:v>TTC3MN</x:v>
      </x:c>
      <x:c r="D113" s="37" t="str">
        <x:v>TTC3MNT</x:v>
      </x:c>
      <x:c r="E113" s="37" t="str">
        <x:v>TTC3MNT</x:v>
      </x:c>
      <x:c r="F113" s="37" t="n">
        <x:v>6</x:v>
      </x:c>
      <x:c r="G113" s="37" t="n">
        <x:v>16000</x:v>
      </x:c>
      <x:c r="H113" s="37" t="str">
        <x:v>g</x:v>
      </x:c>
      <x:c r="I113" s="37" t="str">
        <x:v>THÙNG</x:v>
      </x:c>
      <x:c r="J113" s="59" t="n">
        <x:v>0</x:v>
      </x:c>
      <x:c r="K113" s="59" t="n">
        <x:v>410000</x:v>
      </x:c>
      <x:c r="L113" s="59" t="n">
        <x:v>0</x:v>
      </x:c>
      <x:c r="M113" s="37" t="str">
        <x:v>Khác</x:v>
      </x:c>
      <x:c r="N113" s="37" t="str">
        <x:v>CHƯA CÓ GIÁ LẺ</x:v>
      </x:c>
      <x:c r="O113" s="61" t="n">
        <x:v>0.418</x:v>
      </x:c>
      <x:c r="P113" s="37"/>
      <x:c r="Q113" s="30"/>
      <x:c r="R113" s="30"/>
      <x:c r="S113" s="30"/>
      <x:c r="T113" s="37"/>
      <x:c r="U113" s="59"/>
      <x:c r="V113" s="59"/>
      <x:c r="W113" s="117" t="n">
        <x:v>70000</x:v>
      </x:c>
      <x:c r="X113" s="59" t="str">
        <x:f>IFERROR(IF(OR($N113="ĐÃ GHÉP - AUTO",$N113="ĐÃ GHÉP - QUY TẮC"),IF($V113="","",IF($T113="THÙNG",$V113/$F113,$V113)),""),"")</x:f>
      </x:c>
      <x:c r="Y113" s="117" t="n">
        <x:f>IF(OR(W113="",F113=""),"",W113*F113)</x:f>
        <x:v>420000</x:v>
      </x:c>
      <x:c r="Z113" s="59" t="str">
        <x:f>IFERROR(IF(OR($N113="ĐÃ GHÉP - AUTO",$N113="ĐÃ GHÉP - QUY TẮC"),IF($V113="","",IF($T113="THÙNG",$V113,$V113*$F113)),""),"")</x:f>
      </x:c>
      <x:c r="AA113" s="28" t="n">
        <x:f>IFERROR(IF(OR($K113="",$K113=0,$Y113=""),"",($Y113-$K113)/$K113),"")</x:f>
        <x:v>0.024390243902439025</x:v>
      </x:c>
      <x:c r="AB113" s="37" t="str">
        <x:f>IFERROR(IF($N113="CẦN DUYỆT","DUYỆT MAP",IF($N113="CHƯA CÓ GIÁ LẺ","THIẾU GIÁ",IF(OR($K113="",$K113=0,$Y113=""),"OK",IF(ABS(($Y113-$K113)/$K113)&gt;0.15,"LỆCH GIÁ CŨ","OK")))),"OK")</x:f>
        <x:v>THIẾU GIÁ</x:v>
      </x:c>
      <x:c r="AC113" s="30" t="str">
        <x:v>ứng viên gần nhất=Sinh Tố Gol Nho; score=0.418</x:v>
      </x:c>
      <x:c r="AD113" s="37" t="str">
        <x:v>TTC3MN</x:v>
      </x:c>
      <x:c r="AE113" s="38" t="str">
        <x:v>TTC3MNT</x:v>
      </x:c>
      <x:c r="AF113" s="123" t="n">
        <x:v>2600</x:v>
      </x:c>
      <x:c r="AG113" s="112" t="str">
        <x:v>g</x:v>
      </x:c>
      <x:c r="AH113" s="112" t="str">
        <x:v>HỘP</x:v>
      </x:c>
      <x:c r="AI113" s="112" t="str">
        <x:v>2600 g / HỘP</x:v>
      </x:c>
      <x:c r="AJ113" s="120" t="n">
        <x:v>70000</x:v>
      </x:c>
      <x:c r="AK113" s="120"/>
      <x:c r="AL113" s="120" t="n">
        <x:v>70000</x:v>
      </x:c>
      <x:c r="AM113" s="112" t="str">
        <x:v>BỔ SUNG GIÁ</x:v>
      </x:c>
      <x:c r="AN113" s="126" t="n">
        <x:v>254</x:v>
      </x:c>
      <x:c r="AO113" s="126" t="n">
        <x:v>255</x:v>
      </x:c>
      <x:c r="AP113" s="113" t="str">
        <x:v>6 HỘP / THÙNG</x:v>
      </x:c>
    </x:row>
    <x:row r="114">
      <x:c r="A114" s="71" t="str">
        <x:v>THẠCH TRÁI CÂY 3M LỚN</x:v>
      </x:c>
      <x:c r="B114" s="30" t="str">
        <x:v>THẠCH TRÁI CÂY 3M LỚN - THÙNG</x:v>
      </x:c>
      <x:c r="C114" s="37" t="str">
        <x:v>TTC3ML</x:v>
      </x:c>
      <x:c r="D114" s="37" t="str">
        <x:v>TTC3MLT</x:v>
      </x:c>
      <x:c r="E114" s="37" t="str">
        <x:v>TTC3MLT</x:v>
      </x:c>
      <x:c r="F114" s="37" t="n">
        <x:v>6</x:v>
      </x:c>
      <x:c r="G114" s="37" t="n">
        <x:v>16000</x:v>
      </x:c>
      <x:c r="H114" s="37" t="str">
        <x:v>g</x:v>
      </x:c>
      <x:c r="I114" s="37" t="str">
        <x:v>THÙNG</x:v>
      </x:c>
      <x:c r="J114" s="59" t="n">
        <x:v>0</x:v>
      </x:c>
      <x:c r="K114" s="59" t="n">
        <x:v>410000</x:v>
      </x:c>
      <x:c r="L114" s="59" t="n">
        <x:v>0</x:v>
      </x:c>
      <x:c r="M114" s="37" t="str">
        <x:v>Khác</x:v>
      </x:c>
      <x:c r="N114" s="37" t="str">
        <x:v>CHƯA CÓ GIÁ LẺ</x:v>
      </x:c>
      <x:c r="O114" s="61" t="n">
        <x:v>0.068</x:v>
      </x:c>
      <x:c r="P114" s="37"/>
      <x:c r="Q114" s="30"/>
      <x:c r="R114" s="30"/>
      <x:c r="S114" s="30"/>
      <x:c r="T114" s="37"/>
      <x:c r="U114" s="59"/>
      <x:c r="V114" s="59"/>
      <x:c r="W114" s="117" t="n">
        <x:v>70000</x:v>
      </x:c>
      <x:c r="X114" s="59" t="str">
        <x:f>IFERROR(IF(OR($N114="ĐÃ GHÉP - AUTO",$N114="ĐÃ GHÉP - QUY TẮC"),IF($V114="","",IF($T114="THÙNG",$V114/$F114,$V114)),""),"")</x:f>
      </x:c>
      <x:c r="Y114" s="117" t="n">
        <x:f>IF(OR(W114="",F114=""),"",W114*F114)</x:f>
        <x:v>420000</x:v>
      </x:c>
      <x:c r="Z114" s="59" t="str">
        <x:f>IFERROR(IF(OR($N114="ĐÃ GHÉP - AUTO",$N114="ĐÃ GHÉP - QUY TẮC"),IF($V114="","",IF($T114="THÙNG",$V114,$V114*$F114)),""),"")</x:f>
      </x:c>
      <x:c r="AA114" s="28" t="n">
        <x:f>IFERROR(IF(OR($K114="",$K114=0,$Y114=""),"",($Y114-$K114)/$K114),"")</x:f>
        <x:v>0.024390243902439025</x:v>
      </x:c>
      <x:c r="AB114" s="37" t="str">
        <x:f>IFERROR(IF($N114="CẦN DUYỆT","DUYỆT MAP",IF($N114="CHƯA CÓ GIÁ LẺ","THIẾU GIÁ",IF(OR($K114="",$K114=0,$Y114=""),"OK",IF(ABS(($Y114-$K114)/$K114)&gt;0.15,"LỆCH GIÁ CŨ","OK")))),"OK")</x:f>
        <x:v>THIẾU GIÁ</x:v>
      </x:c>
      <x:c r="AC114" s="30" t="str">
        <x:v>ứng viên gần nhất=Giấm Táo; score=0.068</x:v>
      </x:c>
      <x:c r="AD114" s="37" t="str">
        <x:v>TTC3ML</x:v>
      </x:c>
      <x:c r="AE114" s="38" t="str">
        <x:v>TTC3MLT</x:v>
      </x:c>
      <x:c r="AF114" s="123" t="n">
        <x:v>2600</x:v>
      </x:c>
      <x:c r="AG114" s="112" t="str">
        <x:v>g</x:v>
      </x:c>
      <x:c r="AH114" s="112" t="str">
        <x:v>HỘP</x:v>
      </x:c>
      <x:c r="AI114" s="112" t="str">
        <x:v>2600 g / HỘP</x:v>
      </x:c>
      <x:c r="AJ114" s="120" t="n">
        <x:v>70000</x:v>
      </x:c>
      <x:c r="AK114" s="120"/>
      <x:c r="AL114" s="120" t="n">
        <x:v>70000</x:v>
      </x:c>
      <x:c r="AM114" s="112" t="str">
        <x:v>BỔ SUNG GIÁ</x:v>
      </x:c>
      <x:c r="AN114" s="126" t="n">
        <x:v>256</x:v>
      </x:c>
      <x:c r="AO114" s="126" t="n">
        <x:v>257</x:v>
      </x:c>
      <x:c r="AP114" s="113" t="str">
        <x:v>6 HỘP / THÙNG</x:v>
      </x:c>
    </x:row>
    <x:row r="115">
      <x:c r="A115" s="71" t="str">
        <x:v>THẠCH MH THUỶ TINH TRÁI CÂY</x:v>
      </x:c>
      <x:c r="B115" s="30" t="str">
        <x:v>THẠCH MH THUỶ TINH TRÁI CÂY - THÙNG</x:v>
      </x:c>
      <x:c r="C115" s="37" t="str">
        <x:v>TTTCMH</x:v>
      </x:c>
      <x:c r="D115" s="37" t="str">
        <x:v>TTTCMHT</x:v>
      </x:c>
      <x:c r="E115" s="37" t="str">
        <x:v>TTTCMHT</x:v>
      </x:c>
      <x:c r="F115" s="37" t="n">
        <x:v>8</x:v>
      </x:c>
      <x:c r="G115" s="37" t="n">
        <x:v>21000</x:v>
      </x:c>
      <x:c r="H115" s="37" t="str">
        <x:v>g</x:v>
      </x:c>
      <x:c r="I115" s="37" t="str">
        <x:v>THÙNG</x:v>
      </x:c>
      <x:c r="J115" s="59" t="n">
        <x:v>0</x:v>
      </x:c>
      <x:c r="K115" s="59" t="n">
        <x:v>330000</x:v>
      </x:c>
      <x:c r="L115" s="59" t="n">
        <x:v>0</x:v>
      </x:c>
      <x:c r="M115" s="37" t="str">
        <x:v>Khác</x:v>
      </x:c>
      <x:c r="N115" s="37" t="str">
        <x:v>CHƯA CÓ GIÁ LẺ</x:v>
      </x:c>
      <x:c r="O115" s="61" t="n">
        <x:v>0.428</x:v>
      </x:c>
      <x:c r="P115" s="37"/>
      <x:c r="Q115" s="30"/>
      <x:c r="R115" s="30"/>
      <x:c r="S115" s="30"/>
      <x:c r="T115" s="37"/>
      <x:c r="U115" s="59"/>
      <x:c r="V115" s="59"/>
      <x:c r="W115" s="117" t="n">
        <x:v>40000</x:v>
      </x:c>
      <x:c r="X115" s="59" t="str">
        <x:f>IFERROR(IF(OR($N115="ĐÃ GHÉP - AUTO",$N115="ĐÃ GHÉP - QUY TẮC"),IF($V115="","",IF($T115="THÙNG",$V115/$F115,$V115)),""),"")</x:f>
      </x:c>
      <x:c r="Y115" s="117" t="n">
        <x:f>IF(OR(W115="",F115=""),"",W115*F115)</x:f>
        <x:v>320000</x:v>
      </x:c>
      <x:c r="Z115" s="59" t="str">
        <x:f>IFERROR(IF(OR($N115="ĐÃ GHÉP - AUTO",$N115="ĐÃ GHÉP - QUY TẮC"),IF($V115="","",IF($T115="THÙNG",$V115,$V115*$F115)),""),"")</x:f>
      </x:c>
      <x:c r="AA115" s="28" t="n">
        <x:f>IFERROR(IF(OR($K115="",$K115=0,$Y115=""),"",($Y115-$K115)/$K115),"")</x:f>
        <x:v>-0.030303030303030304</x:v>
      </x:c>
      <x:c r="AB115" s="37" t="str">
        <x:f>IFERROR(IF($N115="CẦN DUYỆT","DUYỆT MAP",IF($N115="CHƯA CÓ GIÁ LẺ","THIẾU GIÁ",IF(OR($K115="",$K115=0,$Y115=""),"OK",IF(ABS(($Y115-$K115)/$K115)&gt;0.15,"LỆCH GIÁ CŨ","OK")))),"OK")</x:f>
        <x:v>THIẾU GIÁ</x:v>
      </x:c>
      <x:c r="AC115" s="30" t="str">
        <x:v>ứng viên gần nhất=Thủy Tinh Hùng Chương; score=0.428</x:v>
      </x:c>
      <x:c r="AD115" s="37" t="str">
        <x:v>TTTCMH</x:v>
      </x:c>
      <x:c r="AE115" s="38" t="str">
        <x:v>TTTCMHT</x:v>
      </x:c>
      <x:c r="AF115" s="123" t="n">
        <x:v>25</x:v>
      </x:c>
      <x:c r="AG115" s="112" t="str">
        <x:v>g</x:v>
      </x:c>
      <x:c r="AH115" s="112" t="str">
        <x:v>HỦ</x:v>
      </x:c>
      <x:c r="AI115" s="112" t="str">
        <x:v>25 g / HỦ</x:v>
      </x:c>
      <x:c r="AJ115" s="120" t="n">
        <x:v>40000</x:v>
      </x:c>
      <x:c r="AK115" s="120"/>
      <x:c r="AL115" s="120" t="n">
        <x:v>40000</x:v>
      </x:c>
      <x:c r="AM115" s="112" t="str">
        <x:v>BỔ SUNG GIÁ</x:v>
      </x:c>
      <x:c r="AN115" s="126" t="n">
        <x:v>258</x:v>
      </x:c>
      <x:c r="AO115" s="126" t="n">
        <x:v>259</x:v>
      </x:c>
      <x:c r="AP115" s="113" t="str">
        <x:v>8 HỦ / THÙNG</x:v>
      </x:c>
    </x:row>
    <x:row r="116">
      <x:c r="A116" s="71" t="str">
        <x:v>THẠCH TIM 4 MÀU</x:v>
      </x:c>
      <x:c r="B116" s="30" t="str">
        <x:v>THẠCH TIM 4 MÀU - THÙNG</x:v>
      </x:c>
      <x:c r="C116" s="37" t="str">
        <x:v>TTIM4M</x:v>
      </x:c>
      <x:c r="D116" s="37" t="str">
        <x:v>TTIM4MT</x:v>
      </x:c>
      <x:c r="E116" s="37" t="str">
        <x:v>TTIM4MT</x:v>
      </x:c>
      <x:c r="F116" s="37" t="n">
        <x:v>6</x:v>
      </x:c>
      <x:c r="G116" s="37" t="n">
        <x:v>16000</x:v>
      </x:c>
      <x:c r="H116" s="37" t="str">
        <x:v>g</x:v>
      </x:c>
      <x:c r="I116" s="37" t="str">
        <x:v>THÙNG</x:v>
      </x:c>
      <x:c r="J116" s="59" t="n">
        <x:v>0</x:v>
      </x:c>
      <x:c r="K116" s="59" t="n">
        <x:v>410000</x:v>
      </x:c>
      <x:c r="L116" s="59" t="n">
        <x:v>0</x:v>
      </x:c>
      <x:c r="M116" s="37" t="str">
        <x:v>Khác</x:v>
      </x:c>
      <x:c r="N116" s="37" t="str">
        <x:v>CHƯA CÓ GIÁ LẺ</x:v>
      </x:c>
      <x:c r="O116" s="61" t="n">
        <x:v>0.069</x:v>
      </x:c>
      <x:c r="P116" s="37"/>
      <x:c r="Q116" s="30"/>
      <x:c r="R116" s="30"/>
      <x:c r="S116" s="30"/>
      <x:c r="T116" s="37"/>
      <x:c r="U116" s="59"/>
      <x:c r="V116" s="59"/>
      <x:c r="W116" s="117" t="n">
        <x:v>70000</x:v>
      </x:c>
      <x:c r="X116" s="59" t="str">
        <x:f>IFERROR(IF(OR($N116="ĐÃ GHÉP - AUTO",$N116="ĐÃ GHÉP - QUY TẮC"),IF($V116="","",IF($T116="THÙNG",$V116/$F116,$V116)),""),"")</x:f>
      </x:c>
      <x:c r="Y116" s="117" t="n">
        <x:f>IF(OR(W116="",F116=""),"",W116*F116)</x:f>
        <x:v>420000</x:v>
      </x:c>
      <x:c r="Z116" s="59" t="str">
        <x:f>IFERROR(IF(OR($N116="ĐÃ GHÉP - AUTO",$N116="ĐÃ GHÉP - QUY TẮC"),IF($V116="","",IF($T116="THÙNG",$V116,$V116*$F116)),""),"")</x:f>
      </x:c>
      <x:c r="AA116" s="28" t="n">
        <x:f>IFERROR(IF(OR($K116="",$K116=0,$Y116=""),"",($Y116-$K116)/$K116),"")</x:f>
        <x:v>0.024390243902439025</x:v>
      </x:c>
      <x:c r="AB116" s="37" t="str">
        <x:f>IFERROR(IF($N116="CẦN DUYỆT","DUYỆT MAP",IF($N116="CHƯA CÓ GIÁ LẺ","THIẾU GIÁ",IF(OR($K116="",$K116=0,$Y116=""),"OK",IF(ABS(($Y116-$K116)/$K116)&gt;0.15,"LỆCH GIÁ CŨ","OK")))),"OK")</x:f>
        <x:v>THIẾU GIÁ</x:v>
      </x:c>
      <x:c r="AC116" s="30" t="str">
        <x:v>ứng viên gần nhất=Giấm Táo; score=0.069</x:v>
      </x:c>
      <x:c r="AD116" s="37" t="str">
        <x:v>TTIM4M</x:v>
      </x:c>
      <x:c r="AE116" s="38" t="str">
        <x:v>TTIM4MT</x:v>
      </x:c>
      <x:c r="AF116" s="123" t="n">
        <x:v>2600</x:v>
      </x:c>
      <x:c r="AG116" s="112" t="str">
        <x:v>g</x:v>
      </x:c>
      <x:c r="AH116" s="112" t="str">
        <x:v>HỘP</x:v>
      </x:c>
      <x:c r="AI116" s="112" t="str">
        <x:v>2600 g / HỘP</x:v>
      </x:c>
      <x:c r="AJ116" s="120" t="n">
        <x:v>70000</x:v>
      </x:c>
      <x:c r="AK116" s="120"/>
      <x:c r="AL116" s="120" t="n">
        <x:v>70000</x:v>
      </x:c>
      <x:c r="AM116" s="112" t="str">
        <x:v>BỔ SUNG GIÁ</x:v>
      </x:c>
      <x:c r="AN116" s="126" t="n">
        <x:v>260</x:v>
      </x:c>
      <x:c r="AO116" s="126" t="n">
        <x:v>261</x:v>
      </x:c>
      <x:c r="AP116" s="113" t="str">
        <x:v>6 HỘP / THÙNG</x:v>
      </x:c>
    </x:row>
    <x:row r="117">
      <x:c r="A117" s="71" t="str">
        <x:v>THẠCH SỢI TRẮNG</x:v>
      </x:c>
      <x:c r="B117" s="30" t="str">
        <x:v>THẠCH SỢI TRẮNG - THÙNG</x:v>
      </x:c>
      <x:c r="C117" s="37" t="str">
        <x:v>TSOITR</x:v>
      </x:c>
      <x:c r="D117" s="37" t="str">
        <x:v>TSOITRT</x:v>
      </x:c>
      <x:c r="E117" s="37" t="str">
        <x:v>TSOITRT</x:v>
      </x:c>
      <x:c r="F117" s="37" t="n">
        <x:v>6</x:v>
      </x:c>
      <x:c r="G117" s="37" t="n">
        <x:v>16000</x:v>
      </x:c>
      <x:c r="H117" s="37" t="str">
        <x:v>g</x:v>
      </x:c>
      <x:c r="I117" s="37" t="str">
        <x:v>THÙNG</x:v>
      </x:c>
      <x:c r="J117" s="59" t="n">
        <x:v>0</x:v>
      </x:c>
      <x:c r="K117" s="59" t="n">
        <x:v>0</x:v>
      </x:c>
      <x:c r="L117" s="59" t="n">
        <x:v>0</x:v>
      </x:c>
      <x:c r="M117" s="37" t="str">
        <x:v>Khác</x:v>
      </x:c>
      <x:c r="N117" s="37" t="str">
        <x:v>CHƯA CÓ GIÁ LẺ</x:v>
      </x:c>
      <x:c r="O117" s="61" t="n">
        <x:v>0.464</x:v>
      </x:c>
      <x:c r="P117" s="37"/>
      <x:c r="Q117" s="30"/>
      <x:c r="R117" s="30"/>
      <x:c r="S117" s="30"/>
      <x:c r="T117" s="37"/>
      <x:c r="U117" s="59"/>
      <x:c r="V117" s="59"/>
      <x:c r="W117" s="117" t="n">
        <x:v>70000</x:v>
      </x:c>
      <x:c r="X117" s="59" t="str">
        <x:f>IFERROR(IF(OR($N117="ĐÃ GHÉP - AUTO",$N117="ĐÃ GHÉP - QUY TẮC"),IF($V117="","",IF($T117="THÙNG",$V117/$F117,$V117)),""),"")</x:f>
      </x:c>
      <x:c r="Y117" s="117" t="n">
        <x:f>IF(OR(W117="",F117=""),"",W117*F117)</x:f>
        <x:v>420000</x:v>
      </x:c>
      <x:c r="Z117" s="59" t="str">
        <x:f>IFERROR(IF(OR($N117="ĐÃ GHÉP - AUTO",$N117="ĐÃ GHÉP - QUY TẮC"),IF($V117="","",IF($T117="THÙNG",$V117,$V117*$F117)),""),"")</x:f>
      </x:c>
      <x:c r="AA117" s="28" t="str">
        <x:f>IFERROR(IF(OR($K117="",$K117=0,$Y117=""),"",($Y117-$K117)/$K117),"")</x:f>
      </x:c>
      <x:c r="AB117" s="37" t="str">
        <x:f>IFERROR(IF($N117="CẦN DUYỆT","DUYỆT MAP",IF($N117="CHƯA CÓ GIÁ LẺ","THIẾU GIÁ",IF(OR($K117="",$K117=0,$Y117=""),"OK",IF(ABS(($Y117-$K117)/$K117)&gt;0.15,"LỆCH GIÁ CŨ","OK")))),"OK")</x:f>
        <x:v>THIẾU GIÁ</x:v>
      </x:c>
      <x:c r="AC117" s="30" t="str">
        <x:v>ứng viên gần nhất=ong hut trang phi 6/8; score=0.464</x:v>
      </x:c>
      <x:c r="AD117" s="37" t="str">
        <x:v>TSOITR</x:v>
      </x:c>
      <x:c r="AE117" s="38" t="str">
        <x:v>TSOITRT</x:v>
      </x:c>
      <x:c r="AF117" s="123" t="n">
        <x:v>2600</x:v>
      </x:c>
      <x:c r="AG117" s="112" t="str">
        <x:v>g</x:v>
      </x:c>
      <x:c r="AH117" s="112" t="str">
        <x:v>HỘP</x:v>
      </x:c>
      <x:c r="AI117" s="112" t="str">
        <x:v>2600 g / HỘP</x:v>
      </x:c>
      <x:c r="AJ117" s="120" t="n">
        <x:v>70000</x:v>
      </x:c>
      <x:c r="AK117" s="120"/>
      <x:c r="AL117" s="120" t="n">
        <x:v>70000</x:v>
      </x:c>
      <x:c r="AM117" s="112" t="str">
        <x:v>BỔ SUNG GIÁ</x:v>
      </x:c>
      <x:c r="AN117" s="126" t="n">
        <x:v>262</x:v>
      </x:c>
      <x:c r="AO117" s="126" t="n">
        <x:v>263</x:v>
      </x:c>
      <x:c r="AP117" s="113" t="str">
        <x:v>6 HỘP / THÙNG</x:v>
      </x:c>
    </x:row>
    <x:row r="118">
      <x:c r="A118" s="71" t="str">
        <x:v>THẠCH SỢI HOÀNG KIM</x:v>
      </x:c>
      <x:c r="B118" s="30" t="str">
        <x:v>THẠCH SỢI HOÀNG KIM - THÙNG</x:v>
      </x:c>
      <x:c r="C118" s="37" t="str">
        <x:v>TSOIHK</x:v>
      </x:c>
      <x:c r="D118" s="37" t="str">
        <x:v>TSOIHKT</x:v>
      </x:c>
      <x:c r="E118" s="37" t="str">
        <x:v>TSOIHKT</x:v>
      </x:c>
      <x:c r="F118" s="37" t="n">
        <x:v>6</x:v>
      </x:c>
      <x:c r="G118" s="37" t="n">
        <x:v>16000</x:v>
      </x:c>
      <x:c r="H118" s="37" t="str">
        <x:v>g</x:v>
      </x:c>
      <x:c r="I118" s="37" t="str">
        <x:v>THÙNG</x:v>
      </x:c>
      <x:c r="J118" s="59" t="n">
        <x:v>0</x:v>
      </x:c>
      <x:c r="K118" s="59" t="n">
        <x:v>0</x:v>
      </x:c>
      <x:c r="L118" s="59" t="n">
        <x:v>0</x:v>
      </x:c>
      <x:c r="M118" s="37" t="str">
        <x:v>Khác</x:v>
      </x:c>
      <x:c r="N118" s="37" t="str">
        <x:v>CHƯA CÓ GIÁ LẺ</x:v>
      </x:c>
      <x:c r="O118" s="61" t="n">
        <x:v>0.526</x:v>
      </x:c>
      <x:c r="P118" s="37"/>
      <x:c r="Q118" s="30"/>
      <x:c r="R118" s="30"/>
      <x:c r="S118" s="30"/>
      <x:c r="T118" s="37"/>
      <x:c r="U118" s="59"/>
      <x:c r="V118" s="59"/>
      <x:c r="W118" s="117" t="n">
        <x:v>70000</x:v>
      </x:c>
      <x:c r="X118" s="59" t="str">
        <x:f>IFERROR(IF(OR($N118="ĐÃ GHÉP - AUTO",$N118="ĐÃ GHÉP - QUY TẮC"),IF($V118="","",IF($T118="THÙNG",$V118/$F118,$V118)),""),"")</x:f>
      </x:c>
      <x:c r="Y118" s="117" t="n">
        <x:f>IF(OR(W118="",F118=""),"",W118*F118)</x:f>
        <x:v>420000</x:v>
      </x:c>
      <x:c r="Z118" s="59" t="str">
        <x:f>IFERROR(IF(OR($N118="ĐÃ GHÉP - AUTO",$N118="ĐÃ GHÉP - QUY TẮC"),IF($V118="","",IF($T118="THÙNG",$V118,$V118*$F118)),""),"")</x:f>
      </x:c>
      <x:c r="AA118" s="28" t="str">
        <x:f>IFERROR(IF(OR($K118="",$K118=0,$Y118=""),"",($Y118-$K118)/$K118),"")</x:f>
      </x:c>
      <x:c r="AB118" s="37" t="str">
        <x:f>IFERROR(IF($N118="CẦN DUYỆT","DUYỆT MAP",IF($N118="CHƯA CÓ GIÁ LẺ","THIẾU GIÁ",IF(OR($K118="",$K118=0,$Y118=""),"OK",IF(ABS(($Y118-$K118)/$K118)&gt;0.15,"LỆCH GIÁ CŨ","OK")))),"OK")</x:f>
        <x:v>THIẾU GIÁ</x:v>
      </x:c>
      <x:c r="AC118" s="30" t="str">
        <x:v>ứng viên gần nhất=TC hoàng kim Duoxian 3kg; score=0.526</x:v>
      </x:c>
      <x:c r="AD118" s="37" t="str">
        <x:v>TSOIHK</x:v>
      </x:c>
      <x:c r="AE118" s="38" t="str">
        <x:v>TSOIHKT</x:v>
      </x:c>
      <x:c r="AF118" s="123" t="n">
        <x:v>0</x:v>
      </x:c>
      <x:c r="AG118" s="112" t="str">
        <x:v>g</x:v>
      </x:c>
      <x:c r="AH118" s="112" t="str">
        <x:v>HỘP</x:v>
      </x:c>
      <x:c r="AI118" s="112" t="str">
        <x:v>0 g / HỘP</x:v>
      </x:c>
      <x:c r="AJ118" s="120" t="n">
        <x:v>70000</x:v>
      </x:c>
      <x:c r="AK118" s="120"/>
      <x:c r="AL118" s="120" t="n">
        <x:v>70000</x:v>
      </x:c>
      <x:c r="AM118" s="112" t="str">
        <x:v>BỔ SUNG GIÁ</x:v>
      </x:c>
      <x:c r="AN118" s="126" t="n">
        <x:v>264</x:v>
      </x:c>
      <x:c r="AO118" s="126" t="n">
        <x:v>265</x:v>
      </x:c>
      <x:c r="AP118" s="113" t="str">
        <x:v>6 HỘP / THÙNG</x:v>
      </x:c>
    </x:row>
    <x:row r="119">
      <x:c r="A119" s="71" t="str">
        <x:v>THẠCH SOCOLA NHUYỄN</x:v>
      </x:c>
      <x:c r="B119" s="30" t="str">
        <x:v>THẠCH SOCOLA NHUYỄN - THÙNG</x:v>
      </x:c>
      <x:c r="C119" s="37" t="str">
        <x:v>TSCLNH</x:v>
      </x:c>
      <x:c r="D119" s="37" t="str">
        <x:v>TSCLNHT</x:v>
      </x:c>
      <x:c r="E119" s="37" t="str">
        <x:v>TSCLNHT</x:v>
      </x:c>
      <x:c r="F119" s="37" t="n">
        <x:v>6</x:v>
      </x:c>
      <x:c r="G119" s="37" t="n">
        <x:v>16000</x:v>
      </x:c>
      <x:c r="H119" s="37" t="str">
        <x:v>g</x:v>
      </x:c>
      <x:c r="I119" s="37" t="str">
        <x:v>THÙNG</x:v>
      </x:c>
      <x:c r="J119" s="59" t="n">
        <x:v>0</x:v>
      </x:c>
      <x:c r="K119" s="59" t="n">
        <x:v>410000</x:v>
      </x:c>
      <x:c r="L119" s="59" t="n">
        <x:v>0</x:v>
      </x:c>
      <x:c r="M119" s="37" t="str">
        <x:v>Khác</x:v>
      </x:c>
      <x:c r="N119" s="37" t="str">
        <x:v>CHƯA CÓ GIÁ LẺ</x:v>
      </x:c>
      <x:c r="O119" s="61" t="n">
        <x:v>0.522</x:v>
      </x:c>
      <x:c r="P119" s="37"/>
      <x:c r="Q119" s="30"/>
      <x:c r="R119" s="30"/>
      <x:c r="S119" s="30"/>
      <x:c r="T119" s="37"/>
      <x:c r="U119" s="59"/>
      <x:c r="V119" s="59"/>
      <x:c r="W119" s="117" t="n">
        <x:v>70000</x:v>
      </x:c>
      <x:c r="X119" s="59" t="str">
        <x:f>IFERROR(IF(OR($N119="ĐÃ GHÉP - AUTO",$N119="ĐÃ GHÉP - QUY TẮC"),IF($V119="","",IF($T119="THÙNG",$V119/$F119,$V119)),""),"")</x:f>
      </x:c>
      <x:c r="Y119" s="117" t="n">
        <x:f>IF(OR(W119="",F119=""),"",W119*F119)</x:f>
        <x:v>420000</x:v>
      </x:c>
      <x:c r="Z119" s="59" t="str">
        <x:f>IFERROR(IF(OR($N119="ĐÃ GHÉP - AUTO",$N119="ĐÃ GHÉP - QUY TẮC"),IF($V119="","",IF($T119="THÙNG",$V119,$V119*$F119)),""),"")</x:f>
      </x:c>
      <x:c r="AA119" s="28" t="n">
        <x:f>IFERROR(IF(OR($K119="",$K119=0,$Y119=""),"",($Y119-$K119)/$K119),"")</x:f>
        <x:v>0.024390243902439025</x:v>
      </x:c>
      <x:c r="AB119" s="37" t="str">
        <x:f>IFERROR(IF($N119="CẦN DUYỆT","DUYỆT MAP",IF($N119="CHƯA CÓ GIÁ LẺ","THIẾU GIÁ",IF(OR($K119="",$K119=0,$Y119=""),"OK",IF(ABS(($Y119-$K119)/$K119)&gt;0.15,"LỆCH GIÁ CŨ","OK")))),"OK")</x:f>
        <x:v>THIẾU GIÁ</x:v>
      </x:c>
      <x:c r="AC119" s="30" t="str">
        <x:v>ứng viên gần nhất=Sốt Gold  SÔ; score=0.522</x:v>
      </x:c>
      <x:c r="AD119" s="37" t="str">
        <x:v>TSCLNH</x:v>
      </x:c>
      <x:c r="AE119" s="38" t="str">
        <x:v>TSCLNHT</x:v>
      </x:c>
      <x:c r="AF119" s="123" t="n">
        <x:v>2600</x:v>
      </x:c>
      <x:c r="AG119" s="112" t="str">
        <x:v>g</x:v>
      </x:c>
      <x:c r="AH119" s="112" t="str">
        <x:v>HỘP</x:v>
      </x:c>
      <x:c r="AI119" s="112" t="str">
        <x:v>2600 g / HỘP</x:v>
      </x:c>
      <x:c r="AJ119" s="120" t="n">
        <x:v>70000</x:v>
      </x:c>
      <x:c r="AK119" s="120"/>
      <x:c r="AL119" s="120" t="n">
        <x:v>70000</x:v>
      </x:c>
      <x:c r="AM119" s="112" t="str">
        <x:v>BỔ SUNG GIÁ</x:v>
      </x:c>
      <x:c r="AN119" s="126" t="n">
        <x:v>266</x:v>
      </x:c>
      <x:c r="AO119" s="126" t="n">
        <x:v>267</x:v>
      </x:c>
      <x:c r="AP119" s="113" t="str">
        <x:v>6 HỘP / THÙNG</x:v>
      </x:c>
    </x:row>
    <x:row r="120">
      <x:c r="A120" s="71" t="str">
        <x:v>THẠCH MH NGŨ SẮC</x:v>
      </x:c>
      <x:c r="B120" s="30" t="str">
        <x:v>THẠCH MH NGŨ SẮC - THÙNG</x:v>
      </x:c>
      <x:c r="C120" s="37" t="str">
        <x:v>THNSMH</x:v>
      </x:c>
      <x:c r="D120" s="37" t="str">
        <x:v>THNSMHT</x:v>
      </x:c>
      <x:c r="E120" s="37" t="str">
        <x:v>THNSMHT</x:v>
      </x:c>
      <x:c r="F120" s="37" t="n">
        <x:v>6</x:v>
      </x:c>
      <x:c r="G120" s="37" t="n">
        <x:v>16000</x:v>
      </x:c>
      <x:c r="H120" s="37" t="str">
        <x:v>g</x:v>
      </x:c>
      <x:c r="I120" s="37" t="str">
        <x:v>THÙNG</x:v>
      </x:c>
      <x:c r="J120" s="59" t="n">
        <x:v>0</x:v>
      </x:c>
      <x:c r="K120" s="59" t="n">
        <x:v>0</x:v>
      </x:c>
      <x:c r="L120" s="59" t="n">
        <x:v>0</x:v>
      </x:c>
      <x:c r="M120" s="37" t="str">
        <x:v>Khác</x:v>
      </x:c>
      <x:c r="N120" s="37" t="str">
        <x:v>CHƯA CÓ GIÁ LẺ</x:v>
      </x:c>
      <x:c r="O120" s="61" t="n">
        <x:v>0.067</x:v>
      </x:c>
      <x:c r="P120" s="37"/>
      <x:c r="Q120" s="30"/>
      <x:c r="R120" s="30"/>
      <x:c r="S120" s="30"/>
      <x:c r="T120" s="37"/>
      <x:c r="U120" s="59"/>
      <x:c r="V120" s="59"/>
      <x:c r="W120" s="117" t="n">
        <x:v>45000</x:v>
      </x:c>
      <x:c r="X120" s="59" t="str">
        <x:f>IFERROR(IF(OR($N120="ĐÃ GHÉP - AUTO",$N120="ĐÃ GHÉP - QUY TẮC"),IF($V120="","",IF($T120="THÙNG",$V120/$F120,$V120)),""),"")</x:f>
      </x:c>
      <x:c r="Y120" s="117" t="n">
        <x:f>IF(OR(W120="",F120=""),"",W120*F120)</x:f>
        <x:v>270000</x:v>
      </x:c>
      <x:c r="Z120" s="59" t="str">
        <x:f>IFERROR(IF(OR($N120="ĐÃ GHÉP - AUTO",$N120="ĐÃ GHÉP - QUY TẮC"),IF($V120="","",IF($T120="THÙNG",$V120,$V120*$F120)),""),"")</x:f>
      </x:c>
      <x:c r="AA120" s="28" t="str">
        <x:f>IFERROR(IF(OR($K120="",$K120=0,$Y120=""),"",($Y120-$K120)/$K120),"")</x:f>
      </x:c>
      <x:c r="AB120" s="37" t="str">
        <x:f>IFERROR(IF($N120="CẦN DUYỆT","DUYỆT MAP",IF($N120="CHƯA CÓ GIÁ LẺ","THIẾU GIÁ",IF(OR($K120="",$K120=0,$Y120=""),"OK",IF(ABS(($Y120-$K120)/$K120)&gt;0.15,"LỆCH GIÁ CŨ","OK")))),"OK")</x:f>
        <x:v>THIẾU GIÁ</x:v>
      </x:c>
      <x:c r="AC120" s="30" t="str">
        <x:v>ứng viên gần nhất=Hạt Chia; score=0.067</x:v>
      </x:c>
      <x:c r="AD120" s="37" t="str">
        <x:v>THNSMH</x:v>
      </x:c>
      <x:c r="AE120" s="38" t="str">
        <x:v>THNSMHT</x:v>
      </x:c>
      <x:c r="AF120" s="123" t="n">
        <x:v>2600</x:v>
      </x:c>
      <x:c r="AG120" s="112" t="str">
        <x:v>g</x:v>
      </x:c>
      <x:c r="AH120" s="112" t="str">
        <x:v>HỦ</x:v>
      </x:c>
      <x:c r="AI120" s="112" t="str">
        <x:v>2600 g / HỦ</x:v>
      </x:c>
      <x:c r="AJ120" s="120" t="n">
        <x:v>45000</x:v>
      </x:c>
      <x:c r="AK120" s="120"/>
      <x:c r="AL120" s="120" t="n">
        <x:v>45000</x:v>
      </x:c>
      <x:c r="AM120" s="112" t="str">
        <x:v>BỔ SUNG GIÁ</x:v>
      </x:c>
      <x:c r="AN120" s="126" t="n">
        <x:v>268</x:v>
      </x:c>
      <x:c r="AO120" s="126" t="n">
        <x:v>269</x:v>
      </x:c>
      <x:c r="AP120" s="113" t="str">
        <x:v>6 HỦ / THÙNG</x:v>
      </x:c>
    </x:row>
    <x:row r="121">
      <x:c r="A121" s="71" t="str">
        <x:v>THẠCH MÔN NHUYỄN</x:v>
      </x:c>
      <x:c r="B121" s="30" t="str">
        <x:v>THẠCH MÔN NHUYỄN - THÙNG</x:v>
      </x:c>
      <x:c r="C121" s="37" t="str">
        <x:v>TMONNH</x:v>
      </x:c>
      <x:c r="D121" s="37" t="str">
        <x:v>TMONNHT</x:v>
      </x:c>
      <x:c r="E121" s="37" t="str">
        <x:v>TMONNHT</x:v>
      </x:c>
      <x:c r="F121" s="37" t="n">
        <x:v>6</x:v>
      </x:c>
      <x:c r="G121" s="37" t="n">
        <x:v>16000</x:v>
      </x:c>
      <x:c r="H121" s="37" t="str">
        <x:v>g</x:v>
      </x:c>
      <x:c r="I121" s="37" t="str">
        <x:v>THÙNG</x:v>
      </x:c>
      <x:c r="J121" s="59" t="n">
        <x:v>0</x:v>
      </x:c>
      <x:c r="K121" s="59" t="n">
        <x:v>410000</x:v>
      </x:c>
      <x:c r="L121" s="59" t="n">
        <x:v>0</x:v>
      </x:c>
      <x:c r="M121" s="37" t="str">
        <x:v>Khác</x:v>
      </x:c>
      <x:c r="N121" s="37" t="str">
        <x:v>CHƯA CÓ GIÁ LẺ</x:v>
      </x:c>
      <x:c r="O121" s="61" t="n">
        <x:v>0.511</x:v>
      </x:c>
      <x:c r="P121" s="37"/>
      <x:c r="Q121" s="30"/>
      <x:c r="R121" s="30"/>
      <x:c r="S121" s="30"/>
      <x:c r="T121" s="37"/>
      <x:c r="U121" s="59"/>
      <x:c r="V121" s="59"/>
      <x:c r="W121" s="117" t="n">
        <x:v>70000</x:v>
      </x:c>
      <x:c r="X121" s="59" t="str">
        <x:f>IFERROR(IF(OR($N121="ĐÃ GHÉP - AUTO",$N121="ĐÃ GHÉP - QUY TẮC"),IF($V121="","",IF($T121="THÙNG",$V121/$F121,$V121)),""),"")</x:f>
      </x:c>
      <x:c r="Y121" s="117" t="n">
        <x:f>IF(OR(W121="",F121=""),"",W121*F121)</x:f>
        <x:v>420000</x:v>
      </x:c>
      <x:c r="Z121" s="59" t="str">
        <x:f>IFERROR(IF(OR($N121="ĐÃ GHÉP - AUTO",$N121="ĐÃ GHÉP - QUY TẮC"),IF($V121="","",IF($T121="THÙNG",$V121,$V121*$F121)),""),"")</x:f>
      </x:c>
      <x:c r="AA121" s="28" t="n">
        <x:f>IFERROR(IF(OR($K121="",$K121=0,$Y121=""),"",($Y121-$K121)/$K121),"")</x:f>
        <x:v>0.024390243902439025</x:v>
      </x:c>
      <x:c r="AB121" s="37" t="str">
        <x:f>IFERROR(IF($N121="CẦN DUYỆT","DUYỆT MAP",IF($N121="CHƯA CÓ GIÁ LẺ","THIẾU GIÁ",IF(OR($K121="",$K121=0,$Y121=""),"OK",IF(ABS(($Y121-$K121)/$K121)&gt;0.15,"LỆCH GIÁ CŨ","OK")))),"OK")</x:f>
        <x:v>THIẾU GIÁ</x:v>
      </x:c>
      <x:c r="AC121" s="30" t="str">
        <x:v>ứng viên gần nhất=Sốt Gold  MÔN; score=0.511</x:v>
      </x:c>
      <x:c r="AD121" s="37" t="str">
        <x:v>TMONNH</x:v>
      </x:c>
      <x:c r="AE121" s="38" t="str">
        <x:v>TMONNHT</x:v>
      </x:c>
      <x:c r="AF121" s="123" t="n">
        <x:v>26</x:v>
      </x:c>
      <x:c r="AG121" s="112" t="str">
        <x:v>g</x:v>
      </x:c>
      <x:c r="AH121" s="112" t="str">
        <x:v>HỘP</x:v>
      </x:c>
      <x:c r="AI121" s="112" t="str">
        <x:v>26 g / HỘP</x:v>
      </x:c>
      <x:c r="AJ121" s="120" t="n">
        <x:v>70000</x:v>
      </x:c>
      <x:c r="AK121" s="120"/>
      <x:c r="AL121" s="120" t="n">
        <x:v>70000</x:v>
      </x:c>
      <x:c r="AM121" s="112" t="str">
        <x:v>BỔ SUNG GIÁ</x:v>
      </x:c>
      <x:c r="AN121" s="126" t="n">
        <x:v>270</x:v>
      </x:c>
      <x:c r="AO121" s="126" t="n">
        <x:v>271</x:v>
      </x:c>
      <x:c r="AP121" s="113" t="str">
        <x:v>6 HỘP / THÙNG</x:v>
      </x:c>
    </x:row>
    <x:row r="122">
      <x:c r="A122" s="71" t="str">
        <x:v>THẠCH MATCHA NHUYỄN</x:v>
      </x:c>
      <x:c r="B122" s="30" t="str">
        <x:v>THẠCH MATCHA NHUYỄN - THÙNG</x:v>
      </x:c>
      <x:c r="C122" s="37" t="str">
        <x:v>TMCHAN</x:v>
      </x:c>
      <x:c r="D122" s="37" t="str">
        <x:v>TMCHANT</x:v>
      </x:c>
      <x:c r="E122" s="37" t="str">
        <x:v>TMCHANT</x:v>
      </x:c>
      <x:c r="F122" s="37" t="n">
        <x:v>6</x:v>
      </x:c>
      <x:c r="G122" s="37" t="n">
        <x:v>16000</x:v>
      </x:c>
      <x:c r="H122" s="37" t="str">
        <x:v>g</x:v>
      </x:c>
      <x:c r="I122" s="37" t="str">
        <x:v>THÙNG</x:v>
      </x:c>
      <x:c r="J122" s="59" t="n">
        <x:v>0</x:v>
      </x:c>
      <x:c r="K122" s="59" t="n">
        <x:v>410000</x:v>
      </x:c>
      <x:c r="L122" s="59" t="n">
        <x:v>0</x:v>
      </x:c>
      <x:c r="M122" s="37" t="str">
        <x:v>Khác</x:v>
      </x:c>
      <x:c r="N122" s="37" t="str">
        <x:v>CHƯA CÓ GIÁ LẺ</x:v>
      </x:c>
      <x:c r="O122" s="61" t="n">
        <x:v>0.533</x:v>
      </x:c>
      <x:c r="P122" s="37"/>
      <x:c r="Q122" s="30"/>
      <x:c r="R122" s="30"/>
      <x:c r="S122" s="30"/>
      <x:c r="T122" s="37"/>
      <x:c r="U122" s="59"/>
      <x:c r="V122" s="59"/>
      <x:c r="W122" s="117" t="n">
        <x:v>70000</x:v>
      </x:c>
      <x:c r="X122" s="59" t="str">
        <x:f>IFERROR(IF(OR($N122="ĐÃ GHÉP - AUTO",$N122="ĐÃ GHÉP - QUY TẮC"),IF($V122="","",IF($T122="THÙNG",$V122/$F122,$V122)),""),"")</x:f>
      </x:c>
      <x:c r="Y122" s="117" t="n">
        <x:f>IF(OR(W122="",F122=""),"",W122*F122)</x:f>
        <x:v>420000</x:v>
      </x:c>
      <x:c r="Z122" s="59" t="str">
        <x:f>IFERROR(IF(OR($N122="ĐÃ GHÉP - AUTO",$N122="ĐÃ GHÉP - QUY TẮC"),IF($V122="","",IF($T122="THÙNG",$V122,$V122*$F122)),""),"")</x:f>
      </x:c>
      <x:c r="AA122" s="28" t="n">
        <x:f>IFERROR(IF(OR($K122="",$K122=0,$Y122=""),"",($Y122-$K122)/$K122),"")</x:f>
        <x:v>0.024390243902439025</x:v>
      </x:c>
      <x:c r="AB122" s="37" t="str">
        <x:f>IFERROR(IF($N122="CẦN DUYỆT","DUYỆT MAP",IF($N122="CHƯA CÓ GIÁ LẺ","THIẾU GIÁ",IF(OR($K122="",$K122=0,$Y122=""),"OK",IF(ABS(($Y122-$K122)/$K122)&gt;0.15,"LỆCH GIÁ CŨ","OK")))),"OK")</x:f>
        <x:v>THIẾU GIÁ</x:v>
      </x:c>
      <x:c r="AC122" s="30" t="str">
        <x:v>ứng viên gần nhất=Sốt Gold Matcha; score=0.533</x:v>
      </x:c>
      <x:c r="AD122" s="37" t="str">
        <x:v>TMCHAN</x:v>
      </x:c>
      <x:c r="AE122" s="38" t="str">
        <x:v>TMCHANT</x:v>
      </x:c>
      <x:c r="AF122" s="123" t="n">
        <x:v>0</x:v>
      </x:c>
      <x:c r="AG122" s="112" t="str">
        <x:v>g</x:v>
      </x:c>
      <x:c r="AH122" s="112" t="str">
        <x:v>HỘP</x:v>
      </x:c>
      <x:c r="AI122" s="112" t="str">
        <x:v>0 g / HỘP</x:v>
      </x:c>
      <x:c r="AJ122" s="120" t="n">
        <x:v>70000</x:v>
      </x:c>
      <x:c r="AK122" s="120"/>
      <x:c r="AL122" s="120" t="n">
        <x:v>70000</x:v>
      </x:c>
      <x:c r="AM122" s="112" t="str">
        <x:v>BỔ SUNG GIÁ</x:v>
      </x:c>
      <x:c r="AN122" s="126" t="n">
        <x:v>272</x:v>
      </x:c>
      <x:c r="AO122" s="126" t="n">
        <x:v>273</x:v>
      </x:c>
      <x:c r="AP122" s="113" t="str">
        <x:v>6 HỘP / THÙNG</x:v>
      </x:c>
    </x:row>
    <x:row r="123">
      <x:c r="A123" s="71" t="str">
        <x:v>THẠCH KIM CƯƠNG ĐÀO</x:v>
      </x:c>
      <x:c r="B123" s="30" t="str">
        <x:v>THẠCH KIM CƯƠNG ĐÀO - THÙNG</x:v>
      </x:c>
      <x:c r="C123" s="37" t="str">
        <x:v>TKCDAO</x:v>
      </x:c>
      <x:c r="D123" s="37" t="str">
        <x:v>TKCDAOT</x:v>
      </x:c>
      <x:c r="E123" s="37" t="str">
        <x:v>TKCDAOT</x:v>
      </x:c>
      <x:c r="F123" s="37" t="n">
        <x:v>6</x:v>
      </x:c>
      <x:c r="G123" s="37" t="n">
        <x:v>16000</x:v>
      </x:c>
      <x:c r="H123" s="37" t="str">
        <x:v>g</x:v>
      </x:c>
      <x:c r="I123" s="37" t="str">
        <x:v>THÙNG</x:v>
      </x:c>
      <x:c r="J123" s="59" t="n">
        <x:v>0</x:v>
      </x:c>
      <x:c r="K123" s="59" t="n">
        <x:v>410000</x:v>
      </x:c>
      <x:c r="L123" s="59" t="n">
        <x:v>0</x:v>
      </x:c>
      <x:c r="M123" s="37" t="str">
        <x:v>Khác</x:v>
      </x:c>
      <x:c r="N123" s="37" t="str">
        <x:v>CHƯA CÓ GIÁ LẺ</x:v>
      </x:c>
      <x:c r="O123" s="61" t="n">
        <x:v>0.425</x:v>
      </x:c>
      <x:c r="P123" s="37"/>
      <x:c r="Q123" s="30"/>
      <x:c r="R123" s="30"/>
      <x:c r="S123" s="30"/>
      <x:c r="T123" s="37"/>
      <x:c r="U123" s="59"/>
      <x:c r="V123" s="59"/>
      <x:c r="W123" s="117" t="n">
        <x:v>70000</x:v>
      </x:c>
      <x:c r="X123" s="59" t="str">
        <x:f>IFERROR(IF(OR($N123="ĐÃ GHÉP - AUTO",$N123="ĐÃ GHÉP - QUY TẮC"),IF($V123="","",IF($T123="THÙNG",$V123/$F123,$V123)),""),"")</x:f>
      </x:c>
      <x:c r="Y123" s="117" t="n">
        <x:f>IF(OR(W123="",F123=""),"",W123*F123)</x:f>
        <x:v>420000</x:v>
      </x:c>
      <x:c r="Z123" s="59" t="str">
        <x:f>IFERROR(IF(OR($N123="ĐÃ GHÉP - AUTO",$N123="ĐÃ GHÉP - QUY TẮC"),IF($V123="","",IF($T123="THÙNG",$V123,$V123*$F123)),""),"")</x:f>
      </x:c>
      <x:c r="AA123" s="28" t="n">
        <x:f>IFERROR(IF(OR($K123="",$K123=0,$Y123=""),"",($Y123-$K123)/$K123),"")</x:f>
        <x:v>0.024390243902439025</x:v>
      </x:c>
      <x:c r="AB123" s="37" t="str">
        <x:f>IFERROR(IF($N123="CẦN DUYỆT","DUYỆT MAP",IF($N123="CHƯA CÓ GIÁ LẺ","THIẾU GIÁ",IF(OR($K123="",$K123=0,$Y123=""),"OK",IF(ABS(($Y123-$K123)/$K123)&gt;0.15,"LỆCH GIÁ CŨ","OK")))),"OK")</x:f>
        <x:v>THIẾU GIÁ</x:v>
      </x:c>
      <x:c r="AC123" s="30" t="str">
        <x:v>ứng viên gần nhất=Kim chi; score=0.425</x:v>
      </x:c>
      <x:c r="AD123" s="37" t="str">
        <x:v>TKCDAO</x:v>
      </x:c>
      <x:c r="AE123" s="38" t="str">
        <x:v>TKCDAOT</x:v>
      </x:c>
      <x:c r="AF123" s="123" t="n">
        <x:v>2600</x:v>
      </x:c>
      <x:c r="AG123" s="112" t="str">
        <x:v>g</x:v>
      </x:c>
      <x:c r="AH123" s="112" t="str">
        <x:v>HỘP</x:v>
      </x:c>
      <x:c r="AI123" s="112" t="str">
        <x:v>2600 g / HỘP</x:v>
      </x:c>
      <x:c r="AJ123" s="120" t="n">
        <x:v>70000</x:v>
      </x:c>
      <x:c r="AK123" s="120"/>
      <x:c r="AL123" s="120" t="n">
        <x:v>70000</x:v>
      </x:c>
      <x:c r="AM123" s="112" t="str">
        <x:v>BỔ SUNG GIÁ</x:v>
      </x:c>
      <x:c r="AN123" s="126" t="n">
        <x:v>274</x:v>
      </x:c>
      <x:c r="AO123" s="126" t="n">
        <x:v>275</x:v>
      </x:c>
      <x:c r="AP123" s="113" t="str">
        <x:v>6 HỘP / THÙNG</x:v>
      </x:c>
    </x:row>
    <x:row r="124">
      <x:c r="A124" s="71" t="str">
        <x:v>THẠCH KIM CƯƠNG</x:v>
      </x:c>
      <x:c r="B124" s="30" t="str">
        <x:v>THẠCH KIM CƯƠNG - THÙNG</x:v>
      </x:c>
      <x:c r="C124" s="37" t="str">
        <x:v>THKC4M</x:v>
      </x:c>
      <x:c r="D124" s="37" t="str">
        <x:v>THKC4MT</x:v>
      </x:c>
      <x:c r="E124" s="37" t="str">
        <x:v>THKC4MT</x:v>
      </x:c>
      <x:c r="F124" s="37" t="n">
        <x:v>6</x:v>
      </x:c>
      <x:c r="G124" s="37" t="n">
        <x:v>16000</x:v>
      </x:c>
      <x:c r="H124" s="37" t="str">
        <x:v>g</x:v>
      </x:c>
      <x:c r="I124" s="37" t="str">
        <x:v>THÙNG</x:v>
      </x:c>
      <x:c r="J124" s="59" t="n">
        <x:v>0</x:v>
      </x:c>
      <x:c r="K124" s="59" t="n">
        <x:v>410000</x:v>
      </x:c>
      <x:c r="L124" s="59" t="n">
        <x:v>0</x:v>
      </x:c>
      <x:c r="M124" s="37" t="str">
        <x:v>Khác</x:v>
      </x:c>
      <x:c r="N124" s="37" t="str">
        <x:v>CHƯA CÓ GIÁ LẺ</x:v>
      </x:c>
      <x:c r="O124" s="61" t="n">
        <x:v>0.432</x:v>
      </x:c>
      <x:c r="P124" s="37"/>
      <x:c r="Q124" s="30"/>
      <x:c r="R124" s="30"/>
      <x:c r="S124" s="30"/>
      <x:c r="T124" s="37"/>
      <x:c r="U124" s="59"/>
      <x:c r="V124" s="59"/>
      <x:c r="W124" s="117" t="n">
        <x:v>70000</x:v>
      </x:c>
      <x:c r="X124" s="59" t="str">
        <x:f>IFERROR(IF(OR($N124="ĐÃ GHÉP - AUTO",$N124="ĐÃ GHÉP - QUY TẮC"),IF($V124="","",IF($T124="THÙNG",$V124/$F124,$V124)),""),"")</x:f>
      </x:c>
      <x:c r="Y124" s="117" t="n">
        <x:f>IF(OR(W124="",F124=""),"",W124*F124)</x:f>
        <x:v>420000</x:v>
      </x:c>
      <x:c r="Z124" s="59" t="str">
        <x:f>IFERROR(IF(OR($N124="ĐÃ GHÉP - AUTO",$N124="ĐÃ GHÉP - QUY TẮC"),IF($V124="","",IF($T124="THÙNG",$V124,$V124*$F124)),""),"")</x:f>
      </x:c>
      <x:c r="AA124" s="28" t="n">
        <x:f>IFERROR(IF(OR($K124="",$K124=0,$Y124=""),"",($Y124-$K124)/$K124),"")</x:f>
        <x:v>0.024390243902439025</x:v>
      </x:c>
      <x:c r="AB124" s="37" t="str">
        <x:f>IFERROR(IF($N124="CẦN DUYỆT","DUYỆT MAP",IF($N124="CHƯA CÓ GIÁ LẺ","THIẾU GIÁ",IF(OR($K124="",$K124=0,$Y124=""),"OK",IF(ABS(($Y124-$K124)/$K124)&gt;0.15,"LỆCH GIÁ CŨ","OK")))),"OK")</x:f>
        <x:v>THIẾU GIÁ</x:v>
      </x:c>
      <x:c r="AC124" s="30" t="str">
        <x:v>ứng viên gần nhất=Kim chi; score=0.432</x:v>
      </x:c>
      <x:c r="AD124" s="37" t="str">
        <x:v>THKC4M</x:v>
      </x:c>
      <x:c r="AE124" s="38" t="str">
        <x:v>THKC4MT</x:v>
      </x:c>
      <x:c r="AF124" s="123" t="n">
        <x:v>2600</x:v>
      </x:c>
      <x:c r="AG124" s="112" t="str">
        <x:v>g</x:v>
      </x:c>
      <x:c r="AH124" s="112" t="str">
        <x:v>HỘP</x:v>
      </x:c>
      <x:c r="AI124" s="112" t="str">
        <x:v>2600 g / HỘP</x:v>
      </x:c>
      <x:c r="AJ124" s="120" t="n">
        <x:v>70000</x:v>
      </x:c>
      <x:c r="AK124" s="120"/>
      <x:c r="AL124" s="120" t="n">
        <x:v>70000</x:v>
      </x:c>
      <x:c r="AM124" s="112" t="str">
        <x:v>BỔ SUNG GIÁ</x:v>
      </x:c>
      <x:c r="AN124" s="126" t="n">
        <x:v>276</x:v>
      </x:c>
      <x:c r="AO124" s="126" t="n">
        <x:v>277</x:v>
      </x:c>
      <x:c r="AP124" s="113" t="str">
        <x:v>6 HỘP / THÙNG</x:v>
      </x:c>
    </x:row>
    <x:row r="125">
      <x:c r="A125" s="71" t="str">
        <x:v>THẠCH DX DỪA VẢI</x:v>
      </x:c>
      <x:c r="B125" s="30" t="str">
        <x:v>THẠCH DX DỪA VẢI - THÙNG</x:v>
      </x:c>
      <x:c r="C125" s="37" t="str">
        <x:v>TDUVAI</x:v>
      </x:c>
      <x:c r="D125" s="37" t="str">
        <x:v>TDUVAIT</x:v>
      </x:c>
      <x:c r="E125" s="37" t="str">
        <x:v>TDUVAIT</x:v>
      </x:c>
      <x:c r="F125" s="37" t="n">
        <x:v>6</x:v>
      </x:c>
      <x:c r="G125" s="37" t="n">
        <x:v>16000</x:v>
      </x:c>
      <x:c r="H125" s="37" t="str">
        <x:v>g</x:v>
      </x:c>
      <x:c r="I125" s="37" t="str">
        <x:v>THÙNG</x:v>
      </x:c>
      <x:c r="J125" s="59" t="n">
        <x:v>0</x:v>
      </x:c>
      <x:c r="K125" s="59" t="n">
        <x:v>410000</x:v>
      </x:c>
      <x:c r="L125" s="59" t="n">
        <x:v>0</x:v>
      </x:c>
      <x:c r="M125" s="37" t="str">
        <x:v>Khác</x:v>
      </x:c>
      <x:c r="N125" s="37" t="str">
        <x:v>CHƯA CÓ GIÁ LẺ</x:v>
      </x:c>
      <x:c r="O125" s="61" t="n">
        <x:v>0.432</x:v>
      </x:c>
      <x:c r="P125" s="37"/>
      <x:c r="Q125" s="30"/>
      <x:c r="R125" s="30"/>
      <x:c r="S125" s="30"/>
      <x:c r="T125" s="37"/>
      <x:c r="U125" s="59"/>
      <x:c r="V125" s="59"/>
      <x:c r="W125" s="117" t="n">
        <x:v>70000</x:v>
      </x:c>
      <x:c r="X125" s="59" t="str">
        <x:f>IFERROR(IF(OR($N125="ĐÃ GHÉP - AUTO",$N125="ĐÃ GHÉP - QUY TẮC"),IF($V125="","",IF($T125="THÙNG",$V125/$F125,$V125)),""),"")</x:f>
      </x:c>
      <x:c r="Y125" s="117" t="n">
        <x:f>IF(OR(W125="",F125=""),"",W125*F125)</x:f>
        <x:v>420000</x:v>
      </x:c>
      <x:c r="Z125" s="59" t="str">
        <x:f>IFERROR(IF(OR($N125="ĐÃ GHÉP - AUTO",$N125="ĐÃ GHÉP - QUY TẮC"),IF($V125="","",IF($T125="THÙNG",$V125,$V125*$F125)),""),"")</x:f>
      </x:c>
      <x:c r="AA125" s="28" t="n">
        <x:f>IFERROR(IF(OR($K125="",$K125=0,$Y125=""),"",($Y125-$K125)/$K125),"")</x:f>
        <x:v>0.024390243902439025</x:v>
      </x:c>
      <x:c r="AB125" s="37" t="str">
        <x:f>IFERROR(IF($N125="CẦN DUYỆT","DUYỆT MAP",IF($N125="CHƯA CÓ GIÁ LẺ","THIẾU GIÁ",IF(OR($K125="",$K125=0,$Y125=""),"OK",IF(ABS(($Y125-$K125)/$K125)&gt;0.15,"LỆCH GIÁ CŨ","OK")))),"OK")</x:f>
        <x:v>THIẾU GIÁ</x:v>
      </x:c>
      <x:c r="AC125" s="30" t="str">
        <x:v>ứng viên gần nhất=PLAN MOLE DƯA; score=0.432</x:v>
      </x:c>
      <x:c r="AD125" s="37" t="str">
        <x:v>TDUVAI</x:v>
      </x:c>
      <x:c r="AE125" s="38" t="str">
        <x:v>TDUVAIT</x:v>
      </x:c>
      <x:c r="AF125" s="123" t="n">
        <x:v>2600</x:v>
      </x:c>
      <x:c r="AG125" s="112" t="str">
        <x:v>g</x:v>
      </x:c>
      <x:c r="AH125" s="112" t="str">
        <x:v>HỘP</x:v>
      </x:c>
      <x:c r="AI125" s="112" t="str">
        <x:v>2600 g / HỘP</x:v>
      </x:c>
      <x:c r="AJ125" s="120" t="n">
        <x:v>70000</x:v>
      </x:c>
      <x:c r="AK125" s="120"/>
      <x:c r="AL125" s="120" t="n">
        <x:v>70000</x:v>
      </x:c>
      <x:c r="AM125" s="112" t="str">
        <x:v>BỔ SUNG GIÁ</x:v>
      </x:c>
      <x:c r="AN125" s="126" t="n">
        <x:v>278</x:v>
      </x:c>
      <x:c r="AO125" s="126" t="n">
        <x:v>279</x:v>
      </x:c>
      <x:c r="AP125" s="113" t="str">
        <x:v>6 HỘP / THÙNG</x:v>
      </x:c>
    </x:row>
    <x:row r="126">
      <x:c r="A126" s="71" t="str">
        <x:v>THẠCH MH DỪA TÁO</x:v>
      </x:c>
      <x:c r="B126" s="30" t="str">
        <x:v>THẠCH MH DỪA TÁO - THÙNG</x:v>
      </x:c>
      <x:c r="C126" s="37" t="str">
        <x:v>TDTAMH</x:v>
      </x:c>
      <x:c r="D126" s="37" t="str">
        <x:v>TDTAMHT</x:v>
      </x:c>
      <x:c r="E126" s="37" t="str">
        <x:v>TDTAMHT</x:v>
      </x:c>
      <x:c r="F126" s="37" t="n">
        <x:v>8</x:v>
      </x:c>
      <x:c r="G126" s="37" t="n">
        <x:v>21000</x:v>
      </x:c>
      <x:c r="H126" s="37" t="str">
        <x:v>g</x:v>
      </x:c>
      <x:c r="I126" s="37" t="str">
        <x:v>THÙNG</x:v>
      </x:c>
      <x:c r="J126" s="59" t="n">
        <x:v>0</x:v>
      </x:c>
      <x:c r="K126" s="59" t="n">
        <x:v>0</x:v>
      </x:c>
      <x:c r="L126" s="59" t="n">
        <x:v>0</x:v>
      </x:c>
      <x:c r="M126" s="37" t="str">
        <x:v>Khác</x:v>
      </x:c>
      <x:c r="N126" s="37" t="str">
        <x:v>CHƯA CÓ GIÁ LẺ</x:v>
      </x:c>
      <x:c r="O126" s="61" t="n">
        <x:v>0.47</x:v>
      </x:c>
      <x:c r="P126" s="37"/>
      <x:c r="Q126" s="30"/>
      <x:c r="R126" s="30"/>
      <x:c r="S126" s="30"/>
      <x:c r="T126" s="37"/>
      <x:c r="U126" s="59"/>
      <x:c r="V126" s="59"/>
      <x:c r="W126" s="117" t="n">
        <x:v>38000</x:v>
      </x:c>
      <x:c r="X126" s="59" t="str">
        <x:f>IFERROR(IF(OR($N126="ĐÃ GHÉP - AUTO",$N126="ĐÃ GHÉP - QUY TẮC"),IF($V126="","",IF($T126="THÙNG",$V126/$F126,$V126)),""),"")</x:f>
      </x:c>
      <x:c r="Y126" s="117" t="n">
        <x:f>IF(OR(W126="",F126=""),"",W126*F126)</x:f>
        <x:v>304000</x:v>
      </x:c>
      <x:c r="Z126" s="59" t="str">
        <x:f>IFERROR(IF(OR($N126="ĐÃ GHÉP - AUTO",$N126="ĐÃ GHÉP - QUY TẮC"),IF($V126="","",IF($T126="THÙNG",$V126,$V126*$F126)),""),"")</x:f>
      </x:c>
      <x:c r="AA126" s="28" t="str">
        <x:f>IFERROR(IF(OR($K126="",$K126=0,$Y126=""),"",($Y126-$K126)/$K126),"")</x:f>
      </x:c>
      <x:c r="AB126" s="37" t="str">
        <x:f>IFERROR(IF($N126="CẦN DUYỆT","DUYỆT MAP",IF($N126="CHƯA CÓ GIÁ LẺ","THIẾU GIÁ",IF(OR($K126="",$K126=0,$Y126=""),"OK",IF(ABS(($Y126-$K126)/$K126)&gt;0.15,"LỆCH GIÁ CŨ","OK")))),"OK")</x:f>
        <x:v>THIẾU GIÁ</x:v>
      </x:c>
      <x:c r="AC126" s="30" t="str">
        <x:v>ứng viên gần nhất=Giấm Táo; score=0.470</x:v>
      </x:c>
      <x:c r="AD126" s="37" t="str">
        <x:v>TDTAMH</x:v>
      </x:c>
      <x:c r="AE126" s="38" t="str">
        <x:v>TDTAMHT</x:v>
      </x:c>
      <x:c r="AF126" s="123" t="n">
        <x:v>2.5</x:v>
      </x:c>
      <x:c r="AG126" s="112" t="str">
        <x:v>kg</x:v>
      </x:c>
      <x:c r="AH126" s="112" t="str">
        <x:v>HỦ</x:v>
      </x:c>
      <x:c r="AI126" s="112" t="str">
        <x:v>2.5 kg / HỦ</x:v>
      </x:c>
      <x:c r="AJ126" s="120" t="n">
        <x:v>38000</x:v>
      </x:c>
      <x:c r="AK126" s="120"/>
      <x:c r="AL126" s="120" t="n">
        <x:v>38000</x:v>
      </x:c>
      <x:c r="AM126" s="112" t="str">
        <x:v>BỔ SUNG GIÁ</x:v>
      </x:c>
      <x:c r="AN126" s="126" t="n">
        <x:v>280</x:v>
      </x:c>
      <x:c r="AO126" s="126" t="n">
        <x:v>281</x:v>
      </x:c>
      <x:c r="AP126" s="113" t="str">
        <x:v>8 HỦ / THÙNG</x:v>
      </x:c>
    </x:row>
    <x:row r="127">
      <x:c r="A127" s="71" t="str">
        <x:v>THẠCH DX DỪA TÁO</x:v>
      </x:c>
      <x:c r="B127" s="30" t="str">
        <x:v>THẠCH DX DỪA TÁO - THÙNG</x:v>
      </x:c>
      <x:c r="C127" s="37" t="str">
        <x:v>TDUTAO</x:v>
      </x:c>
      <x:c r="D127" s="37" t="str">
        <x:v>TDUTAOT</x:v>
      </x:c>
      <x:c r="E127" s="37" t="str">
        <x:v>TDUTAOT</x:v>
      </x:c>
      <x:c r="F127" s="37" t="n">
        <x:v>6</x:v>
      </x:c>
      <x:c r="G127" s="37" t="n">
        <x:v>16000</x:v>
      </x:c>
      <x:c r="H127" s="37" t="str">
        <x:v>g</x:v>
      </x:c>
      <x:c r="I127" s="37" t="str">
        <x:v>THÙNG</x:v>
      </x:c>
      <x:c r="J127" s="59" t="n">
        <x:v>0</x:v>
      </x:c>
      <x:c r="K127" s="59" t="n">
        <x:v>410000</x:v>
      </x:c>
      <x:c r="L127" s="59" t="n">
        <x:v>0</x:v>
      </x:c>
      <x:c r="M127" s="37" t="str">
        <x:v>Khác</x:v>
      </x:c>
      <x:c r="N127" s="37" t="str">
        <x:v>CHƯA CÓ GIÁ LẺ</x:v>
      </x:c>
      <x:c r="O127" s="61" t="n">
        <x:v>0.557</x:v>
      </x:c>
      <x:c r="P127" s="37"/>
      <x:c r="Q127" s="30"/>
      <x:c r="R127" s="30"/>
      <x:c r="S127" s="30"/>
      <x:c r="T127" s="37"/>
      <x:c r="U127" s="59"/>
      <x:c r="V127" s="59"/>
      <x:c r="W127" s="117" t="n">
        <x:v>70000</x:v>
      </x:c>
      <x:c r="X127" s="59" t="str">
        <x:f>IFERROR(IF(OR($N127="ĐÃ GHÉP - AUTO",$N127="ĐÃ GHÉP - QUY TẮC"),IF($V127="","",IF($T127="THÙNG",$V127/$F127,$V127)),""),"")</x:f>
      </x:c>
      <x:c r="Y127" s="117" t="n">
        <x:f>IF(OR(W127="",F127=""),"",W127*F127)</x:f>
        <x:v>420000</x:v>
      </x:c>
      <x:c r="Z127" s="59" t="str">
        <x:f>IFERROR(IF(OR($N127="ĐÃ GHÉP - AUTO",$N127="ĐÃ GHÉP - QUY TẮC"),IF($V127="","",IF($T127="THÙNG",$V127,$V127*$F127)),""),"")</x:f>
      </x:c>
      <x:c r="AA127" s="28" t="n">
        <x:f>IFERROR(IF(OR($K127="",$K127=0,$Y127=""),"",($Y127-$K127)/$K127),"")</x:f>
        <x:v>0.024390243902439025</x:v>
      </x:c>
      <x:c r="AB127" s="37" t="str">
        <x:f>IFERROR(IF($N127="CẦN DUYỆT","DUYỆT MAP",IF($N127="CHƯA CÓ GIÁ LẺ","THIẾU GIÁ",IF(OR($K127="",$K127=0,$Y127=""),"OK",IF(ABS(($Y127-$K127)/$K127)&gt;0.15,"LỆCH GIÁ CŨ","OK")))),"OK")</x:f>
        <x:v>THIẾU GIÁ</x:v>
      </x:c>
      <x:c r="AC127" s="30" t="str">
        <x:v>ứng viên gần nhất=Giấm Táo; score=0.557</x:v>
      </x:c>
      <x:c r="AD127" s="37" t="str">
        <x:v>TDUTAO</x:v>
      </x:c>
      <x:c r="AE127" s="38" t="str">
        <x:v>TDUTAOT</x:v>
      </x:c>
      <x:c r="AF127" s="123" t="n">
        <x:v>26</x:v>
      </x:c>
      <x:c r="AG127" s="112" t="str">
        <x:v>g</x:v>
      </x:c>
      <x:c r="AH127" s="112" t="str">
        <x:v>HỘP</x:v>
      </x:c>
      <x:c r="AI127" s="112" t="str">
        <x:v>26 g / HỘP</x:v>
      </x:c>
      <x:c r="AJ127" s="120" t="n">
        <x:v>70000</x:v>
      </x:c>
      <x:c r="AK127" s="120"/>
      <x:c r="AL127" s="120" t="n">
        <x:v>70000</x:v>
      </x:c>
      <x:c r="AM127" s="112" t="str">
        <x:v>BỔ SUNG GIÁ</x:v>
      </x:c>
      <x:c r="AN127" s="126" t="n">
        <x:v>282</x:v>
      </x:c>
      <x:c r="AO127" s="126" t="n">
        <x:v>283</x:v>
      </x:c>
      <x:c r="AP127" s="113" t="str">
        <x:v>6 HỘP / THÙNG</x:v>
      </x:c>
    </x:row>
    <x:row r="128">
      <x:c r="A128" s="71" t="str">
        <x:v>THẠCH DỪA SỢI LOTUS</x:v>
      </x:c>
      <x:c r="B128" s="30" t="str">
        <x:v>THẠCH DỪA SỢI LOTUS - THÙNG</x:v>
      </x:c>
      <x:c r="C128" s="37" t="str">
        <x:v>TDSLOT</x:v>
      </x:c>
      <x:c r="D128" s="37" t="str">
        <x:v>TDSLOTT</x:v>
      </x:c>
      <x:c r="E128" s="37" t="str">
        <x:v>TDSLOTT</x:v>
      </x:c>
      <x:c r="F128" s="37" t="n">
        <x:v>10</x:v>
      </x:c>
      <x:c r="G128" s="37" t="n">
        <x:v>0</x:v>
      </x:c>
      <x:c r="H128" s="37" t="str">
        <x:v>g</x:v>
      </x:c>
      <x:c r="I128" s="37" t="str">
        <x:v>THÙNG</x:v>
      </x:c>
      <x:c r="J128" s="59" t="n">
        <x:v>0</x:v>
      </x:c>
      <x:c r="K128" s="59" t="n">
        <x:v>260000</x:v>
      </x:c>
      <x:c r="L128" s="59" t="n">
        <x:v>0</x:v>
      </x:c>
      <x:c r="M128" s="37" t="str">
        <x:v>Khác</x:v>
      </x:c>
      <x:c r="N128" s="37" t="str">
        <x:v>CHƯA CÓ GIÁ LẺ</x:v>
      </x:c>
      <x:c r="O128" s="61" t="n">
        <x:v>0.432</x:v>
      </x:c>
      <x:c r="P128" s="37"/>
      <x:c r="Q128" s="30"/>
      <x:c r="R128" s="30"/>
      <x:c r="S128" s="30"/>
      <x:c r="T128" s="37"/>
      <x:c r="U128" s="59"/>
      <x:c r="V128" s="59"/>
      <x:c r="W128" s="117" t="n">
        <x:v>27000</x:v>
      </x:c>
      <x:c r="X128" s="59" t="str">
        <x:f>IFERROR(IF(OR($N128="ĐÃ GHÉP - AUTO",$N128="ĐÃ GHÉP - QUY TẮC"),IF($V128="","",IF($T128="THÙNG",$V128/$F128,$V128)),""),"")</x:f>
      </x:c>
      <x:c r="Y128" s="117" t="n">
        <x:f>IF(OR(W128="",F128=""),"",W128*F128)</x:f>
        <x:v>270000</x:v>
      </x:c>
      <x:c r="Z128" s="59" t="str">
        <x:f>IFERROR(IF(OR($N128="ĐÃ GHÉP - AUTO",$N128="ĐÃ GHÉP - QUY TẮC"),IF($V128="","",IF($T128="THÙNG",$V128,$V128*$F128)),""),"")</x:f>
      </x:c>
      <x:c r="AA128" s="28" t="n">
        <x:f>IFERROR(IF(OR($K128="",$K128=0,$Y128=""),"",($Y128-$K128)/$K128),"")</x:f>
        <x:v>0.038461538461538464</x:v>
      </x:c>
      <x:c r="AB128" s="37" t="str">
        <x:f>IFERROR(IF($N128="CẦN DUYỆT","DUYỆT MAP",IF($N128="CHƯA CÓ GIÁ LẺ","THIẾU GIÁ",IF(OR($K128="",$K128=0,$Y128=""),"OK",IF(ABS(($Y128-$K128)/$K128)&gt;0.15,"LỆCH GIÁ CŨ","OK")))),"OK")</x:f>
        <x:v>THIẾU GIÁ</x:v>
      </x:c>
      <x:c r="AC128" s="30" t="str">
        <x:v>ứng viên gần nhất=PLAN MOLE DƯA; score=0.432</x:v>
      </x:c>
      <x:c r="AD128" s="37" t="str">
        <x:v>TDSLOT</x:v>
      </x:c>
      <x:c r="AE128" s="38" t="str">
        <x:v>TDSLOTT</x:v>
      </x:c>
      <x:c r="AF128" s="123" t="n">
        <x:v>0</x:v>
      </x:c>
      <x:c r="AG128" s="112" t="str">
        <x:v>g</x:v>
      </x:c>
      <x:c r="AH128" s="112" t="str">
        <x:v>GÓI</x:v>
      </x:c>
      <x:c r="AI128" s="112" t="str">
        <x:v>0 g / GÓI</x:v>
      </x:c>
      <x:c r="AJ128" s="120" t="n">
        <x:v>27000</x:v>
      </x:c>
      <x:c r="AK128" s="120"/>
      <x:c r="AL128" s="120" t="n">
        <x:v>27000</x:v>
      </x:c>
      <x:c r="AM128" s="112" t="str">
        <x:v>BỔ SUNG GIÁ</x:v>
      </x:c>
      <x:c r="AN128" s="126" t="n">
        <x:v>284</x:v>
      </x:c>
      <x:c r="AO128" s="126" t="n">
        <x:v>285</x:v>
      </x:c>
      <x:c r="AP128" s="113" t="str">
        <x:v>10 GÓI / THÙNG</x:v>
      </x:c>
    </x:row>
    <x:row r="129">
      <x:c r="A129" s="71" t="str">
        <x:v>THẠCH DỪA NGUYÊN VỊ</x:v>
      </x:c>
      <x:c r="B129" s="30" t="str">
        <x:v>THẠCH DỪA NGUYÊN VỊ - THÙNG</x:v>
      </x:c>
      <x:c r="C129" s="37" t="str">
        <x:v>TDUANV</x:v>
      </x:c>
      <x:c r="D129" s="37" t="str">
        <x:v>TDUANVT</x:v>
      </x:c>
      <x:c r="E129" s="37" t="str">
        <x:v>TDUANVT</x:v>
      </x:c>
      <x:c r="F129" s="37" t="n">
        <x:v>6</x:v>
      </x:c>
      <x:c r="G129" s="37" t="n">
        <x:v>16000</x:v>
      </x:c>
      <x:c r="H129" s="37" t="str">
        <x:v>g</x:v>
      </x:c>
      <x:c r="I129" s="37" t="str">
        <x:v>THÙNG</x:v>
      </x:c>
      <x:c r="J129" s="59" t="n">
        <x:v>0</x:v>
      </x:c>
      <x:c r="K129" s="59" t="n">
        <x:v>0</x:v>
      </x:c>
      <x:c r="L129" s="59" t="n">
        <x:v>0</x:v>
      </x:c>
      <x:c r="M129" s="37" t="str">
        <x:v>Khác</x:v>
      </x:c>
      <x:c r="N129" s="37" t="str">
        <x:v>CHƯA CÓ GIÁ LẺ</x:v>
      </x:c>
      <x:c r="O129" s="61" t="n">
        <x:v>0.471</x:v>
      </x:c>
      <x:c r="P129" s="37"/>
      <x:c r="Q129" s="30"/>
      <x:c r="R129" s="30"/>
      <x:c r="S129" s="30"/>
      <x:c r="T129" s="37"/>
      <x:c r="U129" s="59"/>
      <x:c r="V129" s="59"/>
      <x:c r="W129" s="117" t="n">
        <x:v>70000</x:v>
      </x:c>
      <x:c r="X129" s="59" t="str">
        <x:f>IFERROR(IF(OR($N129="ĐÃ GHÉP - AUTO",$N129="ĐÃ GHÉP - QUY TẮC"),IF($V129="","",IF($T129="THÙNG",$V129/$F129,$V129)),""),"")</x:f>
      </x:c>
      <x:c r="Y129" s="117" t="n">
        <x:f>IF(OR(W129="",F129=""),"",W129*F129)</x:f>
        <x:v>420000</x:v>
      </x:c>
      <x:c r="Z129" s="59" t="str">
        <x:f>IFERROR(IF(OR($N129="ĐÃ GHÉP - AUTO",$N129="ĐÃ GHÉP - QUY TẮC"),IF($V129="","",IF($T129="THÙNG",$V129,$V129*$F129)),""),"")</x:f>
      </x:c>
      <x:c r="AA129" s="28" t="str">
        <x:f>IFERROR(IF(OR($K129="",$K129=0,$Y129=""),"",($Y129-$K129)/$K129),"")</x:f>
      </x:c>
      <x:c r="AB129" s="37" t="str">
        <x:f>IFERROR(IF($N129="CẦN DUYỆT","DUYỆT MAP",IF($N129="CHƯA CÓ GIÁ LẺ","THIẾU GIÁ",IF(OR($K129="",$K129=0,$Y129=""),"OK",IF(ABS(($Y129-$K129)/$K129)&gt;0.15,"LỆCH GIÁ CŨ","OK")))),"OK")</x:f>
        <x:v>THIẾU GIÁ</x:v>
      </x:c>
      <x:c r="AC129" s="30" t="str">
        <x:v>ứng viên gần nhất=PLAN MOLE DƯA; score=0.471</x:v>
      </x:c>
      <x:c r="AD129" s="37" t="str">
        <x:v>TDUANV</x:v>
      </x:c>
      <x:c r="AE129" s="38" t="str">
        <x:v>TDUANVT</x:v>
      </x:c>
      <x:c r="AF129" s="123" t="n">
        <x:v>0</x:v>
      </x:c>
      <x:c r="AG129" s="112" t="str">
        <x:v>g</x:v>
      </x:c>
      <x:c r="AH129" s="112" t="str">
        <x:v>HỘP</x:v>
      </x:c>
      <x:c r="AI129" s="112" t="str">
        <x:v>0 g / HỘP</x:v>
      </x:c>
      <x:c r="AJ129" s="120" t="n">
        <x:v>70000</x:v>
      </x:c>
      <x:c r="AK129" s="120"/>
      <x:c r="AL129" s="120" t="n">
        <x:v>70000</x:v>
      </x:c>
      <x:c r="AM129" s="112" t="str">
        <x:v>BỔ SUNG GIÁ</x:v>
      </x:c>
      <x:c r="AN129" s="126" t="n">
        <x:v>286</x:v>
      </x:c>
      <x:c r="AO129" s="126" t="n">
        <x:v>287</x:v>
      </x:c>
      <x:c r="AP129" s="113" t="str">
        <x:v>6 HỘP / THÙNG</x:v>
      </x:c>
    </x:row>
    <x:row r="130">
      <x:c r="A130" s="71" t="str">
        <x:v>THẠCH MH DỪA MÔN</x:v>
      </x:c>
      <x:c r="B130" s="30" t="str">
        <x:v>THẠCH MH DỪA MÔN - THÙNG</x:v>
      </x:c>
      <x:c r="C130" s="37" t="str">
        <x:v>TDMOMH</x:v>
      </x:c>
      <x:c r="D130" s="37" t="str">
        <x:v>TDMOMHT</x:v>
      </x:c>
      <x:c r="E130" s="37" t="str">
        <x:v>TDMOMHT</x:v>
      </x:c>
      <x:c r="F130" s="37" t="n">
        <x:v>8</x:v>
      </x:c>
      <x:c r="G130" s="37" t="n">
        <x:v>21000</x:v>
      </x:c>
      <x:c r="H130" s="37" t="str">
        <x:v>g</x:v>
      </x:c>
      <x:c r="I130" s="37" t="str">
        <x:v>THÙNG</x:v>
      </x:c>
      <x:c r="J130" s="59" t="n">
        <x:v>0</x:v>
      </x:c>
      <x:c r="K130" s="59" t="n">
        <x:v>0</x:v>
      </x:c>
      <x:c r="L130" s="59" t="n">
        <x:v>0</x:v>
      </x:c>
      <x:c r="M130" s="37" t="str">
        <x:v>Khác</x:v>
      </x:c>
      <x:c r="N130" s="37" t="str">
        <x:v>CHƯA CÓ GIÁ LẺ</x:v>
      </x:c>
      <x:c r="O130" s="61" t="n">
        <x:v>0.481</x:v>
      </x:c>
      <x:c r="P130" s="37"/>
      <x:c r="Q130" s="30"/>
      <x:c r="R130" s="30"/>
      <x:c r="S130" s="30"/>
      <x:c r="T130" s="37"/>
      <x:c r="U130" s="59"/>
      <x:c r="V130" s="59"/>
      <x:c r="W130" s="117" t="n">
        <x:v>38000</x:v>
      </x:c>
      <x:c r="X130" s="59" t="str">
        <x:f>IFERROR(IF(OR($N130="ĐÃ GHÉP - AUTO",$N130="ĐÃ GHÉP - QUY TẮC"),IF($V130="","",IF($T130="THÙNG",$V130/$F130,$V130)),""),"")</x:f>
      </x:c>
      <x:c r="Y130" s="117" t="n">
        <x:f>IF(OR(W130="",F130=""),"",W130*F130)</x:f>
        <x:v>304000</x:v>
      </x:c>
      <x:c r="Z130" s="59" t="str">
        <x:f>IFERROR(IF(OR($N130="ĐÃ GHÉP - AUTO",$N130="ĐÃ GHÉP - QUY TẮC"),IF($V130="","",IF($T130="THÙNG",$V130,$V130*$F130)),""),"")</x:f>
      </x:c>
      <x:c r="AA130" s="28" t="str">
        <x:f>IFERROR(IF(OR($K130="",$K130=0,$Y130=""),"",($Y130-$K130)/$K130),"")</x:f>
      </x:c>
      <x:c r="AB130" s="37" t="str">
        <x:f>IFERROR(IF($N130="CẦN DUYỆT","DUYỆT MAP",IF($N130="CHƯA CÓ GIÁ LẺ","THIẾU GIÁ",IF(OR($K130="",$K130=0,$Y130=""),"OK",IF(ABS(($Y130-$K130)/$K130)&gt;0.15,"LỆCH GIÁ CŨ","OK")))),"OK")</x:f>
        <x:v>THIẾU GIÁ</x:v>
      </x:c>
      <x:c r="AC130" s="30" t="str">
        <x:v>ứng viên gần nhất=Sốt Gold  MÔN; score=0.481</x:v>
      </x:c>
      <x:c r="AD130" s="37" t="str">
        <x:v>TDMOMH</x:v>
      </x:c>
      <x:c r="AE130" s="38" t="str">
        <x:v>TDMOMHT</x:v>
      </x:c>
      <x:c r="AF130" s="123" t="n">
        <x:v>2500</x:v>
      </x:c>
      <x:c r="AG130" s="112" t="str">
        <x:v>g</x:v>
      </x:c>
      <x:c r="AH130" s="112" t="str">
        <x:v>HỦ</x:v>
      </x:c>
      <x:c r="AI130" s="112" t="str">
        <x:v>2500 g / HỦ</x:v>
      </x:c>
      <x:c r="AJ130" s="120" t="n">
        <x:v>38000</x:v>
      </x:c>
      <x:c r="AK130" s="120"/>
      <x:c r="AL130" s="120" t="n">
        <x:v>38000</x:v>
      </x:c>
      <x:c r="AM130" s="112" t="str">
        <x:v>BỔ SUNG GIÁ</x:v>
      </x:c>
      <x:c r="AN130" s="126" t="n">
        <x:v>288</x:v>
      </x:c>
      <x:c r="AO130" s="126" t="n">
        <x:v>289</x:v>
      </x:c>
      <x:c r="AP130" s="113" t="str">
        <x:v>8 HỦ / THÙNG</x:v>
      </x:c>
    </x:row>
    <x:row r="131">
      <x:c r="A131" s="71" t="str">
        <x:v>THẠCH DX DỪA MÔN</x:v>
      </x:c>
      <x:c r="B131" s="30" t="str">
        <x:v>THẠCH DX DỪA MÔN - THÙNG</x:v>
      </x:c>
      <x:c r="C131" s="37" t="str">
        <x:v>TDUMON</x:v>
      </x:c>
      <x:c r="D131" s="37" t="str">
        <x:v>TDUMONT</x:v>
      </x:c>
      <x:c r="E131" s="37" t="str">
        <x:v>TDUMONT</x:v>
      </x:c>
      <x:c r="F131" s="37" t="n">
        <x:v>6</x:v>
      </x:c>
      <x:c r="G131" s="37" t="n">
        <x:v>16000</x:v>
      </x:c>
      <x:c r="H131" s="37" t="str">
        <x:v>g</x:v>
      </x:c>
      <x:c r="I131" s="37" t="str">
        <x:v>THÙNG</x:v>
      </x:c>
      <x:c r="J131" s="59" t="n">
        <x:v>0</x:v>
      </x:c>
      <x:c r="K131" s="59" t="n">
        <x:v>410000</x:v>
      </x:c>
      <x:c r="L131" s="59" t="n">
        <x:v>0</x:v>
      </x:c>
      <x:c r="M131" s="37" t="str">
        <x:v>Khác</x:v>
      </x:c>
      <x:c r="N131" s="37" t="str">
        <x:v>CHƯA CÓ GIÁ LẺ</x:v>
      </x:c>
      <x:c r="O131" s="61" t="n">
        <x:v>0.502</x:v>
      </x:c>
      <x:c r="P131" s="37"/>
      <x:c r="Q131" s="30"/>
      <x:c r="R131" s="30"/>
      <x:c r="S131" s="30"/>
      <x:c r="T131" s="37"/>
      <x:c r="U131" s="59"/>
      <x:c r="V131" s="59"/>
      <x:c r="W131" s="117" t="n">
        <x:v>70000</x:v>
      </x:c>
      <x:c r="X131" s="59" t="str">
        <x:f>IFERROR(IF(OR($N131="ĐÃ GHÉP - AUTO",$N131="ĐÃ GHÉP - QUY TẮC"),IF($V131="","",IF($T131="THÙNG",$V131/$F131,$V131)),""),"")</x:f>
      </x:c>
      <x:c r="Y131" s="117" t="n">
        <x:f>IF(OR(W131="",F131=""),"",W131*F131)</x:f>
        <x:v>420000</x:v>
      </x:c>
      <x:c r="Z131" s="59" t="str">
        <x:f>IFERROR(IF(OR($N131="ĐÃ GHÉP - AUTO",$N131="ĐÃ GHÉP - QUY TẮC"),IF($V131="","",IF($T131="THÙNG",$V131,$V131*$F131)),""),"")</x:f>
      </x:c>
      <x:c r="AA131" s="28" t="n">
        <x:f>IFERROR(IF(OR($K131="",$K131=0,$Y131=""),"",($Y131-$K131)/$K131),"")</x:f>
        <x:v>0.024390243902439025</x:v>
      </x:c>
      <x:c r="AB131" s="37" t="str">
        <x:f>IFERROR(IF($N131="CẦN DUYỆT","DUYỆT MAP",IF($N131="CHƯA CÓ GIÁ LẺ","THIẾU GIÁ",IF(OR($K131="",$K131=0,$Y131=""),"OK",IF(ABS(($Y131-$K131)/$K131)&gt;0.15,"LỆCH GIÁ CŨ","OK")))),"OK")</x:f>
        <x:v>THIẾU GIÁ</x:v>
      </x:c>
      <x:c r="AC131" s="30" t="str">
        <x:v>ứng viên gần nhất=Sốt Gold  MÔN; score=0.502</x:v>
      </x:c>
      <x:c r="AD131" s="37" t="str">
        <x:v>TDUMON</x:v>
      </x:c>
      <x:c r="AE131" s="38" t="str">
        <x:v>TDUMONT</x:v>
      </x:c>
      <x:c r="AF131" s="123" t="n">
        <x:v>2600</x:v>
      </x:c>
      <x:c r="AG131" s="112" t="str">
        <x:v>g</x:v>
      </x:c>
      <x:c r="AH131" s="112" t="str">
        <x:v>HỘP</x:v>
      </x:c>
      <x:c r="AI131" s="112" t="str">
        <x:v>2600 g / HỘP</x:v>
      </x:c>
      <x:c r="AJ131" s="120" t="n">
        <x:v>70000</x:v>
      </x:c>
      <x:c r="AK131" s="120"/>
      <x:c r="AL131" s="120" t="n">
        <x:v>70000</x:v>
      </x:c>
      <x:c r="AM131" s="112" t="str">
        <x:v>BỔ SUNG GIÁ</x:v>
      </x:c>
      <x:c r="AN131" s="126" t="n">
        <x:v>290</x:v>
      </x:c>
      <x:c r="AO131" s="126" t="n">
        <x:v>291</x:v>
      </x:c>
      <x:c r="AP131" s="113" t="str">
        <x:v>6 HỘP / THÙNG</x:v>
      </x:c>
    </x:row>
    <x:row r="132">
      <x:c r="A132" s="71" t="str">
        <x:v>THẠCH DX DỪA ĐÀO</x:v>
      </x:c>
      <x:c r="B132" s="30" t="str">
        <x:v>THẠCH DX DỪA ĐÀO - THÙNG</x:v>
      </x:c>
      <x:c r="C132" s="37" t="str">
        <x:v>TDUDAO</x:v>
      </x:c>
      <x:c r="D132" s="37" t="str">
        <x:v>TDUDAOT</x:v>
      </x:c>
      <x:c r="E132" s="37" t="str">
        <x:v>TDUDAOT</x:v>
      </x:c>
      <x:c r="F132" s="37" t="n">
        <x:v>6</x:v>
      </x:c>
      <x:c r="G132" s="37" t="n">
        <x:v>16000</x:v>
      </x:c>
      <x:c r="H132" s="37" t="str">
        <x:v>g</x:v>
      </x:c>
      <x:c r="I132" s="37" t="str">
        <x:v>THÙNG</x:v>
      </x:c>
      <x:c r="J132" s="59" t="n">
        <x:v>0</x:v>
      </x:c>
      <x:c r="K132" s="59" t="n">
        <x:v>410000</x:v>
      </x:c>
      <x:c r="L132" s="59" t="n">
        <x:v>0</x:v>
      </x:c>
      <x:c r="M132" s="37" t="str">
        <x:v>Khác</x:v>
      </x:c>
      <x:c r="N132" s="37" t="str">
        <x:v>CHƯA CÓ GIÁ LẺ</x:v>
      </x:c>
      <x:c r="O132" s="61" t="n">
        <x:v>0.417</x:v>
      </x:c>
      <x:c r="P132" s="37"/>
      <x:c r="Q132" s="30"/>
      <x:c r="R132" s="30"/>
      <x:c r="S132" s="30"/>
      <x:c r="T132" s="37"/>
      <x:c r="U132" s="59"/>
      <x:c r="V132" s="59"/>
      <x:c r="W132" s="117" t="n">
        <x:v>70000</x:v>
      </x:c>
      <x:c r="X132" s="59" t="str">
        <x:f>IFERROR(IF(OR($N132="ĐÃ GHÉP - AUTO",$N132="ĐÃ GHÉP - QUY TẮC"),IF($V132="","",IF($T132="THÙNG",$V132/$F132,$V132)),""),"")</x:f>
      </x:c>
      <x:c r="Y132" s="117" t="n">
        <x:f>IF(OR(W132="",F132=""),"",W132*F132)</x:f>
        <x:v>420000</x:v>
      </x:c>
      <x:c r="Z132" s="59" t="str">
        <x:f>IFERROR(IF(OR($N132="ĐÃ GHÉP - AUTO",$N132="ĐÃ GHÉP - QUY TẮC"),IF($V132="","",IF($T132="THÙNG",$V132,$V132*$F132)),""),"")</x:f>
      </x:c>
      <x:c r="AA132" s="28" t="n">
        <x:f>IFERROR(IF(OR($K132="",$K132=0,$Y132=""),"",($Y132-$K132)/$K132),"")</x:f>
        <x:v>0.024390243902439025</x:v>
      </x:c>
      <x:c r="AB132" s="37" t="str">
        <x:f>IFERROR(IF($N132="CẦN DUYỆT","DUYỆT MAP",IF($N132="CHƯA CÓ GIÁ LẺ","THIẾU GIÁ",IF(OR($K132="",$K132=0,$Y132=""),"OK",IF(ABS(($Y132-$K132)/$K132)&gt;0.15,"LỆCH GIÁ CŨ","OK")))),"OK")</x:f>
        <x:v>THIẾU GIÁ</x:v>
      </x:c>
      <x:c r="AC132" s="30" t="str">
        <x:v>ứng viên gần nhất=PLAN MOLE DƯA; score=0.417</x:v>
      </x:c>
      <x:c r="AD132" s="37" t="str">
        <x:v>TDUDAO</x:v>
      </x:c>
      <x:c r="AE132" s="38" t="str">
        <x:v>TDUDAOT</x:v>
      </x:c>
      <x:c r="AF132" s="123" t="n">
        <x:v>26</x:v>
      </x:c>
      <x:c r="AG132" s="112" t="str">
        <x:v>g</x:v>
      </x:c>
      <x:c r="AH132" s="112" t="str">
        <x:v>HỘP</x:v>
      </x:c>
      <x:c r="AI132" s="112" t="str">
        <x:v>26 g / HỘP</x:v>
      </x:c>
      <x:c r="AJ132" s="120" t="n">
        <x:v>70000</x:v>
      </x:c>
      <x:c r="AK132" s="120"/>
      <x:c r="AL132" s="120" t="n">
        <x:v>70000</x:v>
      </x:c>
      <x:c r="AM132" s="112" t="str">
        <x:v>BỔ SUNG GIÁ</x:v>
      </x:c>
      <x:c r="AN132" s="126" t="n">
        <x:v>292</x:v>
      </x:c>
      <x:c r="AO132" s="126" t="n">
        <x:v>293</x:v>
      </x:c>
      <x:c r="AP132" s="113" t="str">
        <x:v>6 HỘP / THÙNG</x:v>
      </x:c>
    </x:row>
    <x:row r="133">
      <x:c r="A133" s="71" t="str">
        <x:v>THẠCH MH DỪA DƯA VÀNG</x:v>
      </x:c>
      <x:c r="B133" s="30" t="str">
        <x:v>THẠCH MH DỪA DƯA VÀNG - THÙNG</x:v>
      </x:c>
      <x:c r="C133" s="37" t="str">
        <x:v>TDDVMH</x:v>
      </x:c>
      <x:c r="D133" s="37" t="str">
        <x:v>TDDVMHT</x:v>
      </x:c>
      <x:c r="E133" s="37" t="str">
        <x:v>TDDVMHT</x:v>
      </x:c>
      <x:c r="F133" s="37" t="n">
        <x:v>8</x:v>
      </x:c>
      <x:c r="G133" s="37" t="n">
        <x:v>21000</x:v>
      </x:c>
      <x:c r="H133" s="37" t="str">
        <x:v>g</x:v>
      </x:c>
      <x:c r="I133" s="37" t="str">
        <x:v>THÙNG</x:v>
      </x:c>
      <x:c r="J133" s="59" t="n">
        <x:v>0</x:v>
      </x:c>
      <x:c r="K133" s="59" t="n">
        <x:v>0</x:v>
      </x:c>
      <x:c r="L133" s="59" t="n">
        <x:v>0</x:v>
      </x:c>
      <x:c r="M133" s="37" t="str">
        <x:v>Khác</x:v>
      </x:c>
      <x:c r="N133" s="37" t="str">
        <x:v>CHƯA CÓ GIÁ LẺ</x:v>
      </x:c>
      <x:c r="O133" s="61" t="n">
        <x:v>0.597</x:v>
      </x:c>
      <x:c r="P133" s="37"/>
      <x:c r="Q133" s="30"/>
      <x:c r="R133" s="30"/>
      <x:c r="S133" s="30"/>
      <x:c r="T133" s="37"/>
      <x:c r="U133" s="59"/>
      <x:c r="V133" s="59"/>
      <x:c r="W133" s="117" t="n">
        <x:v>38000</x:v>
      </x:c>
      <x:c r="X133" s="59" t="str">
        <x:f>IFERROR(IF(OR($N133="ĐÃ GHÉP - AUTO",$N133="ĐÃ GHÉP - QUY TẮC"),IF($V133="","",IF($T133="THÙNG",$V133/$F133,$V133)),""),"")</x:f>
      </x:c>
      <x:c r="Y133" s="117" t="n">
        <x:f>IF(OR(W133="",F133=""),"",W133*F133)</x:f>
        <x:v>304000</x:v>
      </x:c>
      <x:c r="Z133" s="59" t="str">
        <x:f>IFERROR(IF(OR($N133="ĐÃ GHÉP - AUTO",$N133="ĐÃ GHÉP - QUY TẮC"),IF($V133="","",IF($T133="THÙNG",$V133,$V133*$F133)),""),"")</x:f>
      </x:c>
      <x:c r="AA133" s="28" t="str">
        <x:f>IFERROR(IF(OR($K133="",$K133=0,$Y133=""),"",($Y133-$K133)/$K133),"")</x:f>
      </x:c>
      <x:c r="AB133" s="37" t="str">
        <x:f>IFERROR(IF($N133="CẦN DUYỆT","DUYỆT MAP",IF($N133="CHƯA CÓ GIÁ LẺ","THIẾU GIÁ",IF(OR($K133="",$K133=0,$Y133=""),"OK",IF(ABS(($Y133-$K133)/$K133)&gt;0.15,"LỆCH GIÁ CŨ","OK")))),"OK")</x:f>
        <x:v>THIẾU GIÁ</x:v>
      </x:c>
      <x:c r="AC133" s="30" t="str">
        <x:v>ứng viên gần nhất=Trà dứa sao vàng; score=0.597</x:v>
      </x:c>
      <x:c r="AD133" s="37" t="str">
        <x:v>TDDVMH</x:v>
      </x:c>
      <x:c r="AE133" s="38" t="str">
        <x:v>TDDVMHT</x:v>
      </x:c>
      <x:c r="AF133" s="123" t="n">
        <x:v>25</x:v>
      </x:c>
      <x:c r="AG133" s="112" t="str">
        <x:v>g</x:v>
      </x:c>
      <x:c r="AH133" s="112" t="str">
        <x:v>HỦ</x:v>
      </x:c>
      <x:c r="AI133" s="112" t="str">
        <x:v>25 g / HỦ</x:v>
      </x:c>
      <x:c r="AJ133" s="120" t="n">
        <x:v>38000</x:v>
      </x:c>
      <x:c r="AK133" s="120"/>
      <x:c r="AL133" s="120" t="n">
        <x:v>38000</x:v>
      </x:c>
      <x:c r="AM133" s="112" t="str">
        <x:v>BỔ SUNG GIÁ</x:v>
      </x:c>
      <x:c r="AN133" s="126" t="n">
        <x:v>294</x:v>
      </x:c>
      <x:c r="AO133" s="126" t="n">
        <x:v>295</x:v>
      </x:c>
      <x:c r="AP133" s="113" t="str">
        <x:v>8 HỦ / THÙNG</x:v>
      </x:c>
    </x:row>
    <x:row r="134">
      <x:c r="A134" s="71" t="str">
        <x:v>THẠCH DỪA DEDU</x:v>
      </x:c>
      <x:c r="B134" s="30" t="str">
        <x:v>THẠCH DỪA DEDU - THÙNG</x:v>
      </x:c>
      <x:c r="C134" s="37" t="str">
        <x:v>TDDEDU</x:v>
      </x:c>
      <x:c r="D134" s="37" t="str">
        <x:v>TDDEDUT</x:v>
      </x:c>
      <x:c r="E134" s="37" t="str">
        <x:v>TDDEDUT</x:v>
      </x:c>
      <x:c r="F134" s="37" t="n">
        <x:v>12</x:v>
      </x:c>
      <x:c r="G134" s="37" t="n">
        <x:v>16000</x:v>
      </x:c>
      <x:c r="H134" s="37" t="str">
        <x:v>g</x:v>
      </x:c>
      <x:c r="I134" s="37" t="str">
        <x:v>THÙNG</x:v>
      </x:c>
      <x:c r="J134" s="59" t="n">
        <x:v>0</x:v>
      </x:c>
      <x:c r="K134" s="59" t="n">
        <x:v>0</x:v>
      </x:c>
      <x:c r="L134" s="59" t="n">
        <x:v>0</x:v>
      </x:c>
      <x:c r="M134" s="37" t="str">
        <x:v>Khác</x:v>
      </x:c>
      <x:c r="N134" s="37" t="str">
        <x:v>CHƯA CÓ GIÁ LẺ</x:v>
      </x:c>
      <x:c r="O134" s="61" t="n">
        <x:v>0.471</x:v>
      </x:c>
      <x:c r="P134" s="37"/>
      <x:c r="Q134" s="30"/>
      <x:c r="R134" s="30"/>
      <x:c r="S134" s="30"/>
      <x:c r="T134" s="37"/>
      <x:c r="U134" s="59"/>
      <x:c r="V134" s="59"/>
      <x:c r="W134" s="117" t="n">
        <x:v>55000</x:v>
      </x:c>
      <x:c r="X134" s="59" t="str">
        <x:f>IFERROR(IF(OR($N134="ĐÃ GHÉP - AUTO",$N134="ĐÃ GHÉP - QUY TẮC"),IF($V134="","",IF($T134="THÙNG",$V134/$F134,$V134)),""),"")</x:f>
      </x:c>
      <x:c r="Y134" s="117" t="n">
        <x:f>IF(OR(W134="",F134=""),"",W134*F134)</x:f>
        <x:v>660000</x:v>
      </x:c>
      <x:c r="Z134" s="59" t="str">
        <x:f>IFERROR(IF(OR($N134="ĐÃ GHÉP - AUTO",$N134="ĐÃ GHÉP - QUY TẮC"),IF($V134="","",IF($T134="THÙNG",$V134,$V134*$F134)),""),"")</x:f>
      </x:c>
      <x:c r="AA134" s="28" t="str">
        <x:f>IFERROR(IF(OR($K134="",$K134=0,$Y134=""),"",($Y134-$K134)/$K134),"")</x:f>
      </x:c>
      <x:c r="AB134" s="37" t="str">
        <x:f>IFERROR(IF($N134="CẦN DUYỆT","DUYỆT MAP",IF($N134="CHƯA CÓ GIÁ LẺ","THIẾU GIÁ",IF(OR($K134="",$K134=0,$Y134=""),"OK",IF(ABS(($Y134-$K134)/$K134)&gt;0.15,"LỆCH GIÁ CŨ","OK")))),"OK")</x:f>
        <x:v>THIẾU GIÁ</x:v>
      </x:c>
      <x:c r="AC134" s="30" t="str">
        <x:v>ứng viên gần nhất=PLAN MOLE DƯA; score=0.471</x:v>
      </x:c>
      <x:c r="AD134" s="37" t="str">
        <x:v>TDDEDU</x:v>
      </x:c>
      <x:c r="AE134" s="38" t="str">
        <x:v>TDDEDUT</x:v>
      </x:c>
      <x:c r="AF134" s="123" t="n">
        <x:v>1500</x:v>
      </x:c>
      <x:c r="AG134" s="112" t="str">
        <x:v>g</x:v>
      </x:c>
      <x:c r="AH134" s="112" t="str">
        <x:v>GÓI</x:v>
      </x:c>
      <x:c r="AI134" s="112" t="str">
        <x:v>1500 g / GÓI</x:v>
      </x:c>
      <x:c r="AJ134" s="120" t="n">
        <x:v>55000</x:v>
      </x:c>
      <x:c r="AK134" s="120"/>
      <x:c r="AL134" s="120" t="n">
        <x:v>55000</x:v>
      </x:c>
      <x:c r="AM134" s="112" t="str">
        <x:v>BỔ SUNG GIÁ</x:v>
      </x:c>
      <x:c r="AN134" s="126" t="n">
        <x:v>296</x:v>
      </x:c>
      <x:c r="AO134" s="126" t="n">
        <x:v>297</x:v>
      </x:c>
      <x:c r="AP134" s="113" t="str">
        <x:v>12 GÓI / THÙNG</x:v>
      </x:c>
    </x:row>
    <x:row r="135">
      <x:c r="A135" s="71" t="str">
        <x:v>THẠCH MH DỪA DÂU</x:v>
      </x:c>
      <x:c r="B135" s="30" t="str">
        <x:v>THẠCH MH DỪA DÂU - THÙNG</x:v>
      </x:c>
      <x:c r="C135" s="37" t="str">
        <x:v>TDDAMH</x:v>
      </x:c>
      <x:c r="D135" s="37" t="str">
        <x:v>TDDAMHT</x:v>
      </x:c>
      <x:c r="E135" s="37" t="str">
        <x:v>TDDAMHT</x:v>
      </x:c>
      <x:c r="F135" s="37" t="n">
        <x:v>8</x:v>
      </x:c>
      <x:c r="G135" s="37" t="n">
        <x:v>21000</x:v>
      </x:c>
      <x:c r="H135" s="37" t="str">
        <x:v>g</x:v>
      </x:c>
      <x:c r="I135" s="37" t="str">
        <x:v>THÙNG</x:v>
      </x:c>
      <x:c r="J135" s="59" t="n">
        <x:v>0</x:v>
      </x:c>
      <x:c r="K135" s="59" t="n">
        <x:v>0</x:v>
      </x:c>
      <x:c r="L135" s="59" t="n">
        <x:v>0</x:v>
      </x:c>
      <x:c r="M135" s="37" t="str">
        <x:v>Khác</x:v>
      </x:c>
      <x:c r="N135" s="37" t="str">
        <x:v>CHƯA CÓ GIÁ LẺ</x:v>
      </x:c>
      <x:c r="O135" s="61" t="n">
        <x:v>0.452</x:v>
      </x:c>
      <x:c r="P135" s="37"/>
      <x:c r="Q135" s="30"/>
      <x:c r="R135" s="30"/>
      <x:c r="S135" s="30"/>
      <x:c r="T135" s="37"/>
      <x:c r="U135" s="59"/>
      <x:c r="V135" s="59"/>
      <x:c r="W135" s="117" t="n">
        <x:v>38000</x:v>
      </x:c>
      <x:c r="X135" s="59" t="str">
        <x:f>IFERROR(IF(OR($N135="ĐÃ GHÉP - AUTO",$N135="ĐÃ GHÉP - QUY TẮC"),IF($V135="","",IF($T135="THÙNG",$V135/$F135,$V135)),""),"")</x:f>
      </x:c>
      <x:c r="Y135" s="117" t="n">
        <x:f>IF(OR(W135="",F135=""),"",W135*F135)</x:f>
        <x:v>304000</x:v>
      </x:c>
      <x:c r="Z135" s="59" t="str">
        <x:f>IFERROR(IF(OR($N135="ĐÃ GHÉP - AUTO",$N135="ĐÃ GHÉP - QUY TẮC"),IF($V135="","",IF($T135="THÙNG",$V135,$V135*$F135)),""),"")</x:f>
      </x:c>
      <x:c r="AA135" s="28" t="str">
        <x:f>IFERROR(IF(OR($K135="",$K135=0,$Y135=""),"",($Y135-$K135)/$K135),"")</x:f>
      </x:c>
      <x:c r="AB135" s="37" t="str">
        <x:f>IFERROR(IF($N135="CẦN DUYỆT","DUYỆT MAP",IF($N135="CHƯA CÓ GIÁ LẺ","THIẾU GIÁ",IF(OR($K135="",$K135=0,$Y135=""),"OK",IF(ABS(($Y135-$K135)/$K135)&gt;0.15,"LỆCH GIÁ CŨ","OK")))),"OK")</x:f>
        <x:v>THIẾU GIÁ</x:v>
      </x:c>
      <x:c r="AC135" s="30" t="str">
        <x:v>ứng viên gần nhất=PLAN MOLE DƯA; score=0.452</x:v>
      </x:c>
      <x:c r="AD135" s="37" t="str">
        <x:v>TDDAMH</x:v>
      </x:c>
      <x:c r="AE135" s="38" t="str">
        <x:v>TDDAMHT</x:v>
      </x:c>
      <x:c r="AF135" s="123" t="n">
        <x:v>2500</x:v>
      </x:c>
      <x:c r="AG135" s="112" t="str">
        <x:v>g</x:v>
      </x:c>
      <x:c r="AH135" s="112" t="str">
        <x:v>HỦ</x:v>
      </x:c>
      <x:c r="AI135" s="112" t="str">
        <x:v>2500 g / HỦ</x:v>
      </x:c>
      <x:c r="AJ135" s="120" t="n">
        <x:v>38000</x:v>
      </x:c>
      <x:c r="AK135" s="120"/>
      <x:c r="AL135" s="120" t="n">
        <x:v>38000</x:v>
      </x:c>
      <x:c r="AM135" s="112" t="str">
        <x:v>BỔ SUNG GIÁ</x:v>
      </x:c>
      <x:c r="AN135" s="126" t="n">
        <x:v>298</x:v>
      </x:c>
      <x:c r="AO135" s="126" t="n">
        <x:v>299</x:v>
      </x:c>
      <x:c r="AP135" s="113" t="str">
        <x:v>8 HỦ / THÙNG</x:v>
      </x:c>
    </x:row>
    <x:row r="136">
      <x:c r="A136" s="71" t="str">
        <x:v>THẠCH DX DỪA DÂU</x:v>
      </x:c>
      <x:c r="B136" s="30" t="str">
        <x:v>THẠCH DX DỪA DÂU - THÙNG</x:v>
      </x:c>
      <x:c r="C136" s="37" t="str">
        <x:v>TDUDAU</x:v>
      </x:c>
      <x:c r="D136" s="37" t="str">
        <x:v>TDUDAUT</x:v>
      </x:c>
      <x:c r="E136" s="37" t="str">
        <x:v>TDUDAUT</x:v>
      </x:c>
      <x:c r="F136" s="37" t="n">
        <x:v>6</x:v>
      </x:c>
      <x:c r="G136" s="37" t="n">
        <x:v>16000</x:v>
      </x:c>
      <x:c r="H136" s="37" t="str">
        <x:v>g</x:v>
      </x:c>
      <x:c r="I136" s="37" t="str">
        <x:v>THÙNG</x:v>
      </x:c>
      <x:c r="J136" s="59" t="n">
        <x:v>0</x:v>
      </x:c>
      <x:c r="K136" s="59" t="n">
        <x:v>410000</x:v>
      </x:c>
      <x:c r="L136" s="59" t="n">
        <x:v>0</x:v>
      </x:c>
      <x:c r="M136" s="37" t="str">
        <x:v>Khác</x:v>
      </x:c>
      <x:c r="N136" s="37" t="str">
        <x:v>CHƯA CÓ GIÁ LẺ</x:v>
      </x:c>
      <x:c r="O136" s="61" t="n">
        <x:v>0.422</x:v>
      </x:c>
      <x:c r="P136" s="37"/>
      <x:c r="Q136" s="30"/>
      <x:c r="R136" s="30"/>
      <x:c r="S136" s="30"/>
      <x:c r="T136" s="37"/>
      <x:c r="U136" s="59"/>
      <x:c r="V136" s="59"/>
      <x:c r="W136" s="117" t="n">
        <x:v>70000</x:v>
      </x:c>
      <x:c r="X136" s="59" t="str">
        <x:f>IFERROR(IF(OR($N136="ĐÃ GHÉP - AUTO",$N136="ĐÃ GHÉP - QUY TẮC"),IF($V136="","",IF($T136="THÙNG",$V136/$F136,$V136)),""),"")</x:f>
      </x:c>
      <x:c r="Y136" s="117" t="n">
        <x:f>IF(OR(W136="",F136=""),"",W136*F136)</x:f>
        <x:v>420000</x:v>
      </x:c>
      <x:c r="Z136" s="59" t="str">
        <x:f>IFERROR(IF(OR($N136="ĐÃ GHÉP - AUTO",$N136="ĐÃ GHÉP - QUY TẮC"),IF($V136="","",IF($T136="THÙNG",$V136,$V136*$F136)),""),"")</x:f>
      </x:c>
      <x:c r="AA136" s="28" t="n">
        <x:f>IFERROR(IF(OR($K136="",$K136=0,$Y136=""),"",($Y136-$K136)/$K136),"")</x:f>
        <x:v>0.024390243902439025</x:v>
      </x:c>
      <x:c r="AB136" s="37" t="str">
        <x:f>IFERROR(IF($N136="CẦN DUYỆT","DUYỆT MAP",IF($N136="CHƯA CÓ GIÁ LẺ","THIẾU GIÁ",IF(OR($K136="",$K136=0,$Y136=""),"OK",IF(ABS(($Y136-$K136)/$K136)&gt;0.15,"LỆCH GIÁ CŨ","OK")))),"OK")</x:f>
        <x:v>THIẾU GIÁ</x:v>
      </x:c>
      <x:c r="AC136" s="30" t="str">
        <x:v>ứng viên gần nhất=PLAN MOLE DƯA; score=0.422</x:v>
      </x:c>
      <x:c r="AD136" s="37" t="str">
        <x:v>TDUDAU</x:v>
      </x:c>
      <x:c r="AE136" s="38" t="str">
        <x:v>TDUDAUT</x:v>
      </x:c>
      <x:c r="AF136" s="123" t="n">
        <x:v>2600</x:v>
      </x:c>
      <x:c r="AG136" s="112" t="str">
        <x:v>g</x:v>
      </x:c>
      <x:c r="AH136" s="112" t="str">
        <x:v>HỘP</x:v>
      </x:c>
      <x:c r="AI136" s="112" t="str">
        <x:v>2600 g / HỘP</x:v>
      </x:c>
      <x:c r="AJ136" s="120" t="n">
        <x:v>70000</x:v>
      </x:c>
      <x:c r="AK136" s="120"/>
      <x:c r="AL136" s="120" t="n">
        <x:v>70000</x:v>
      </x:c>
      <x:c r="AM136" s="112" t="str">
        <x:v>BỔ SUNG GIÁ</x:v>
      </x:c>
      <x:c r="AN136" s="126" t="n">
        <x:v>300</x:v>
      </x:c>
      <x:c r="AO136" s="126" t="n">
        <x:v>301</x:v>
      </x:c>
      <x:c r="AP136" s="113" t="str">
        <x:v>6 HỘP / THÙNG</x:v>
      </x:c>
    </x:row>
    <x:row r="137">
      <x:c r="A137" s="71" t="str">
        <x:v>THẠCH DỪA CHANH DÂY</x:v>
      </x:c>
      <x:c r="B137" s="30" t="str">
        <x:v>THẠCH DỪA CHANH DÂY - THÙNG</x:v>
      </x:c>
      <x:c r="C137" s="37" t="str">
        <x:v>TDUCDA</x:v>
      </x:c>
      <x:c r="D137" s="37" t="str">
        <x:v>TDUCDAT</x:v>
      </x:c>
      <x:c r="E137" s="37" t="str">
        <x:v>TDUCDAT</x:v>
      </x:c>
      <x:c r="F137" s="37" t="n">
        <x:v>6</x:v>
      </x:c>
      <x:c r="G137" s="37" t="n">
        <x:v>16000</x:v>
      </x:c>
      <x:c r="H137" s="37" t="str">
        <x:v>g</x:v>
      </x:c>
      <x:c r="I137" s="37" t="str">
        <x:v>THÙNG</x:v>
      </x:c>
      <x:c r="J137" s="59" t="n">
        <x:v>0</x:v>
      </x:c>
      <x:c r="K137" s="59" t="n">
        <x:v>410000</x:v>
      </x:c>
      <x:c r="L137" s="59" t="n">
        <x:v>0</x:v>
      </x:c>
      <x:c r="M137" s="37" t="str">
        <x:v>Khác</x:v>
      </x:c>
      <x:c r="N137" s="37" t="str">
        <x:v>CHƯA CÓ GIÁ LẺ</x:v>
      </x:c>
      <x:c r="O137" s="61" t="n">
        <x:v>0.552</x:v>
      </x:c>
      <x:c r="P137" s="37"/>
      <x:c r="Q137" s="30"/>
      <x:c r="R137" s="30"/>
      <x:c r="S137" s="30"/>
      <x:c r="T137" s="37"/>
      <x:c r="U137" s="59"/>
      <x:c r="V137" s="59"/>
      <x:c r="W137" s="117"/>
      <x:c r="X137" s="59" t="str">
        <x:f>IFERROR(IF(OR($N137="ĐÃ GHÉP - AUTO",$N137="ĐÃ GHÉP - QUY TẮC"),IF($V137="","",IF($T137="THÙNG",$V137/$F137,$V137)),""),"")</x:f>
      </x:c>
      <x:c r="Y137" s="117" t="str">
        <x:f>IF(OR(W137="",F137=""),"",W137*F137)</x:f>
      </x:c>
      <x:c r="Z137" s="59" t="str">
        <x:f>IFERROR(IF(OR($N137="ĐÃ GHÉP - AUTO",$N137="ĐÃ GHÉP - QUY TẮC"),IF($V137="","",IF($T137="THÙNG",$V137,$V137*$F137)),""),"")</x:f>
      </x:c>
      <x:c r="AA137" s="28" t="str">
        <x:f>IFERROR(IF(OR($K137="",$K137=0,$Y137=""),"",($Y137-$K137)/$K137),"")</x:f>
      </x:c>
      <x:c r="AB137" s="37" t="str">
        <x:f>IFERROR(IF($N137="CẦN DUYỆT","DUYỆT MAP",IF($N137="CHƯA CÓ GIÁ LẺ","THIẾU GIÁ",IF(OR($K137="",$K137=0,$Y137=""),"OK",IF(ABS(($Y137-$K137)/$K137)&gt;0.15,"LỆCH GIÁ CŨ","OK")))),"OK")</x:f>
        <x:v>THIẾU GIÁ</x:v>
      </x:c>
      <x:c r="AC137" s="30" t="str">
        <x:v>ứng viên gần nhất=Sinh Tố Gold Chanh Dây; score=0.552</x:v>
      </x:c>
      <x:c r="AD137" s="37" t="str">
        <x:v>TDUCDA</x:v>
      </x:c>
      <x:c r="AE137" s="38" t="str">
        <x:v>TDUCDAT</x:v>
      </x:c>
      <x:c r="AF137" s="123" t="n">
        <x:v>0</x:v>
      </x:c>
      <x:c r="AG137" s="112" t="str">
        <x:v>g</x:v>
      </x:c>
      <x:c r="AH137" s="112" t="str">
        <x:v>THÙNG</x:v>
      </x:c>
      <x:c r="AI137" s="112" t="str">
        <x:v>0 g / THÙNG</x:v>
      </x:c>
      <x:c r="AJ137" s="120" t="n">
        <x:v>0</x:v>
      </x:c>
      <x:c r="AK137" s="120"/>
      <x:c r="AL137" s="120"/>
      <x:c r="AM137" s="112" t="str">
        <x:v>DS SP GIÁ 0 - VẪN THIẾU GIÁ</x:v>
      </x:c>
      <x:c r="AN137" s="126" t="n">
        <x:v>302</x:v>
      </x:c>
      <x:c r="AO137" s="126" t="n">
        <x:v>303</x:v>
      </x:c>
      <x:c r="AP137" s="113" t="str">
        <x:v>6 THÙNG / THÙNG</x:v>
      </x:c>
    </x:row>
    <x:row r="138">
      <x:c r="A138" s="71" t="str">
        <x:v>THẠCH CẦU VÒNG TRUNG</x:v>
      </x:c>
      <x:c r="B138" s="30" t="str">
        <x:v>THẠCH CẦU VÒNG TRUNG - THÙNG</x:v>
      </x:c>
      <x:c r="C138" s="37" t="str">
        <x:v>TTC5MT</x:v>
      </x:c>
      <x:c r="D138" s="37" t="str">
        <x:v>TTC5MTT</x:v>
      </x:c>
      <x:c r="E138" s="37" t="str">
        <x:v>TTC5MTT</x:v>
      </x:c>
      <x:c r="F138" s="37" t="n">
        <x:v>6</x:v>
      </x:c>
      <x:c r="G138" s="37" t="n">
        <x:v>16000</x:v>
      </x:c>
      <x:c r="H138" s="37" t="str">
        <x:v>g</x:v>
      </x:c>
      <x:c r="I138" s="37" t="str">
        <x:v>THÙNG</x:v>
      </x:c>
      <x:c r="J138" s="59" t="n">
        <x:v>0</x:v>
      </x:c>
      <x:c r="K138" s="59" t="n">
        <x:v>0</x:v>
      </x:c>
      <x:c r="L138" s="59" t="n">
        <x:v>0</x:v>
      </x:c>
      <x:c r="M138" s="37" t="str">
        <x:v>Khác</x:v>
      </x:c>
      <x:c r="N138" s="37" t="str">
        <x:v>CHƯA CÓ GIÁ LẺ</x:v>
      </x:c>
      <x:c r="O138" s="61" t="n">
        <x:v>0.517</x:v>
      </x:c>
      <x:c r="P138" s="37"/>
      <x:c r="Q138" s="30"/>
      <x:c r="R138" s="30"/>
      <x:c r="S138" s="30"/>
      <x:c r="T138" s="37"/>
      <x:c r="U138" s="59"/>
      <x:c r="V138" s="59"/>
      <x:c r="W138" s="117" t="n">
        <x:v>70000</x:v>
      </x:c>
      <x:c r="X138" s="59" t="str">
        <x:f>IFERROR(IF(OR($N138="ĐÃ GHÉP - AUTO",$N138="ĐÃ GHÉP - QUY TẮC"),IF($V138="","",IF($T138="THÙNG",$V138/$F138,$V138)),""),"")</x:f>
      </x:c>
      <x:c r="Y138" s="117" t="n">
        <x:f>IF(OR(W138="",F138=""),"",W138*F138)</x:f>
        <x:v>420000</x:v>
      </x:c>
      <x:c r="Z138" s="59" t="str">
        <x:f>IFERROR(IF(OR($N138="ĐÃ GHÉP - AUTO",$N138="ĐÃ GHÉP - QUY TẮC"),IF($V138="","",IF($T138="THÙNG",$V138,$V138*$F138)),""),"")</x:f>
      </x:c>
      <x:c r="AA138" s="28" t="str">
        <x:f>IFERROR(IF(OR($K138="",$K138=0,$Y138=""),"",($Y138-$K138)/$K138),"")</x:f>
      </x:c>
      <x:c r="AB138" s="37" t="str">
        <x:f>IFERROR(IF($N138="CẦN DUYỆT","DUYỆT MAP",IF($N138="CHƯA CÓ GIÁ LẺ","THIẾU GIÁ",IF(OR($K138="",$K138=0,$Y138=""),"OK",IF(ABS(($Y138-$K138)/$K138)&gt;0.15,"LỆCH GIÁ CŨ","OK")))),"OK")</x:f>
        <x:v>THIẾU GIÁ</x:v>
      </x:c>
      <x:c r="AC138" s="30" t="str">
        <x:v>ứng viên gần nhất=Bánh Bao Trứng; score=0.517</x:v>
      </x:c>
      <x:c r="AD138" s="37" t="str">
        <x:v>TTC5MT</x:v>
      </x:c>
      <x:c r="AE138" s="38" t="str">
        <x:v>TTC5MTT</x:v>
      </x:c>
      <x:c r="AF138" s="123" t="n">
        <x:v>2600</x:v>
      </x:c>
      <x:c r="AG138" s="112" t="str">
        <x:v>g</x:v>
      </x:c>
      <x:c r="AH138" s="112" t="str">
        <x:v>HỘP</x:v>
      </x:c>
      <x:c r="AI138" s="112" t="str">
        <x:v>2600 g / HỘP</x:v>
      </x:c>
      <x:c r="AJ138" s="120" t="n">
        <x:v>70000</x:v>
      </x:c>
      <x:c r="AK138" s="120"/>
      <x:c r="AL138" s="120" t="n">
        <x:v>70000</x:v>
      </x:c>
      <x:c r="AM138" s="112" t="str">
        <x:v>BỔ SUNG GIÁ</x:v>
      </x:c>
      <x:c r="AN138" s="126" t="n">
        <x:v>304</x:v>
      </x:c>
      <x:c r="AO138" s="126" t="n">
        <x:v>305</x:v>
      </x:c>
      <x:c r="AP138" s="113" t="str">
        <x:v>6 HỘP / THÙNG</x:v>
      </x:c>
    </x:row>
    <x:row r="139">
      <x:c r="A139" s="71" t="str">
        <x:v>THẠCH CAFE HÙNG CHƯƠNG</x:v>
      </x:c>
      <x:c r="B139" s="30" t="str">
        <x:v>THẠCH CAFE HÙNG CHƯƠNG - THÙNG</x:v>
      </x:c>
      <x:c r="C139" s="37" t="str">
        <x:v>THCFHC</x:v>
      </x:c>
      <x:c r="D139" s="37" t="str">
        <x:v>THCFHCT</x:v>
      </x:c>
      <x:c r="E139" s="37" t="str">
        <x:v>THCFHCT</x:v>
      </x:c>
      <x:c r="F139" s="37" t="n">
        <x:v>6</x:v>
      </x:c>
      <x:c r="G139" s="37" t="n">
        <x:v>16000</x:v>
      </x:c>
      <x:c r="H139" s="37" t="str">
        <x:v>g</x:v>
      </x:c>
      <x:c r="I139" s="37" t="str">
        <x:v>THÙNG</x:v>
      </x:c>
      <x:c r="J139" s="59" t="n">
        <x:v>0</x:v>
      </x:c>
      <x:c r="K139" s="59" t="n">
        <x:v>0</x:v>
      </x:c>
      <x:c r="L139" s="59" t="n">
        <x:v>0</x:v>
      </x:c>
      <x:c r="M139" s="37" t="str">
        <x:v>Khác</x:v>
      </x:c>
      <x:c r="N139" s="37" t="str">
        <x:v>CHƯA CÓ GIÁ LẺ</x:v>
      </x:c>
      <x:c r="O139" s="61" t="n">
        <x:v>0.624</x:v>
      </x:c>
      <x:c r="P139" s="37"/>
      <x:c r="Q139" s="30"/>
      <x:c r="R139" s="30"/>
      <x:c r="S139" s="30"/>
      <x:c r="T139" s="37"/>
      <x:c r="U139" s="59"/>
      <x:c r="V139" s="59"/>
      <x:c r="W139" s="117" t="n">
        <x:v>110000</x:v>
      </x:c>
      <x:c r="X139" s="59" t="str">
        <x:f>IFERROR(IF(OR($N139="ĐÃ GHÉP - AUTO",$N139="ĐÃ GHÉP - QUY TẮC"),IF($V139="","",IF($T139="THÙNG",$V139/$F139,$V139)),""),"")</x:f>
      </x:c>
      <x:c r="Y139" s="117" t="n">
        <x:f>IF(OR(W139="",F139=""),"",W139*F139)</x:f>
        <x:v>660000</x:v>
      </x:c>
      <x:c r="Z139" s="59" t="str">
        <x:f>IFERROR(IF(OR($N139="ĐÃ GHÉP - AUTO",$N139="ĐÃ GHÉP - QUY TẮC"),IF($V139="","",IF($T139="THÙNG",$V139,$V139*$F139)),""),"")</x:f>
      </x:c>
      <x:c r="AA139" s="28" t="str">
        <x:f>IFERROR(IF(OR($K139="",$K139=0,$Y139=""),"",($Y139-$K139)/$K139),"")</x:f>
      </x:c>
      <x:c r="AB139" s="37" t="str">
        <x:f>IFERROR(IF($N139="CẦN DUYỆT","DUYỆT MAP",IF($N139="CHƯA CÓ GIÁ LẺ","THIẾU GIÁ",IF(OR($K139="",$K139=0,$Y139=""),"OK",IF(ABS(($Y139-$K139)/$K139)&gt;0.15,"LỆCH GIÁ CŨ","OK")))),"OK")</x:f>
        <x:v>THIẾU GIÁ</x:v>
      </x:c>
      <x:c r="AC139" s="30" t="str">
        <x:v>ứng viên gần nhất=Thạch Hùng Chương jelly; score=0.624</x:v>
      </x:c>
      <x:c r="AD139" s="37" t="str">
        <x:v>THCFHC</x:v>
      </x:c>
      <x:c r="AE139" s="38" t="str">
        <x:v>THCFHCT</x:v>
      </x:c>
      <x:c r="AF139" s="123" t="n">
        <x:v>2600</x:v>
      </x:c>
      <x:c r="AG139" s="112" t="str">
        <x:v>g</x:v>
      </x:c>
      <x:c r="AH139" s="112" t="str">
        <x:v>HỦ</x:v>
      </x:c>
      <x:c r="AI139" s="112" t="str">
        <x:v>2600 g / HỦ</x:v>
      </x:c>
      <x:c r="AJ139" s="120" t="n">
        <x:v>110000</x:v>
      </x:c>
      <x:c r="AK139" s="120"/>
      <x:c r="AL139" s="120" t="n">
        <x:v>110000</x:v>
      </x:c>
      <x:c r="AM139" s="112" t="str">
        <x:v>BỔ SUNG GIÁ</x:v>
      </x:c>
      <x:c r="AN139" s="126" t="n">
        <x:v>306</x:v>
      </x:c>
      <x:c r="AO139" s="126" t="n">
        <x:v>307</x:v>
      </x:c>
      <x:c r="AP139" s="113" t="str">
        <x:v>6 HỦ / THÙNG</x:v>
      </x:c>
    </x:row>
    <x:row r="140">
      <x:c r="A140" s="71" t="str">
        <x:v>THẠCH CÁ SÂM DỨA</x:v>
      </x:c>
      <x:c r="B140" s="30" t="str">
        <x:v>THẠCH CÁ SÂM DỨA - THÙNG</x:v>
      </x:c>
      <x:c r="C140" s="37" t="str">
        <x:v>TCASDU</x:v>
      </x:c>
      <x:c r="D140" s="37" t="str">
        <x:v>TCASDUT</x:v>
      </x:c>
      <x:c r="E140" s="37" t="str">
        <x:v>TCASDUT</x:v>
      </x:c>
      <x:c r="F140" s="37" t="n">
        <x:v>6</x:v>
      </x:c>
      <x:c r="G140" s="37" t="n">
        <x:v>16000</x:v>
      </x:c>
      <x:c r="H140" s="37" t="str">
        <x:v>g</x:v>
      </x:c>
      <x:c r="I140" s="37" t="str">
        <x:v>THÙNG</x:v>
      </x:c>
      <x:c r="J140" s="59" t="n">
        <x:v>0</x:v>
      </x:c>
      <x:c r="K140" s="59" t="n">
        <x:v>410000</x:v>
      </x:c>
      <x:c r="L140" s="59" t="n">
        <x:v>0</x:v>
      </x:c>
      <x:c r="M140" s="37" t="str">
        <x:v>Khác</x:v>
      </x:c>
      <x:c r="N140" s="37" t="str">
        <x:v>CHƯA CÓ GIÁ LẺ</x:v>
      </x:c>
      <x:c r="O140" s="61" t="n">
        <x:v>0.527</x:v>
      </x:c>
      <x:c r="P140" s="37"/>
      <x:c r="Q140" s="30"/>
      <x:c r="R140" s="30"/>
      <x:c r="S140" s="30"/>
      <x:c r="T140" s="37"/>
      <x:c r="U140" s="59"/>
      <x:c r="V140" s="59"/>
      <x:c r="W140" s="117" t="n">
        <x:v>70000</x:v>
      </x:c>
      <x:c r="X140" s="59" t="str">
        <x:f>IFERROR(IF(OR($N140="ĐÃ GHÉP - AUTO",$N140="ĐÃ GHÉP - QUY TẮC"),IF($V140="","",IF($T140="THÙNG",$V140/$F140,$V140)),""),"")</x:f>
      </x:c>
      <x:c r="Y140" s="117" t="n">
        <x:f>IF(OR(W140="",F140=""),"",W140*F140)</x:f>
        <x:v>420000</x:v>
      </x:c>
      <x:c r="Z140" s="59" t="str">
        <x:f>IFERROR(IF(OR($N140="ĐÃ GHÉP - AUTO",$N140="ĐÃ GHÉP - QUY TẮC"),IF($V140="","",IF($T140="THÙNG",$V140,$V140*$F140)),""),"")</x:f>
      </x:c>
      <x:c r="AA140" s="28" t="n">
        <x:f>IFERROR(IF(OR($K140="",$K140=0,$Y140=""),"",($Y140-$K140)/$K140),"")</x:f>
        <x:v>0.024390243902439025</x:v>
      </x:c>
      <x:c r="AB140" s="37" t="str">
        <x:f>IFERROR(IF($N140="CẦN DUYỆT","DUYỆT MAP",IF($N140="CHƯA CÓ GIÁ LẺ","THIẾU GIÁ",IF(OR($K140="",$K140=0,$Y140=""),"OK",IF(ABS(($Y140-$K140)/$K140)&gt;0.15,"LỆCH GIÁ CŨ","OK")))),"OK")</x:f>
        <x:v>THIẾU GIÁ</x:v>
      </x:c>
      <x:c r="AC140" s="30" t="str">
        <x:v>ứng viên gần nhất=Siro Sâm Dứa Vina; score=0.527</x:v>
      </x:c>
      <x:c r="AD140" s="37" t="str">
        <x:v>TCASDU</x:v>
      </x:c>
      <x:c r="AE140" s="38" t="str">
        <x:v>TCASDUT</x:v>
      </x:c>
      <x:c r="AF140" s="123" t="n">
        <x:v>2600</x:v>
      </x:c>
      <x:c r="AG140" s="112" t="str">
        <x:v>g</x:v>
      </x:c>
      <x:c r="AH140" s="112" t="str">
        <x:v>HỘP</x:v>
      </x:c>
      <x:c r="AI140" s="112" t="str">
        <x:v>2600 g / HỘP</x:v>
      </x:c>
      <x:c r="AJ140" s="120" t="n">
        <x:v>70000</x:v>
      </x:c>
      <x:c r="AK140" s="120"/>
      <x:c r="AL140" s="120" t="n">
        <x:v>70000</x:v>
      </x:c>
      <x:c r="AM140" s="112" t="str">
        <x:v>BỔ SUNG GIÁ</x:v>
      </x:c>
      <x:c r="AN140" s="126" t="n">
        <x:v>308</x:v>
      </x:c>
      <x:c r="AO140" s="126" t="n">
        <x:v>309</x:v>
      </x:c>
      <x:c r="AP140" s="113" t="str">
        <x:v>6 HỘP / THÙNG</x:v>
      </x:c>
    </x:row>
    <x:row r="141">
      <x:c r="A141" s="71" t="str">
        <x:v>THẠCH CÁ 4 MÀU</x:v>
      </x:c>
      <x:c r="B141" s="30" t="str">
        <x:v>THẠCH CÁ 4 MÀU - THÙNG</x:v>
      </x:c>
      <x:c r="C141" s="37" t="str">
        <x:v>TCA4MA</x:v>
      </x:c>
      <x:c r="D141" s="37" t="str">
        <x:v>TCA4MAT</x:v>
      </x:c>
      <x:c r="E141" s="37" t="str">
        <x:v>TCA4MAT</x:v>
      </x:c>
      <x:c r="F141" s="37" t="n">
        <x:v>6</x:v>
      </x:c>
      <x:c r="G141" s="37" t="n">
        <x:v>16000</x:v>
      </x:c>
      <x:c r="H141" s="37" t="str">
        <x:v>g</x:v>
      </x:c>
      <x:c r="I141" s="37" t="str">
        <x:v>THÙNG</x:v>
      </x:c>
      <x:c r="J141" s="59" t="n">
        <x:v>0</x:v>
      </x:c>
      <x:c r="K141" s="59" t="n">
        <x:v>410000</x:v>
      </x:c>
      <x:c r="L141" s="59" t="n">
        <x:v>0</x:v>
      </x:c>
      <x:c r="M141" s="37" t="str">
        <x:v>Khác</x:v>
      </x:c>
      <x:c r="N141" s="37" t="str">
        <x:v>CHƯA CÓ GIÁ LẺ</x:v>
      </x:c>
      <x:c r="O141" s="61" t="n">
        <x:v>0.434</x:v>
      </x:c>
      <x:c r="P141" s="37"/>
      <x:c r="Q141" s="30"/>
      <x:c r="R141" s="30"/>
      <x:c r="S141" s="30"/>
      <x:c r="T141" s="37"/>
      <x:c r="U141" s="59"/>
      <x:c r="V141" s="59"/>
      <x:c r="W141" s="117" t="n">
        <x:v>70000</x:v>
      </x:c>
      <x:c r="X141" s="59" t="str">
        <x:f>IFERROR(IF(OR($N141="ĐÃ GHÉP - AUTO",$N141="ĐÃ GHÉP - QUY TẮC"),IF($V141="","",IF($T141="THÙNG",$V141/$F141,$V141)),""),"")</x:f>
      </x:c>
      <x:c r="Y141" s="117" t="n">
        <x:f>IF(OR(W141="",F141=""),"",W141*F141)</x:f>
        <x:v>420000</x:v>
      </x:c>
      <x:c r="Z141" s="59" t="str">
        <x:f>IFERROR(IF(OR($N141="ĐÃ GHÉP - AUTO",$N141="ĐÃ GHÉP - QUY TẮC"),IF($V141="","",IF($T141="THÙNG",$V141,$V141*$F141)),""),"")</x:f>
      </x:c>
      <x:c r="AA141" s="28" t="n">
        <x:f>IFERROR(IF(OR($K141="",$K141=0,$Y141=""),"",($Y141-$K141)/$K141),"")</x:f>
        <x:v>0.024390243902439025</x:v>
      </x:c>
      <x:c r="AB141" s="37" t="str">
        <x:f>IFERROR(IF($N141="CẦN DUYỆT","DUYỆT MAP",IF($N141="CHƯA CÓ GIÁ LẺ","THIẾU GIÁ",IF(OR($K141="",$K141=0,$Y141=""),"OK",IF(ABS(($Y141-$K141)/$K141)&gt;0.15,"LỆCH GIÁ CŨ","OK")))),"OK")</x:f>
        <x:v>THIẾU GIÁ</x:v>
      </x:c>
      <x:c r="AC141" s="30" t="str">
        <x:v>ứng viên gần nhất=RAU CÂU CÁ DẺO; score=0.434</x:v>
      </x:c>
      <x:c r="AD141" s="37" t="str">
        <x:v>TCA4MA</x:v>
      </x:c>
      <x:c r="AE141" s="38" t="str">
        <x:v>TCA4MAT</x:v>
      </x:c>
      <x:c r="AF141" s="123" t="n">
        <x:v>2600</x:v>
      </x:c>
      <x:c r="AG141" s="112" t="str">
        <x:v>g</x:v>
      </x:c>
      <x:c r="AH141" s="112" t="str">
        <x:v>HỘP</x:v>
      </x:c>
      <x:c r="AI141" s="112" t="str">
        <x:v>2600 g / HỘP</x:v>
      </x:c>
      <x:c r="AJ141" s="120" t="n">
        <x:v>70000</x:v>
      </x:c>
      <x:c r="AK141" s="120"/>
      <x:c r="AL141" s="120" t="n">
        <x:v>70000</x:v>
      </x:c>
      <x:c r="AM141" s="112" t="str">
        <x:v>BỔ SUNG GIÁ</x:v>
      </x:c>
      <x:c r="AN141" s="126" t="n">
        <x:v>310</x:v>
      </x:c>
      <x:c r="AO141" s="126" t="n">
        <x:v>311</x:v>
      </x:c>
      <x:c r="AP141" s="113" t="str">
        <x:v>6 HỘP / THÙNG</x:v>
      </x:c>
    </x:row>
    <x:row r="142">
      <x:c r="A142" s="71" t="str">
        <x:v>THẠCH BI SỮA</x:v>
      </x:c>
      <x:c r="B142" s="30" t="str">
        <x:v>THẠCH BI SỮA - THÙNG</x:v>
      </x:c>
      <x:c r="C142" s="37" t="str">
        <x:v>THBISU</x:v>
      </x:c>
      <x:c r="D142" s="37" t="str">
        <x:v>THBISUT</x:v>
      </x:c>
      <x:c r="E142" s="37" t="str">
        <x:v>THBISUT</x:v>
      </x:c>
      <x:c r="F142" s="37" t="n">
        <x:v>6</x:v>
      </x:c>
      <x:c r="G142" s="37" t="n">
        <x:v>16000</x:v>
      </x:c>
      <x:c r="H142" s="37" t="str">
        <x:v>g</x:v>
      </x:c>
      <x:c r="I142" s="37" t="str">
        <x:v>THÙNG</x:v>
      </x:c>
      <x:c r="J142" s="59" t="n">
        <x:v>0</x:v>
      </x:c>
      <x:c r="K142" s="59" t="n">
        <x:v>410000</x:v>
      </x:c>
      <x:c r="L142" s="59" t="n">
        <x:v>0</x:v>
      </x:c>
      <x:c r="M142" s="37" t="str">
        <x:v>Khác</x:v>
      </x:c>
      <x:c r="N142" s="37" t="str">
        <x:v>CHƯA CÓ GIÁ LẺ</x:v>
      </x:c>
      <x:c r="O142" s="61" t="n">
        <x:v>0.331</x:v>
      </x:c>
      <x:c r="P142" s="37"/>
      <x:c r="Q142" s="30"/>
      <x:c r="R142" s="30"/>
      <x:c r="S142" s="30"/>
      <x:c r="T142" s="37"/>
      <x:c r="U142" s="59"/>
      <x:c r="V142" s="59"/>
      <x:c r="W142" s="117" t="n">
        <x:v>70000</x:v>
      </x:c>
      <x:c r="X142" s="59" t="str">
        <x:f>IFERROR(IF(OR($N142="ĐÃ GHÉP - AUTO",$N142="ĐÃ GHÉP - QUY TẮC"),IF($V142="","",IF($T142="THÙNG",$V142/$F142,$V142)),""),"")</x:f>
      </x:c>
      <x:c r="Y142" s="117" t="n">
        <x:f>IF(OR(W142="",F142=""),"",W142*F142)</x:f>
        <x:v>420000</x:v>
      </x:c>
      <x:c r="Z142" s="59" t="str">
        <x:f>IFERROR(IF(OR($N142="ĐÃ GHÉP - AUTO",$N142="ĐÃ GHÉP - QUY TẮC"),IF($V142="","",IF($T142="THÙNG",$V142,$V142*$F142)),""),"")</x:f>
      </x:c>
      <x:c r="AA142" s="28" t="n">
        <x:f>IFERROR(IF(OR($K142="",$K142=0,$Y142=""),"",($Y142-$K142)/$K142),"")</x:f>
        <x:v>0.024390243902439025</x:v>
      </x:c>
      <x:c r="AB142" s="37" t="str">
        <x:f>IFERROR(IF($N142="CẦN DUYỆT","DUYỆT MAP",IF($N142="CHƯA CÓ GIÁ LẺ","THIẾU GIÁ",IF(OR($K142="",$K142=0,$Y142=""),"OK",IF(ABS(($Y142-$K142)/$K142)&gt;0.15,"LỆCH GIÁ CŨ","OK")))),"OK")</x:f>
        <x:v>THIẾU GIÁ</x:v>
      </x:c>
      <x:c r="AC142" s="30" t="str">
        <x:v>ứng viên gần nhất=Bánh sữa tươi; score=0.331</x:v>
      </x:c>
      <x:c r="AD142" s="37" t="str">
        <x:v>THBISU</x:v>
      </x:c>
      <x:c r="AE142" s="38" t="str">
        <x:v>THBISUT</x:v>
      </x:c>
      <x:c r="AF142" s="123" t="n">
        <x:v>2600</x:v>
      </x:c>
      <x:c r="AG142" s="112" t="str">
        <x:v>g</x:v>
      </x:c>
      <x:c r="AH142" s="112" t="str">
        <x:v>HỘP</x:v>
      </x:c>
      <x:c r="AI142" s="112" t="str">
        <x:v>2600 g / HỘP</x:v>
      </x:c>
      <x:c r="AJ142" s="120" t="n">
        <x:v>70000</x:v>
      </x:c>
      <x:c r="AK142" s="120"/>
      <x:c r="AL142" s="120" t="n">
        <x:v>70000</x:v>
      </x:c>
      <x:c r="AM142" s="112" t="str">
        <x:v>BỔ SUNG GIÁ</x:v>
      </x:c>
      <x:c r="AN142" s="126" t="n">
        <x:v>312</x:v>
      </x:c>
      <x:c r="AO142" s="126" t="n">
        <x:v>313</x:v>
      </x:c>
      <x:c r="AP142" s="113" t="str">
        <x:v>6 HỘP / THÙNG</x:v>
      </x:c>
    </x:row>
    <x:row r="143">
      <x:c r="A143" s="71" t="str">
        <x:v>THẠCH BI ĐÀO</x:v>
      </x:c>
      <x:c r="B143" s="30" t="str">
        <x:v>THẠCH BI ĐÀO - THÙNG</x:v>
      </x:c>
      <x:c r="C143" s="37" t="str">
        <x:v>THBIDO</x:v>
      </x:c>
      <x:c r="D143" s="37" t="str">
        <x:v>THBIDOT</x:v>
      </x:c>
      <x:c r="E143" s="37" t="str">
        <x:v>THBIDOT</x:v>
      </x:c>
      <x:c r="F143" s="37" t="n">
        <x:v>6</x:v>
      </x:c>
      <x:c r="G143" s="37" t="n">
        <x:v>16000</x:v>
      </x:c>
      <x:c r="H143" s="37" t="str">
        <x:v>g</x:v>
      </x:c>
      <x:c r="I143" s="37" t="str">
        <x:v>THÙNG</x:v>
      </x:c>
      <x:c r="J143" s="59" t="n">
        <x:v>0</x:v>
      </x:c>
      <x:c r="K143" s="59" t="n">
        <x:v>410000</x:v>
      </x:c>
      <x:c r="L143" s="59" t="n">
        <x:v>0</x:v>
      </x:c>
      <x:c r="M143" s="37" t="str">
        <x:v>Khác</x:v>
      </x:c>
      <x:c r="N143" s="37" t="str">
        <x:v>CHƯA CÓ GIÁ LẺ</x:v>
      </x:c>
      <x:c r="O143" s="61" t="n">
        <x:v>0.479</x:v>
      </x:c>
      <x:c r="P143" s="37"/>
      <x:c r="Q143" s="30"/>
      <x:c r="R143" s="30"/>
      <x:c r="S143" s="30"/>
      <x:c r="T143" s="37"/>
      <x:c r="U143" s="59"/>
      <x:c r="V143" s="59"/>
      <x:c r="W143" s="117" t="n">
        <x:v>70000</x:v>
      </x:c>
      <x:c r="X143" s="59" t="str">
        <x:f>IFERROR(IF(OR($N143="ĐÃ GHÉP - AUTO",$N143="ĐÃ GHÉP - QUY TẮC"),IF($V143="","",IF($T143="THÙNG",$V143/$F143,$V143)),""),"")</x:f>
      </x:c>
      <x:c r="Y143" s="117" t="n">
        <x:f>IF(OR(W143="",F143=""),"",W143*F143)</x:f>
        <x:v>420000</x:v>
      </x:c>
      <x:c r="Z143" s="59" t="str">
        <x:f>IFERROR(IF(OR($N143="ĐÃ GHÉP - AUTO",$N143="ĐÃ GHÉP - QUY TẮC"),IF($V143="","",IF($T143="THÙNG",$V143,$V143*$F143)),""),"")</x:f>
      </x:c>
      <x:c r="AA143" s="28" t="n">
        <x:f>IFERROR(IF(OR($K143="",$K143=0,$Y143=""),"",($Y143-$K143)/$K143),"")</x:f>
        <x:v>0.024390243902439025</x:v>
      </x:c>
      <x:c r="AB143" s="37" t="str">
        <x:f>IFERROR(IF($N143="CẦN DUYỆT","DUYỆT MAP",IF($N143="CHƯA CÓ GIÁ LẺ","THIẾU GIÁ",IF(OR($K143="",$K143=0,$Y143=""),"OK",IF(ABS(($Y143-$K143)/$K143)&gt;0.15,"LỆCH GIÁ CŨ","OK")))),"OK")</x:f>
        <x:v>THIẾU GIÁ</x:v>
      </x:c>
      <x:c r="AC143" s="30" t="str">
        <x:v>ứng viên gần nhất=CỐT bí đao wonderfull; score=0.479</x:v>
      </x:c>
      <x:c r="AD143" s="37" t="str">
        <x:v>THBIDO</x:v>
      </x:c>
      <x:c r="AE143" s="38" t="str">
        <x:v>THBIDOT</x:v>
      </x:c>
      <x:c r="AF143" s="123" t="n">
        <x:v>26</x:v>
      </x:c>
      <x:c r="AG143" s="112" t="str">
        <x:v>g</x:v>
      </x:c>
      <x:c r="AH143" s="112" t="str">
        <x:v>HỘP</x:v>
      </x:c>
      <x:c r="AI143" s="112" t="str">
        <x:v>26 g / HỘP</x:v>
      </x:c>
      <x:c r="AJ143" s="120" t="n">
        <x:v>70000</x:v>
      </x:c>
      <x:c r="AK143" s="120"/>
      <x:c r="AL143" s="120" t="n">
        <x:v>70000</x:v>
      </x:c>
      <x:c r="AM143" s="112" t="str">
        <x:v>BỔ SUNG GIÁ</x:v>
      </x:c>
      <x:c r="AN143" s="126" t="n">
        <x:v>314</x:v>
      </x:c>
      <x:c r="AO143" s="126" t="n">
        <x:v>315</x:v>
      </x:c>
      <x:c r="AP143" s="113" t="str">
        <x:v>6 HỘP / THÙNG</x:v>
      </x:c>
    </x:row>
    <x:row r="144">
      <x:c r="A144" s="71" t="str">
        <x:v>THẠCH BI CAFE</x:v>
      </x:c>
      <x:c r="B144" s="30" t="str">
        <x:v>THẠCH BI CAFE - THÙNG</x:v>
      </x:c>
      <x:c r="C144" s="37" t="str">
        <x:v>THBICF</x:v>
      </x:c>
      <x:c r="D144" s="37" t="str">
        <x:v>THBICFT</x:v>
      </x:c>
      <x:c r="E144" s="37" t="str">
        <x:v>THBICFT</x:v>
      </x:c>
      <x:c r="F144" s="37" t="n">
        <x:v>6</x:v>
      </x:c>
      <x:c r="G144" s="37" t="n">
        <x:v>16000</x:v>
      </x:c>
      <x:c r="H144" s="37" t="str">
        <x:v>g</x:v>
      </x:c>
      <x:c r="I144" s="37" t="str">
        <x:v>THÙNG</x:v>
      </x:c>
      <x:c r="J144" s="59" t="n">
        <x:v>0</x:v>
      </x:c>
      <x:c r="K144" s="59" t="n">
        <x:v>410000</x:v>
      </x:c>
      <x:c r="L144" s="59" t="n">
        <x:v>0</x:v>
      </x:c>
      <x:c r="M144" s="37" t="str">
        <x:v>Khác</x:v>
      </x:c>
      <x:c r="N144" s="37" t="str">
        <x:v>CHƯA CÓ GIÁ LẺ</x:v>
      </x:c>
      <x:c r="O144" s="61" t="n">
        <x:v>0.357</x:v>
      </x:c>
      <x:c r="P144" s="37"/>
      <x:c r="Q144" s="30"/>
      <x:c r="R144" s="30"/>
      <x:c r="S144" s="30"/>
      <x:c r="T144" s="37"/>
      <x:c r="U144" s="59"/>
      <x:c r="V144" s="59"/>
      <x:c r="W144" s="117" t="n">
        <x:v>70000</x:v>
      </x:c>
      <x:c r="X144" s="59" t="str">
        <x:f>IFERROR(IF(OR($N144="ĐÃ GHÉP - AUTO",$N144="ĐÃ GHÉP - QUY TẮC"),IF($V144="","",IF($T144="THÙNG",$V144/$F144,$V144)),""),"")</x:f>
      </x:c>
      <x:c r="Y144" s="117" t="n">
        <x:f>IF(OR(W144="",F144=""),"",W144*F144)</x:f>
        <x:v>420000</x:v>
      </x:c>
      <x:c r="Z144" s="59" t="str">
        <x:f>IFERROR(IF(OR($N144="ĐÃ GHÉP - AUTO",$N144="ĐÃ GHÉP - QUY TẮC"),IF($V144="","",IF($T144="THÙNG",$V144,$V144*$F144)),""),"")</x:f>
      </x:c>
      <x:c r="AA144" s="28" t="n">
        <x:f>IFERROR(IF(OR($K144="",$K144=0,$Y144=""),"",($Y144-$K144)/$K144),"")</x:f>
        <x:v>0.024390243902439025</x:v>
      </x:c>
      <x:c r="AB144" s="37" t="str">
        <x:f>IFERROR(IF($N144="CẦN DUYỆT","DUYỆT MAP",IF($N144="CHƯA CÓ GIÁ LẺ","THIẾU GIÁ",IF(OR($K144="",$K144=0,$Y144=""),"OK",IF(ABS(($Y144-$K144)/$K144)&gt;0.15,"LỆCH GIÁ CŨ","OK")))),"OK")</x:f>
        <x:v>THIẾU GIÁ</x:v>
      </x:c>
      <x:c r="AC144" s="30" t="str">
        <x:v>ứng viên gần nhất=Tc Cafe Gia Uy; score=0.357</x:v>
      </x:c>
      <x:c r="AD144" s="37" t="str">
        <x:v>THBICF</x:v>
      </x:c>
      <x:c r="AE144" s="38" t="str">
        <x:v>THBICFT</x:v>
      </x:c>
      <x:c r="AF144" s="123" t="n">
        <x:v>26</x:v>
      </x:c>
      <x:c r="AG144" s="112" t="str">
        <x:v>g</x:v>
      </x:c>
      <x:c r="AH144" s="112" t="str">
        <x:v>HỘP</x:v>
      </x:c>
      <x:c r="AI144" s="112" t="str">
        <x:v>26 g / HỘP</x:v>
      </x:c>
      <x:c r="AJ144" s="120" t="n">
        <x:v>70000</x:v>
      </x:c>
      <x:c r="AK144" s="120"/>
      <x:c r="AL144" s="120" t="n">
        <x:v>70000</x:v>
      </x:c>
      <x:c r="AM144" s="112" t="str">
        <x:v>BỔ SUNG GIÁ</x:v>
      </x:c>
      <x:c r="AN144" s="126" t="n">
        <x:v>316</x:v>
      </x:c>
      <x:c r="AO144" s="126" t="n">
        <x:v>317</x:v>
      </x:c>
      <x:c r="AP144" s="113" t="str">
        <x:v>6 HỘP / THÙNG</x:v>
      </x:c>
    </x:row>
    <x:row r="145">
      <x:c r="A145" s="71" t="str">
        <x:v>THẠCH BI 5 MÀU</x:v>
      </x:c>
      <x:c r="B145" s="30" t="str">
        <x:v>THẠCH BI 5 MÀU - THÙNG</x:v>
      </x:c>
      <x:c r="C145" s="37" t="str">
        <x:v>THBI5M</x:v>
      </x:c>
      <x:c r="D145" s="37" t="str">
        <x:v>THBI5MT</x:v>
      </x:c>
      <x:c r="E145" s="37" t="str">
        <x:v>THBI5MT</x:v>
      </x:c>
      <x:c r="F145" s="37" t="n">
        <x:v>6</x:v>
      </x:c>
      <x:c r="G145" s="37" t="n">
        <x:v>16000</x:v>
      </x:c>
      <x:c r="H145" s="37" t="str">
        <x:v>g</x:v>
      </x:c>
      <x:c r="I145" s="37" t="str">
        <x:v>THÙNG</x:v>
      </x:c>
      <x:c r="J145" s="59" t="n">
        <x:v>0</x:v>
      </x:c>
      <x:c r="K145" s="59" t="n">
        <x:v>410000</x:v>
      </x:c>
      <x:c r="L145" s="59" t="n">
        <x:v>0</x:v>
      </x:c>
      <x:c r="M145" s="37" t="str">
        <x:v>Khác</x:v>
      </x:c>
      <x:c r="N145" s="37" t="str">
        <x:v>CHƯA CÓ GIÁ LẺ</x:v>
      </x:c>
      <x:c r="O145" s="61" t="n">
        <x:v>0.297</x:v>
      </x:c>
      <x:c r="P145" s="37"/>
      <x:c r="Q145" s="30"/>
      <x:c r="R145" s="30"/>
      <x:c r="S145" s="30"/>
      <x:c r="T145" s="37"/>
      <x:c r="U145" s="59"/>
      <x:c r="V145" s="59"/>
      <x:c r="W145" s="117" t="n">
        <x:v>70000</x:v>
      </x:c>
      <x:c r="X145" s="59" t="str">
        <x:f>IFERROR(IF(OR($N145="ĐÃ GHÉP - AUTO",$N145="ĐÃ GHÉP - QUY TẮC"),IF($V145="","",IF($T145="THÙNG",$V145/$F145,$V145)),""),"")</x:f>
      </x:c>
      <x:c r="Y145" s="117" t="n">
        <x:f>IF(OR(W145="",F145=""),"",W145*F145)</x:f>
        <x:v>420000</x:v>
      </x:c>
      <x:c r="Z145" s="59" t="str">
        <x:f>IFERROR(IF(OR($N145="ĐÃ GHÉP - AUTO",$N145="ĐÃ GHÉP - QUY TẮC"),IF($V145="","",IF($T145="THÙNG",$V145,$V145*$F145)),""),"")</x:f>
      </x:c>
      <x:c r="AA145" s="28" t="n">
        <x:f>IFERROR(IF(OR($K145="",$K145=0,$Y145=""),"",($Y145-$K145)/$K145),"")</x:f>
        <x:v>0.024390243902439025</x:v>
      </x:c>
      <x:c r="AB145" s="37" t="str">
        <x:f>IFERROR(IF($N145="CẦN DUYỆT","DUYỆT MAP",IF($N145="CHƯA CÓ GIÁ LẺ","THIẾU GIÁ",IF(OR($K145="",$K145=0,$Y145=""),"OK",IF(ABS(($Y145-$K145)/$K145)&gt;0.15,"LỆCH GIÁ CŨ","OK")))),"OK")</x:f>
        <x:v>THIẾU GIÁ</x:v>
      </x:c>
      <x:c r="AC145" s="30" t="str">
        <x:v>ứng viên gần nhất=CỐT bí đao wonderfull; score=0.297</x:v>
      </x:c>
      <x:c r="AD145" s="37" t="str">
        <x:v>THBI5M</x:v>
      </x:c>
      <x:c r="AE145" s="38" t="str">
        <x:v>THBI5MT</x:v>
      </x:c>
      <x:c r="AF145" s="123" t="n">
        <x:v>26</x:v>
      </x:c>
      <x:c r="AG145" s="112" t="str">
        <x:v>g</x:v>
      </x:c>
      <x:c r="AH145" s="112" t="str">
        <x:v>HỘP</x:v>
      </x:c>
      <x:c r="AI145" s="112" t="str">
        <x:v>26 g / HỘP</x:v>
      </x:c>
      <x:c r="AJ145" s="120" t="n">
        <x:v>70000</x:v>
      </x:c>
      <x:c r="AK145" s="120"/>
      <x:c r="AL145" s="120" t="n">
        <x:v>70000</x:v>
      </x:c>
      <x:c r="AM145" s="112" t="str">
        <x:v>BỔ SUNG GIÁ</x:v>
      </x:c>
      <x:c r="AN145" s="126" t="n">
        <x:v>318</x:v>
      </x:c>
      <x:c r="AO145" s="126" t="n">
        <x:v>319</x:v>
      </x:c>
      <x:c r="AP145" s="113" t="str">
        <x:v>6 HỘP / THÙNG</x:v>
      </x:c>
    </x:row>
    <x:row r="146">
      <x:c r="A146" s="71" t="str">
        <x:v>THẠCH 3Q HỦ</x:v>
      </x:c>
      <x:c r="B146" s="30" t="str">
        <x:v>THẠCH 3Q HỦ - THÙNG</x:v>
      </x:c>
      <x:c r="C146" s="37" t="str">
        <x:v>3QHUDX</x:v>
      </x:c>
      <x:c r="D146" s="37" t="str">
        <x:v>3QHUDXT</x:v>
      </x:c>
      <x:c r="E146" s="37" t="str">
        <x:v>3QHUDXT</x:v>
      </x:c>
      <x:c r="F146" s="37" t="n">
        <x:v>6</x:v>
      </x:c>
      <x:c r="G146" s="37" t="n">
        <x:v>16000</x:v>
      </x:c>
      <x:c r="H146" s="37" t="str">
        <x:v>g</x:v>
      </x:c>
      <x:c r="I146" s="37" t="str">
        <x:v>THÙNG</x:v>
      </x:c>
      <x:c r="J146" s="59" t="n">
        <x:v>0</x:v>
      </x:c>
      <x:c r="K146" s="59" t="n">
        <x:v>410000</x:v>
      </x:c>
      <x:c r="L146" s="59" t="n">
        <x:v>0</x:v>
      </x:c>
      <x:c r="M146" s="37" t="str">
        <x:v>Khác</x:v>
      </x:c>
      <x:c r="N146" s="37" t="str">
        <x:v>ĐÃ GHÉP - QUY TẮC</x:v>
      </x:c>
      <x:c r="O146" s="61" t="n">
        <x:v>0.99</x:v>
      </x:c>
      <x:c r="P146" s="37" t="n">
        <x:v>93</x:v>
      </x:c>
      <x:c r="Q146" s="30" t="str">
        <x:v>3Q Douxian hủ</x:v>
      </x:c>
      <x:c r="R146" s="30" t="str">
        <x:v>Thùng 6 hủ</x:v>
      </x:c>
      <x:c r="S146" s="30" t="str">
        <x:v>hủ</x:v>
      </x:c>
      <x:c r="T146" s="37" t="str">
        <x:v>ĐƠN VỊ</x:v>
      </x:c>
      <x:c r="U146" s="59" t="n">
        <x:v>70000</x:v>
      </x:c>
      <x:c r="V146" s="59"/>
      <x:c r="W146" s="117" t="n">
        <x:v>70000</x:v>
      </x:c>
      <x:c r="X146" s="59" t="str">
        <x:f>IFERROR(IF(OR($N146="ĐÃ GHÉP - AUTO",$N146="ĐÃ GHÉP - QUY TẮC"),IF($V146="","",IF($T146="THÙNG",$V146/$F146,$V146)),""),"")</x:f>
      </x:c>
      <x:c r="Y146" s="117" t="n">
        <x:f>IF(OR(W146="",F146=""),"",W146*F146)</x:f>
        <x:v>420000</x:v>
      </x:c>
      <x:c r="Z146" s="59" t="str">
        <x:f>IFERROR(IF(OR($N146="ĐÃ GHÉP - AUTO",$N146="ĐÃ GHÉP - QUY TẮC"),IF($V146="","",IF($T146="THÙNG",$V146,$V146*$F146)),""),"")</x:f>
      </x:c>
      <x:c r="AA146" s="28" t="n">
        <x:f>IFERROR(IF(OR($K146="",$K146=0,$Y146=""),"",($Y146-$K146)/$K146),"")</x:f>
        <x:v>0.024390243902439025</x:v>
      </x:c>
      <x:c r="AB146" s="37" t="str">
        <x:f>IFERROR(IF($N146="CẦN DUYỆT","DUYỆT MAP",IF($N146="CHƯA CÓ GIÁ LẺ","THIẾU GIÁ",IF(OR($K146="",$K146=0,$Y146=""),"OK",IF(ABS(($Y146-$K146)/$K146)&gt;0.15,"LỆCH GIÁ CŨ","OK")))),"OK")</x:f>
        <x:v>OK</x:v>
      </x:c>
      <x:c r="AC146" s="30" t="str">
        <x:v>3Q Douxian hủ</x:v>
      </x:c>
      <x:c r="AD146" s="37" t="str">
        <x:v>3QHUDX</x:v>
      </x:c>
      <x:c r="AE146" s="38" t="str">
        <x:v>3QHUDXT</x:v>
      </x:c>
      <x:c r="AF146" s="123" t="n">
        <x:v>2600</x:v>
      </x:c>
      <x:c r="AG146" s="112" t="str">
        <x:v>g</x:v>
      </x:c>
      <x:c r="AH146" s="112" t="str">
        <x:v>HỘP</x:v>
      </x:c>
      <x:c r="AI146" s="112" t="str">
        <x:v>2600 g / HỘP</x:v>
      </x:c>
      <x:c r="AJ146" s="120" t="n">
        <x:v>70000</x:v>
      </x:c>
      <x:c r="AK146" s="120" t="n">
        <x:v>70000</x:v>
      </x:c>
      <x:c r="AL146" s="120" t="n">
        <x:v>70000</x:v>
      </x:c>
      <x:c r="AM146" s="112" t="str">
        <x:v>GIỮ NGUYÊN - ĐÃ KHỚP</x:v>
      </x:c>
      <x:c r="AN146" s="126" t="n">
        <x:v>321</x:v>
      </x:c>
      <x:c r="AO146" s="126" t="n">
        <x:v>322</x:v>
      </x:c>
      <x:c r="AP146" s="113" t="str">
        <x:v>6 HỘP / THÙNG</x:v>
      </x:c>
    </x:row>
    <x:row r="147">
      <x:c r="A147" s="71" t="str">
        <x:v>THẠCH 3D XOÀI LỚN</x:v>
      </x:c>
      <x:c r="B147" s="30" t="str">
        <x:v>THẠCH 3D XOÀI LỚN - THÙNG</x:v>
      </x:c>
      <x:c r="C147" s="37" t="str">
        <x:v>3DXOAL</x:v>
      </x:c>
      <x:c r="D147" s="37" t="str">
        <x:v>3DXOALT</x:v>
      </x:c>
      <x:c r="E147" s="37" t="str">
        <x:v>3DXOALT</x:v>
      </x:c>
      <x:c r="F147" s="37" t="n">
        <x:v>6</x:v>
      </x:c>
      <x:c r="G147" s="37" t="n">
        <x:v>16000</x:v>
      </x:c>
      <x:c r="H147" s="37" t="str">
        <x:v>g</x:v>
      </x:c>
      <x:c r="I147" s="37" t="str">
        <x:v>THÙNG</x:v>
      </x:c>
      <x:c r="J147" s="59" t="n">
        <x:v>0</x:v>
      </x:c>
      <x:c r="K147" s="59" t="n">
        <x:v>410000</x:v>
      </x:c>
      <x:c r="L147" s="59" t="n">
        <x:v>0</x:v>
      </x:c>
      <x:c r="M147" s="37" t="str">
        <x:v>Khác</x:v>
      </x:c>
      <x:c r="N147" s="37" t="str">
        <x:v>CHƯA CÓ GIÁ LẺ</x:v>
      </x:c>
      <x:c r="O147" s="61" t="n">
        <x:v>0.451</x:v>
      </x:c>
      <x:c r="P147" s="37"/>
      <x:c r="Q147" s="30"/>
      <x:c r="R147" s="30"/>
      <x:c r="S147" s="30"/>
      <x:c r="T147" s="37"/>
      <x:c r="U147" s="59"/>
      <x:c r="V147" s="59"/>
      <x:c r="W147" s="117" t="n">
        <x:v>70000</x:v>
      </x:c>
      <x:c r="X147" s="59" t="str">
        <x:f>IFERROR(IF(OR($N147="ĐÃ GHÉP - AUTO",$N147="ĐÃ GHÉP - QUY TẮC"),IF($V147="","",IF($T147="THÙNG",$V147/$F147,$V147)),""),"")</x:f>
      </x:c>
      <x:c r="Y147" s="117" t="n">
        <x:f>IF(OR(W147="",F147=""),"",W147*F147)</x:f>
        <x:v>420000</x:v>
      </x:c>
      <x:c r="Z147" s="59" t="str">
        <x:f>IFERROR(IF(OR($N147="ĐÃ GHÉP - AUTO",$N147="ĐÃ GHÉP - QUY TẮC"),IF($V147="","",IF($T147="THÙNG",$V147,$V147*$F147)),""),"")</x:f>
      </x:c>
      <x:c r="AA147" s="28" t="n">
        <x:f>IFERROR(IF(OR($K147="",$K147=0,$Y147=""),"",($Y147-$K147)/$K147),"")</x:f>
        <x:v>0.024390243902439025</x:v>
      </x:c>
      <x:c r="AB147" s="37" t="str">
        <x:f>IFERROR(IF($N147="CẦN DUYỆT","DUYỆT MAP",IF($N147="CHƯA CÓ GIÁ LẺ","THIẾU GIÁ",IF(OR($K147="",$K147=0,$Y147=""),"OK",IF(ABS(($Y147-$K147)/$K147)&gt;0.15,"LỆCH GIÁ CŨ","OK")))),"OK")</x:f>
        <x:v>THIẾU GIÁ</x:v>
      </x:c>
      <x:c r="AC147" s="30" t="str">
        <x:v>ứng viên gần nhất=Sinh Tố Berrino Xoài; score=0.451</x:v>
      </x:c>
      <x:c r="AD147" s="37" t="str">
        <x:v>3DXOAL</x:v>
      </x:c>
      <x:c r="AE147" s="38" t="str">
        <x:v>3DXOALT</x:v>
      </x:c>
      <x:c r="AF147" s="123" t="n">
        <x:v>2600</x:v>
      </x:c>
      <x:c r="AG147" s="112" t="str">
        <x:v>g</x:v>
      </x:c>
      <x:c r="AH147" s="112" t="str">
        <x:v>HỘP</x:v>
      </x:c>
      <x:c r="AI147" s="112" t="str">
        <x:v>2600 g / HỘP</x:v>
      </x:c>
      <x:c r="AJ147" s="120" t="n">
        <x:v>70000</x:v>
      </x:c>
      <x:c r="AK147" s="120"/>
      <x:c r="AL147" s="120" t="n">
        <x:v>70000</x:v>
      </x:c>
      <x:c r="AM147" s="112" t="str">
        <x:v>BỔ SUNG GIÁ</x:v>
      </x:c>
      <x:c r="AN147" s="126" t="n">
        <x:v>323</x:v>
      </x:c>
      <x:c r="AO147" s="126" t="n">
        <x:v>324</x:v>
      </x:c>
      <x:c r="AP147" s="113" t="str">
        <x:v>6 HỘP / THÙNG</x:v>
      </x:c>
    </x:row>
    <x:row r="148">
      <x:c r="A148" s="71" t="str">
        <x:v>THẠCH 3D TRÁI CÂY NHỎ</x:v>
      </x:c>
      <x:c r="B148" s="30" t="str">
        <x:v>THẠCH 3D TRÁI CÂY NHỎ - THÙNG</x:v>
      </x:c>
      <x:c r="C148" s="37" t="str">
        <x:v>3DTCNH</x:v>
      </x:c>
      <x:c r="D148" s="37" t="str">
        <x:v>3DTCNHT</x:v>
      </x:c>
      <x:c r="E148" s="37" t="str">
        <x:v>3DTCNHT</x:v>
      </x:c>
      <x:c r="F148" s="37" t="n">
        <x:v>6</x:v>
      </x:c>
      <x:c r="G148" s="37" t="n">
        <x:v>16000</x:v>
      </x:c>
      <x:c r="H148" s="37" t="str">
        <x:v>g</x:v>
      </x:c>
      <x:c r="I148" s="37" t="str">
        <x:v>THÙNG</x:v>
      </x:c>
      <x:c r="J148" s="59" t="n">
        <x:v>0</x:v>
      </x:c>
      <x:c r="K148" s="59" t="n">
        <x:v>410000</x:v>
      </x:c>
      <x:c r="L148" s="59" t="n">
        <x:v>0</x:v>
      </x:c>
      <x:c r="M148" s="37" t="str">
        <x:v>Khác</x:v>
      </x:c>
      <x:c r="N148" s="37" t="str">
        <x:v>CHƯA CÓ GIÁ LẺ</x:v>
      </x:c>
      <x:c r="O148" s="61" t="n">
        <x:v>0.418</x:v>
      </x:c>
      <x:c r="P148" s="37"/>
      <x:c r="Q148" s="30"/>
      <x:c r="R148" s="30"/>
      <x:c r="S148" s="30"/>
      <x:c r="T148" s="37"/>
      <x:c r="U148" s="59"/>
      <x:c r="V148" s="59"/>
      <x:c r="W148" s="117" t="n">
        <x:v>70000</x:v>
      </x:c>
      <x:c r="X148" s="59" t="str">
        <x:f>IFERROR(IF(OR($N148="ĐÃ GHÉP - AUTO",$N148="ĐÃ GHÉP - QUY TẮC"),IF($V148="","",IF($T148="THÙNG",$V148/$F148,$V148)),""),"")</x:f>
      </x:c>
      <x:c r="Y148" s="117" t="n">
        <x:f>IF(OR(W148="",F148=""),"",W148*F148)</x:f>
        <x:v>420000</x:v>
      </x:c>
      <x:c r="Z148" s="59" t="str">
        <x:f>IFERROR(IF(OR($N148="ĐÃ GHÉP - AUTO",$N148="ĐÃ GHÉP - QUY TẮC"),IF($V148="","",IF($T148="THÙNG",$V148,$V148*$F148)),""),"")</x:f>
      </x:c>
      <x:c r="AA148" s="28" t="n">
        <x:f>IFERROR(IF(OR($K148="",$K148=0,$Y148=""),"",($Y148-$K148)/$K148),"")</x:f>
        <x:v>0.024390243902439025</x:v>
      </x:c>
      <x:c r="AB148" s="37" t="str">
        <x:f>IFERROR(IF($N148="CẦN DUYỆT","DUYỆT MAP",IF($N148="CHƯA CÓ GIÁ LẺ","THIẾU GIÁ",IF(OR($K148="",$K148=0,$Y148=""),"OK",IF(ABS(($Y148-$K148)/$K148)&gt;0.15,"LỆCH GIÁ CŨ","OK")))),"OK")</x:f>
        <x:v>THIẾU GIÁ</x:v>
      </x:c>
      <x:c r="AC148" s="30" t="str">
        <x:v>ứng viên gần nhất=Sinh Tố Gol Nho; score=0.418</x:v>
      </x:c>
      <x:c r="AD148" s="37" t="str">
        <x:v>3DTCNH</x:v>
      </x:c>
      <x:c r="AE148" s="38" t="str">
        <x:v>3DTCNHT</x:v>
      </x:c>
      <x:c r="AF148" s="123" t="n">
        <x:v>2600</x:v>
      </x:c>
      <x:c r="AG148" s="112" t="str">
        <x:v>g</x:v>
      </x:c>
      <x:c r="AH148" s="112" t="str">
        <x:v>HỘP</x:v>
      </x:c>
      <x:c r="AI148" s="112" t="str">
        <x:v>2600 g / HỘP</x:v>
      </x:c>
      <x:c r="AJ148" s="120" t="n">
        <x:v>70000</x:v>
      </x:c>
      <x:c r="AK148" s="120"/>
      <x:c r="AL148" s="120" t="n">
        <x:v>70000</x:v>
      </x:c>
      <x:c r="AM148" s="112" t="str">
        <x:v>BỔ SUNG GIÁ</x:v>
      </x:c>
      <x:c r="AN148" s="126" t="n">
        <x:v>325</x:v>
      </x:c>
      <x:c r="AO148" s="126" t="n">
        <x:v>326</x:v>
      </x:c>
      <x:c r="AP148" s="113" t="str">
        <x:v>6 HỘP / THÙNG</x:v>
      </x:c>
    </x:row>
    <x:row r="149">
      <x:c r="A149" s="71" t="str">
        <x:v>THẠCH 3D TRÁI CÂY LỚN</x:v>
      </x:c>
      <x:c r="B149" s="30" t="str">
        <x:v>THẠCH 3D TRÁI CÂY LỚN - THÙNG</x:v>
      </x:c>
      <x:c r="C149" s="37" t="str">
        <x:v>3DTCLN</x:v>
      </x:c>
      <x:c r="D149" s="37" t="str">
        <x:v>3DTCLNT</x:v>
      </x:c>
      <x:c r="E149" s="37" t="str">
        <x:v>3DTCLNT</x:v>
      </x:c>
      <x:c r="F149" s="37" t="n">
        <x:v>6</x:v>
      </x:c>
      <x:c r="G149" s="37" t="n">
        <x:v>16000</x:v>
      </x:c>
      <x:c r="H149" s="37" t="str">
        <x:v>g</x:v>
      </x:c>
      <x:c r="I149" s="37" t="str">
        <x:v>THÙNG</x:v>
      </x:c>
      <x:c r="J149" s="59" t="n">
        <x:v>0</x:v>
      </x:c>
      <x:c r="K149" s="59" t="n">
        <x:v>410000</x:v>
      </x:c>
      <x:c r="L149" s="59" t="n">
        <x:v>0</x:v>
      </x:c>
      <x:c r="M149" s="37" t="str">
        <x:v>Khác</x:v>
      </x:c>
      <x:c r="N149" s="37" t="str">
        <x:v>CHƯA CÓ GIÁ LẺ</x:v>
      </x:c>
      <x:c r="O149" s="61" t="n">
        <x:v>0.067</x:v>
      </x:c>
      <x:c r="P149" s="37"/>
      <x:c r="Q149" s="30"/>
      <x:c r="R149" s="30"/>
      <x:c r="S149" s="30"/>
      <x:c r="T149" s="37"/>
      <x:c r="U149" s="59"/>
      <x:c r="V149" s="59"/>
      <x:c r="W149" s="117" t="n">
        <x:v>70000</x:v>
      </x:c>
      <x:c r="X149" s="59" t="str">
        <x:f>IFERROR(IF(OR($N149="ĐÃ GHÉP - AUTO",$N149="ĐÃ GHÉP - QUY TẮC"),IF($V149="","",IF($T149="THÙNG",$V149/$F149,$V149)),""),"")</x:f>
      </x:c>
      <x:c r="Y149" s="117" t="n">
        <x:f>IF(OR(W149="",F149=""),"",W149*F149)</x:f>
        <x:v>420000</x:v>
      </x:c>
      <x:c r="Z149" s="59" t="str">
        <x:f>IFERROR(IF(OR($N149="ĐÃ GHÉP - AUTO",$N149="ĐÃ GHÉP - QUY TẮC"),IF($V149="","",IF($T149="THÙNG",$V149,$V149*$F149)),""),"")</x:f>
      </x:c>
      <x:c r="AA149" s="28" t="n">
        <x:f>IFERROR(IF(OR($K149="",$K149=0,$Y149=""),"",($Y149-$K149)/$K149),"")</x:f>
        <x:v>0.024390243902439025</x:v>
      </x:c>
      <x:c r="AB149" s="37" t="str">
        <x:f>IFERROR(IF($N149="CẦN DUYỆT","DUYỆT MAP",IF($N149="CHƯA CÓ GIÁ LẺ","THIẾU GIÁ",IF(OR($K149="",$K149=0,$Y149=""),"OK",IF(ABS(($Y149-$K149)/$K149)&gt;0.15,"LỆCH GIÁ CŨ","OK")))),"OK")</x:f>
        <x:v>THIẾU GIÁ</x:v>
      </x:c>
      <x:c r="AC149" s="30" t="str">
        <x:v>ứng viên gần nhất=Giấm Táo; score=0.067</x:v>
      </x:c>
      <x:c r="AD149" s="37" t="str">
        <x:v>3DTCLN</x:v>
      </x:c>
      <x:c r="AE149" s="38" t="str">
        <x:v>3DTCLNT</x:v>
      </x:c>
      <x:c r="AF149" s="123" t="n">
        <x:v>26</x:v>
      </x:c>
      <x:c r="AG149" s="112" t="str">
        <x:v>g</x:v>
      </x:c>
      <x:c r="AH149" s="112" t="str">
        <x:v>HỘP</x:v>
      </x:c>
      <x:c r="AI149" s="112" t="str">
        <x:v>26 g / HỘP</x:v>
      </x:c>
      <x:c r="AJ149" s="120" t="n">
        <x:v>70000</x:v>
      </x:c>
      <x:c r="AK149" s="120"/>
      <x:c r="AL149" s="120" t="n">
        <x:v>70000</x:v>
      </x:c>
      <x:c r="AM149" s="112" t="str">
        <x:v>BỔ SUNG GIÁ</x:v>
      </x:c>
      <x:c r="AN149" s="126" t="n">
        <x:v>327</x:v>
      </x:c>
      <x:c r="AO149" s="126" t="n">
        <x:v>328</x:v>
      </x:c>
      <x:c r="AP149" s="113" t="str">
        <x:v>6 HỘP / THÙNG</x:v>
      </x:c>
    </x:row>
    <x:row r="150">
      <x:c r="A150" s="71" t="str">
        <x:v>THẠCH 3D SOCOLA LỚN</x:v>
      </x:c>
      <x:c r="B150" s="30" t="str">
        <x:v>THẠCH 3D SOCOLA LỚN - THÙNG</x:v>
      </x:c>
      <x:c r="C150" s="37" t="str">
        <x:v>3DSCLL</x:v>
      </x:c>
      <x:c r="D150" s="37" t="str">
        <x:v>3DSCLLT</x:v>
      </x:c>
      <x:c r="E150" s="37" t="str">
        <x:v>3DSCLLT</x:v>
      </x:c>
      <x:c r="F150" s="37" t="n">
        <x:v>6</x:v>
      </x:c>
      <x:c r="G150" s="37" t="n">
        <x:v>16000</x:v>
      </x:c>
      <x:c r="H150" s="37" t="str">
        <x:v>g</x:v>
      </x:c>
      <x:c r="I150" s="37" t="str">
        <x:v>THÙNG</x:v>
      </x:c>
      <x:c r="J150" s="59" t="n">
        <x:v>0</x:v>
      </x:c>
      <x:c r="K150" s="59" t="n">
        <x:v>410000</x:v>
      </x:c>
      <x:c r="L150" s="59" t="n">
        <x:v>0</x:v>
      </x:c>
      <x:c r="M150" s="37" t="str">
        <x:v>Khác</x:v>
      </x:c>
      <x:c r="N150" s="37" t="str">
        <x:v>CHƯA CÓ GIÁ LẺ</x:v>
      </x:c>
      <x:c r="O150" s="61" t="n">
        <x:v>0.5</x:v>
      </x:c>
      <x:c r="P150" s="37"/>
      <x:c r="Q150" s="30"/>
      <x:c r="R150" s="30"/>
      <x:c r="S150" s="30"/>
      <x:c r="T150" s="37"/>
      <x:c r="U150" s="59"/>
      <x:c r="V150" s="59"/>
      <x:c r="W150" s="117" t="n">
        <x:v>70000</x:v>
      </x:c>
      <x:c r="X150" s="59" t="str">
        <x:f>IFERROR(IF(OR($N150="ĐÃ GHÉP - AUTO",$N150="ĐÃ GHÉP - QUY TẮC"),IF($V150="","",IF($T150="THÙNG",$V150/$F150,$V150)),""),"")</x:f>
      </x:c>
      <x:c r="Y150" s="117" t="n">
        <x:f>IF(OR(W150="",F150=""),"",W150*F150)</x:f>
        <x:v>420000</x:v>
      </x:c>
      <x:c r="Z150" s="59" t="str">
        <x:f>IFERROR(IF(OR($N150="ĐÃ GHÉP - AUTO",$N150="ĐÃ GHÉP - QUY TẮC"),IF($V150="","",IF($T150="THÙNG",$V150,$V150*$F150)),""),"")</x:f>
      </x:c>
      <x:c r="AA150" s="28" t="n">
        <x:f>IFERROR(IF(OR($K150="",$K150=0,$Y150=""),"",($Y150-$K150)/$K150),"")</x:f>
        <x:v>0.024390243902439025</x:v>
      </x:c>
      <x:c r="AB150" s="37" t="str">
        <x:f>IFERROR(IF($N150="CẦN DUYỆT","DUYỆT MAP",IF($N150="CHƯA CÓ GIÁ LẺ","THIẾU GIÁ",IF(OR($K150="",$K150=0,$Y150=""),"OK",IF(ABS(($Y150-$K150)/$K150)&gt;0.15,"LỆCH GIÁ CŨ","OK")))),"OK")</x:f>
        <x:v>THIẾU GIÁ</x:v>
      </x:c>
      <x:c r="AC150" s="30" t="str">
        <x:v>ứng viên gần nhất=Sốt Gold  SÔ; score=0.500</x:v>
      </x:c>
      <x:c r="AD150" s="37" t="str">
        <x:v>3DSCLL</x:v>
      </x:c>
      <x:c r="AE150" s="38" t="str">
        <x:v>3DSCLLT</x:v>
      </x:c>
      <x:c r="AF150" s="123" t="n">
        <x:v>2600</x:v>
      </x:c>
      <x:c r="AG150" s="112" t="str">
        <x:v>g</x:v>
      </x:c>
      <x:c r="AH150" s="112" t="str">
        <x:v>HỘP</x:v>
      </x:c>
      <x:c r="AI150" s="112" t="str">
        <x:v>2600 g / HỘP</x:v>
      </x:c>
      <x:c r="AJ150" s="120" t="n">
        <x:v>70000</x:v>
      </x:c>
      <x:c r="AK150" s="120"/>
      <x:c r="AL150" s="120" t="n">
        <x:v>70000</x:v>
      </x:c>
      <x:c r="AM150" s="112" t="str">
        <x:v>BỔ SUNG GIÁ</x:v>
      </x:c>
      <x:c r="AN150" s="126" t="n">
        <x:v>329</x:v>
      </x:c>
      <x:c r="AO150" s="126" t="n">
        <x:v>330</x:v>
      </x:c>
      <x:c r="AP150" s="113" t="str">
        <x:v>6 HỘP / THÙNG</x:v>
      </x:c>
    </x:row>
    <x:row r="151">
      <x:c r="A151" s="71" t="str">
        <x:v>THẠCH 3D MATCHA NHỎ</x:v>
      </x:c>
      <x:c r="B151" s="30" t="str">
        <x:v>THẠCH 3D MATCHA NHỎ - THÙNG</x:v>
      </x:c>
      <x:c r="C151" s="37" t="str">
        <x:v>3DMATN</x:v>
      </x:c>
      <x:c r="D151" s="37" t="str">
        <x:v>3DMATNT</x:v>
      </x:c>
      <x:c r="E151" s="37" t="str">
        <x:v>3DMATNT</x:v>
      </x:c>
      <x:c r="F151" s="37" t="n">
        <x:v>6</x:v>
      </x:c>
      <x:c r="G151" s="37" t="n">
        <x:v>16000</x:v>
      </x:c>
      <x:c r="H151" s="37" t="str">
        <x:v>g</x:v>
      </x:c>
      <x:c r="I151" s="37" t="str">
        <x:v>THÙNG</x:v>
      </x:c>
      <x:c r="J151" s="59" t="n">
        <x:v>0</x:v>
      </x:c>
      <x:c r="K151" s="59" t="n">
        <x:v>410000</x:v>
      </x:c>
      <x:c r="L151" s="59" t="n">
        <x:v>0</x:v>
      </x:c>
      <x:c r="M151" s="37" t="str">
        <x:v>Khác</x:v>
      </x:c>
      <x:c r="N151" s="37" t="str">
        <x:v>CHƯA CÓ GIÁ LẺ</x:v>
      </x:c>
      <x:c r="O151" s="61" t="n">
        <x:v>0.524</x:v>
      </x:c>
      <x:c r="P151" s="37"/>
      <x:c r="Q151" s="30"/>
      <x:c r="R151" s="30"/>
      <x:c r="S151" s="30"/>
      <x:c r="T151" s="37"/>
      <x:c r="U151" s="59"/>
      <x:c r="V151" s="59"/>
      <x:c r="W151" s="117" t="n">
        <x:v>70000</x:v>
      </x:c>
      <x:c r="X151" s="59" t="str">
        <x:f>IFERROR(IF(OR($N151="ĐÃ GHÉP - AUTO",$N151="ĐÃ GHÉP - QUY TẮC"),IF($V151="","",IF($T151="THÙNG",$V151/$F151,$V151)),""),"")</x:f>
      </x:c>
      <x:c r="Y151" s="117" t="n">
        <x:f>IF(OR(W151="",F151=""),"",W151*F151)</x:f>
        <x:v>420000</x:v>
      </x:c>
      <x:c r="Z151" s="59" t="str">
        <x:f>IFERROR(IF(OR($N151="ĐÃ GHÉP - AUTO",$N151="ĐÃ GHÉP - QUY TẮC"),IF($V151="","",IF($T151="THÙNG",$V151,$V151*$F151)),""),"")</x:f>
      </x:c>
      <x:c r="AA151" s="28" t="n">
        <x:f>IFERROR(IF(OR($K151="",$K151=0,$Y151=""),"",($Y151-$K151)/$K151),"")</x:f>
        <x:v>0.024390243902439025</x:v>
      </x:c>
      <x:c r="AB151" s="37" t="str">
        <x:f>IFERROR(IF($N151="CẦN DUYỆT","DUYỆT MAP",IF($N151="CHƯA CÓ GIÁ LẺ","THIẾU GIÁ",IF(OR($K151="",$K151=0,$Y151=""),"OK",IF(ABS(($Y151-$K151)/$K151)&gt;0.15,"LỆCH GIÁ CŨ","OK")))),"OK")</x:f>
        <x:v>THIẾU GIÁ</x:v>
      </x:c>
      <x:c r="AC151" s="30" t="str">
        <x:v>ứng viên gần nhất=Sốt Gold Matcha; score=0.524</x:v>
      </x:c>
      <x:c r="AD151" s="37" t="str">
        <x:v>3DMATN</x:v>
      </x:c>
      <x:c r="AE151" s="38" t="str">
        <x:v>3DMATNT</x:v>
      </x:c>
      <x:c r="AF151" s="123" t="n">
        <x:v>2600</x:v>
      </x:c>
      <x:c r="AG151" s="112" t="str">
        <x:v>g</x:v>
      </x:c>
      <x:c r="AH151" s="112" t="str">
        <x:v>HỘP</x:v>
      </x:c>
      <x:c r="AI151" s="112" t="str">
        <x:v>2600 g / HỘP</x:v>
      </x:c>
      <x:c r="AJ151" s="120" t="n">
        <x:v>70000</x:v>
      </x:c>
      <x:c r="AK151" s="120"/>
      <x:c r="AL151" s="120" t="n">
        <x:v>70000</x:v>
      </x:c>
      <x:c r="AM151" s="112" t="str">
        <x:v>BỔ SUNG GIÁ</x:v>
      </x:c>
      <x:c r="AN151" s="126" t="n">
        <x:v>331</x:v>
      </x:c>
      <x:c r="AO151" s="126" t="n">
        <x:v>332</x:v>
      </x:c>
      <x:c r="AP151" s="113" t="str">
        <x:v>6 HỘP / THÙNG</x:v>
      </x:c>
    </x:row>
    <x:row r="152">
      <x:c r="A152" s="71" t="str">
        <x:v>THẠCH 3D MATCHA LỚN</x:v>
      </x:c>
      <x:c r="B152" s="30" t="str">
        <x:v>THẠCH 3D MATCHA LỚN - THÙNG</x:v>
      </x:c>
      <x:c r="C152" s="37" t="str">
        <x:v>3DMATL</x:v>
      </x:c>
      <x:c r="D152" s="37" t="str">
        <x:v>3DMATLT</x:v>
      </x:c>
      <x:c r="E152" s="37" t="str">
        <x:v>3DMATLT</x:v>
      </x:c>
      <x:c r="F152" s="37" t="n">
        <x:v>6</x:v>
      </x:c>
      <x:c r="G152" s="37" t="n">
        <x:v>16000</x:v>
      </x:c>
      <x:c r="H152" s="37" t="str">
        <x:v>g</x:v>
      </x:c>
      <x:c r="I152" s="37" t="str">
        <x:v>THÙNG</x:v>
      </x:c>
      <x:c r="J152" s="59" t="n">
        <x:v>0</x:v>
      </x:c>
      <x:c r="K152" s="59" t="n">
        <x:v>410000</x:v>
      </x:c>
      <x:c r="L152" s="59" t="n">
        <x:v>0</x:v>
      </x:c>
      <x:c r="M152" s="37" t="str">
        <x:v>Khác</x:v>
      </x:c>
      <x:c r="N152" s="37" t="str">
        <x:v>CHƯA CÓ GIÁ LẺ</x:v>
      </x:c>
      <x:c r="O152" s="61" t="n">
        <x:v>0.511</x:v>
      </x:c>
      <x:c r="P152" s="37"/>
      <x:c r="Q152" s="30"/>
      <x:c r="R152" s="30"/>
      <x:c r="S152" s="30"/>
      <x:c r="T152" s="37"/>
      <x:c r="U152" s="59"/>
      <x:c r="V152" s="59"/>
      <x:c r="W152" s="117" t="n">
        <x:v>70000</x:v>
      </x:c>
      <x:c r="X152" s="59" t="str">
        <x:f>IFERROR(IF(OR($N152="ĐÃ GHÉP - AUTO",$N152="ĐÃ GHÉP - QUY TẮC"),IF($V152="","",IF($T152="THÙNG",$V152/$F152,$V152)),""),"")</x:f>
      </x:c>
      <x:c r="Y152" s="117" t="n">
        <x:f>IF(OR(W152="",F152=""),"",W152*F152)</x:f>
        <x:v>420000</x:v>
      </x:c>
      <x:c r="Z152" s="59" t="str">
        <x:f>IFERROR(IF(OR($N152="ĐÃ GHÉP - AUTO",$N152="ĐÃ GHÉP - QUY TẮC"),IF($V152="","",IF($T152="THÙNG",$V152,$V152*$F152)),""),"")</x:f>
      </x:c>
      <x:c r="AA152" s="28" t="n">
        <x:f>IFERROR(IF(OR($K152="",$K152=0,$Y152=""),"",($Y152-$K152)/$K152),"")</x:f>
        <x:v>0.024390243902439025</x:v>
      </x:c>
      <x:c r="AB152" s="37" t="str">
        <x:f>IFERROR(IF($N152="CẦN DUYỆT","DUYỆT MAP",IF($N152="CHƯA CÓ GIÁ LẺ","THIẾU GIÁ",IF(OR($K152="",$K152=0,$Y152=""),"OK",IF(ABS(($Y152-$K152)/$K152)&gt;0.15,"LỆCH GIÁ CŨ","OK")))),"OK")</x:f>
        <x:v>THIẾU GIÁ</x:v>
      </x:c>
      <x:c r="AC152" s="30" t="str">
        <x:v>ứng viên gần nhất=Sốt Gold Matcha; score=0.511</x:v>
      </x:c>
      <x:c r="AD152" s="37" t="str">
        <x:v>3DMATL</x:v>
      </x:c>
      <x:c r="AE152" s="38" t="str">
        <x:v>3DMATLT</x:v>
      </x:c>
      <x:c r="AF152" s="123" t="n">
        <x:v>2600</x:v>
      </x:c>
      <x:c r="AG152" s="112" t="str">
        <x:v>g</x:v>
      </x:c>
      <x:c r="AH152" s="112" t="str">
        <x:v>HỘP</x:v>
      </x:c>
      <x:c r="AI152" s="112" t="str">
        <x:v>2600 g / HỘP</x:v>
      </x:c>
      <x:c r="AJ152" s="120" t="n">
        <x:v>70000</x:v>
      </x:c>
      <x:c r="AK152" s="120"/>
      <x:c r="AL152" s="120" t="n">
        <x:v>70000</x:v>
      </x:c>
      <x:c r="AM152" s="112" t="str">
        <x:v>BỔ SUNG GIÁ</x:v>
      </x:c>
      <x:c r="AN152" s="126" t="n">
        <x:v>333</x:v>
      </x:c>
      <x:c r="AO152" s="126" t="n">
        <x:v>334</x:v>
      </x:c>
      <x:c r="AP152" s="113" t="str">
        <x:v>6 HỘP / THÙNG</x:v>
      </x:c>
    </x:row>
    <x:row r="153">
      <x:c r="A153" s="71" t="str">
        <x:v>THẠCH MH 3D DƯA XANH</x:v>
      </x:c>
      <x:c r="B153" s="30" t="str">
        <x:v>THẠCH MH 3D DƯA XANH - THÙNG</x:v>
      </x:c>
      <x:c r="C153" s="37" t="str">
        <x:v>3DMHDX</x:v>
      </x:c>
      <x:c r="D153" s="37" t="str">
        <x:v>3DMHDXT</x:v>
      </x:c>
      <x:c r="E153" s="37" t="str">
        <x:v>3DMHDXT</x:v>
      </x:c>
      <x:c r="F153" s="37" t="n">
        <x:v>8</x:v>
      </x:c>
      <x:c r="G153" s="37" t="n">
        <x:v>21000</x:v>
      </x:c>
      <x:c r="H153" s="37" t="str">
        <x:v>g</x:v>
      </x:c>
      <x:c r="I153" s="37" t="str">
        <x:v>THÙNG</x:v>
      </x:c>
      <x:c r="J153" s="59" t="n">
        <x:v>0</x:v>
      </x:c>
      <x:c r="K153" s="59" t="n">
        <x:v>0</x:v>
      </x:c>
      <x:c r="L153" s="59" t="n">
        <x:v>0</x:v>
      </x:c>
      <x:c r="M153" s="37" t="str">
        <x:v>Khác</x:v>
      </x:c>
      <x:c r="N153" s="37" t="str">
        <x:v>CHƯA CÓ GIÁ LẺ</x:v>
      </x:c>
      <x:c r="O153" s="61" t="n">
        <x:v>0.455</x:v>
      </x:c>
      <x:c r="P153" s="37"/>
      <x:c r="Q153" s="30"/>
      <x:c r="R153" s="30"/>
      <x:c r="S153" s="30"/>
      <x:c r="T153" s="37"/>
      <x:c r="U153" s="59"/>
      <x:c r="V153" s="59"/>
      <x:c r="W153" s="117" t="n">
        <x:v>46000</x:v>
      </x:c>
      <x:c r="X153" s="59" t="str">
        <x:f>IFERROR(IF(OR($N153="ĐÃ GHÉP - AUTO",$N153="ĐÃ GHÉP - QUY TẮC"),IF($V153="","",IF($T153="THÙNG",$V153/$F153,$V153)),""),"")</x:f>
      </x:c>
      <x:c r="Y153" s="117" t="n">
        <x:f>IF(OR(W153="",F153=""),"",W153*F153)</x:f>
        <x:v>368000</x:v>
      </x:c>
      <x:c r="Z153" s="59" t="str">
        <x:f>IFERROR(IF(OR($N153="ĐÃ GHÉP - AUTO",$N153="ĐÃ GHÉP - QUY TẮC"),IF($V153="","",IF($T153="THÙNG",$V153,$V153*$F153)),""),"")</x:f>
      </x:c>
      <x:c r="AA153" s="28" t="str">
        <x:f>IFERROR(IF(OR($K153="",$K153=0,$Y153=""),"",($Y153-$K153)/$K153),"")</x:f>
      </x:c>
      <x:c r="AB153" s="37" t="str">
        <x:f>IFERROR(IF($N153="CẦN DUYỆT","DUYỆT MAP",IF($N153="CHƯA CÓ GIÁ LẺ","THIẾU GIÁ",IF(OR($K153="",$K153=0,$Y153=""),"OK",IF(ABS(($Y153-$K153)/$K153)&gt;0.15,"LỆCH GIÁ CŨ","OK")))),"OK")</x:f>
        <x:v>THIẾU GIÁ</x:v>
      </x:c>
      <x:c r="AC153" s="30" t="str">
        <x:v>ứng viên gần nhất=PLAN MOLE DƯA; score=0.455</x:v>
      </x:c>
      <x:c r="AD153" s="37" t="str">
        <x:v>3DMHDX</x:v>
      </x:c>
      <x:c r="AE153" s="38" t="str">
        <x:v>3DMHDXT</x:v>
      </x:c>
      <x:c r="AF153" s="123" t="n">
        <x:v>2500</x:v>
      </x:c>
      <x:c r="AG153" s="112" t="str">
        <x:v>g</x:v>
      </x:c>
      <x:c r="AH153" s="112" t="str">
        <x:v>HỦ</x:v>
      </x:c>
      <x:c r="AI153" s="112" t="str">
        <x:v>2500 g / HỦ</x:v>
      </x:c>
      <x:c r="AJ153" s="120" t="n">
        <x:v>46000</x:v>
      </x:c>
      <x:c r="AK153" s="120"/>
      <x:c r="AL153" s="120" t="n">
        <x:v>46000</x:v>
      </x:c>
      <x:c r="AM153" s="112" t="str">
        <x:v>BỔ SUNG GIÁ</x:v>
      </x:c>
      <x:c r="AN153" s="126" t="n">
        <x:v>335</x:v>
      </x:c>
      <x:c r="AO153" s="126" t="n">
        <x:v>336</x:v>
      </x:c>
      <x:c r="AP153" s="113" t="str">
        <x:v>8 HỦ / THÙNG</x:v>
      </x:c>
    </x:row>
    <x:row r="154">
      <x:c r="A154" s="71" t="str">
        <x:v>THẠCH MH 3D DƯA VÀNG</x:v>
      </x:c>
      <x:c r="B154" s="30" t="str">
        <x:v>THẠCH MH 3D DƯA VÀNG - THÙNG</x:v>
      </x:c>
      <x:c r="C154" s="37" t="str">
        <x:v>3DMHDV</x:v>
      </x:c>
      <x:c r="D154" s="37" t="str">
        <x:v>3DMHDVT</x:v>
      </x:c>
      <x:c r="E154" s="37" t="str">
        <x:v>3DMHDVT</x:v>
      </x:c>
      <x:c r="F154" s="37" t="n">
        <x:v>8</x:v>
      </x:c>
      <x:c r="G154" s="37" t="n">
        <x:v>21000</x:v>
      </x:c>
      <x:c r="H154" s="37" t="str">
        <x:v>g</x:v>
      </x:c>
      <x:c r="I154" s="37" t="str">
        <x:v>THÙNG</x:v>
      </x:c>
      <x:c r="J154" s="59" t="n">
        <x:v>0</x:v>
      </x:c>
      <x:c r="K154" s="59" t="n">
        <x:v>0</x:v>
      </x:c>
      <x:c r="L154" s="59" t="n">
        <x:v>0</x:v>
      </x:c>
      <x:c r="M154" s="37" t="str">
        <x:v>Khác</x:v>
      </x:c>
      <x:c r="N154" s="37" t="str">
        <x:v>CHƯA CÓ GIÁ LẺ</x:v>
      </x:c>
      <x:c r="O154" s="61" t="n">
        <x:v>0.592</x:v>
      </x:c>
      <x:c r="P154" s="37"/>
      <x:c r="Q154" s="30"/>
      <x:c r="R154" s="30"/>
      <x:c r="S154" s="30"/>
      <x:c r="T154" s="37"/>
      <x:c r="U154" s="59"/>
      <x:c r="V154" s="59"/>
      <x:c r="W154" s="117" t="n">
        <x:v>46000</x:v>
      </x:c>
      <x:c r="X154" s="59" t="str">
        <x:f>IFERROR(IF(OR($N154="ĐÃ GHÉP - AUTO",$N154="ĐÃ GHÉP - QUY TẮC"),IF($V154="","",IF($T154="THÙNG",$V154/$F154,$V154)),""),"")</x:f>
      </x:c>
      <x:c r="Y154" s="117" t="n">
        <x:f>IF(OR(W154="",F154=""),"",W154*F154)</x:f>
        <x:v>368000</x:v>
      </x:c>
      <x:c r="Z154" s="59" t="str">
        <x:f>IFERROR(IF(OR($N154="ĐÃ GHÉP - AUTO",$N154="ĐÃ GHÉP - QUY TẮC"),IF($V154="","",IF($T154="THÙNG",$V154,$V154*$F154)),""),"")</x:f>
      </x:c>
      <x:c r="AA154" s="28" t="str">
        <x:f>IFERROR(IF(OR($K154="",$K154=0,$Y154=""),"",($Y154-$K154)/$K154),"")</x:f>
      </x:c>
      <x:c r="AB154" s="37" t="str">
        <x:f>IFERROR(IF($N154="CẦN DUYỆT","DUYỆT MAP",IF($N154="CHƯA CÓ GIÁ LẺ","THIẾU GIÁ",IF(OR($K154="",$K154=0,$Y154=""),"OK",IF(ABS(($Y154-$K154)/$K154)&gt;0.15,"LỆCH GIÁ CŨ","OK")))),"OK")</x:f>
        <x:v>THIẾU GIÁ</x:v>
      </x:c>
      <x:c r="AC154" s="30" t="str">
        <x:v>ứng viên gần nhất=Trà dứa sao vàng; score=0.592</x:v>
      </x:c>
      <x:c r="AD154" s="37" t="str">
        <x:v>3DMHDV</x:v>
      </x:c>
      <x:c r="AE154" s="38" t="str">
        <x:v>3DMHDVT</x:v>
      </x:c>
      <x:c r="AF154" s="123" t="n">
        <x:v>25000</x:v>
      </x:c>
      <x:c r="AG154" s="112" t="str">
        <x:v>g</x:v>
      </x:c>
      <x:c r="AH154" s="112" t="str">
        <x:v>HỦ</x:v>
      </x:c>
      <x:c r="AI154" s="112" t="str">
        <x:v>25000 g / HỦ</x:v>
      </x:c>
      <x:c r="AJ154" s="120" t="n">
        <x:v>46000</x:v>
      </x:c>
      <x:c r="AK154" s="120"/>
      <x:c r="AL154" s="120" t="n">
        <x:v>46000</x:v>
      </x:c>
      <x:c r="AM154" s="112" t="str">
        <x:v>BỔ SUNG GIÁ</x:v>
      </x:c>
      <x:c r="AN154" s="126" t="n">
        <x:v>337</x:v>
      </x:c>
      <x:c r="AO154" s="126" t="n">
        <x:v>338</x:v>
      </x:c>
      <x:c r="AP154" s="113" t="str">
        <x:v>8 HỦ / THÙNG</x:v>
      </x:c>
    </x:row>
    <x:row r="155">
      <x:c r="A155" s="71" t="str">
        <x:v>THẠCH 3D DỪA NHỎ</x:v>
      </x:c>
      <x:c r="B155" s="30" t="str">
        <x:v>THẠCH 3D DỪA NHỎ - THÙNG</x:v>
      </x:c>
      <x:c r="C155" s="37" t="str">
        <x:v>3DDUAN</x:v>
      </x:c>
      <x:c r="D155" s="37" t="str">
        <x:v>3DDUANT</x:v>
      </x:c>
      <x:c r="E155" s="37" t="str">
        <x:v>3DDUANT</x:v>
      </x:c>
      <x:c r="F155" s="37" t="n">
        <x:v>6</x:v>
      </x:c>
      <x:c r="G155" s="37" t="n">
        <x:v>16000</x:v>
      </x:c>
      <x:c r="H155" s="37" t="str">
        <x:v>g</x:v>
      </x:c>
      <x:c r="I155" s="37" t="str">
        <x:v>THÙNG</x:v>
      </x:c>
      <x:c r="J155" s="59" t="n">
        <x:v>0</x:v>
      </x:c>
      <x:c r="K155" s="59" t="n">
        <x:v>410000</x:v>
      </x:c>
      <x:c r="L155" s="59" t="n">
        <x:v>0</x:v>
      </x:c>
      <x:c r="M155" s="37" t="str">
        <x:v>Khác</x:v>
      </x:c>
      <x:c r="N155" s="37" t="str">
        <x:v>CHƯA CÓ GIÁ LẺ</x:v>
      </x:c>
      <x:c r="O155" s="61" t="n">
        <x:v>0.432</x:v>
      </x:c>
      <x:c r="P155" s="37"/>
      <x:c r="Q155" s="30"/>
      <x:c r="R155" s="30"/>
      <x:c r="S155" s="30"/>
      <x:c r="T155" s="37"/>
      <x:c r="U155" s="59"/>
      <x:c r="V155" s="59"/>
      <x:c r="W155" s="117" t="n">
        <x:v>70000</x:v>
      </x:c>
      <x:c r="X155" s="59" t="str">
        <x:f>IFERROR(IF(OR($N155="ĐÃ GHÉP - AUTO",$N155="ĐÃ GHÉP - QUY TẮC"),IF($V155="","",IF($T155="THÙNG",$V155/$F155,$V155)),""),"")</x:f>
      </x:c>
      <x:c r="Y155" s="117" t="n">
        <x:f>IF(OR(W155="",F155=""),"",W155*F155)</x:f>
        <x:v>420000</x:v>
      </x:c>
      <x:c r="Z155" s="59" t="str">
        <x:f>IFERROR(IF(OR($N155="ĐÃ GHÉP - AUTO",$N155="ĐÃ GHÉP - QUY TẮC"),IF($V155="","",IF($T155="THÙNG",$V155,$V155*$F155)),""),"")</x:f>
      </x:c>
      <x:c r="AA155" s="28" t="n">
        <x:f>IFERROR(IF(OR($K155="",$K155=0,$Y155=""),"",($Y155-$K155)/$K155),"")</x:f>
        <x:v>0.024390243902439025</x:v>
      </x:c>
      <x:c r="AB155" s="37" t="str">
        <x:f>IFERROR(IF($N155="CẦN DUYỆT","DUYỆT MAP",IF($N155="CHƯA CÓ GIÁ LẺ","THIẾU GIÁ",IF(OR($K155="",$K155=0,$Y155=""),"OK",IF(ABS(($Y155-$K155)/$K155)&gt;0.15,"LỆCH GIÁ CŨ","OK")))),"OK")</x:f>
        <x:v>THIẾU GIÁ</x:v>
      </x:c>
      <x:c r="AC155" s="30" t="str">
        <x:v>ứng viên gần nhất=PLAN MOLE DƯA; score=0.432</x:v>
      </x:c>
      <x:c r="AD155" s="37" t="str">
        <x:v>3DDUAN</x:v>
      </x:c>
      <x:c r="AE155" s="38" t="str">
        <x:v>3DDUANT</x:v>
      </x:c>
      <x:c r="AF155" s="123" t="n">
        <x:v>26</x:v>
      </x:c>
      <x:c r="AG155" s="112" t="str">
        <x:v>g</x:v>
      </x:c>
      <x:c r="AH155" s="112" t="str">
        <x:v>HỘP</x:v>
      </x:c>
      <x:c r="AI155" s="112" t="str">
        <x:v>26 g / HỘP</x:v>
      </x:c>
      <x:c r="AJ155" s="120" t="n">
        <x:v>70000</x:v>
      </x:c>
      <x:c r="AK155" s="120"/>
      <x:c r="AL155" s="120" t="n">
        <x:v>70000</x:v>
      </x:c>
      <x:c r="AM155" s="112" t="str">
        <x:v>BỔ SUNG GIÁ</x:v>
      </x:c>
      <x:c r="AN155" s="126" t="n">
        <x:v>339</x:v>
      </x:c>
      <x:c r="AO155" s="126" t="n">
        <x:v>340</x:v>
      </x:c>
      <x:c r="AP155" s="113" t="str">
        <x:v>6 HỘP / THÙNG</x:v>
      </x:c>
    </x:row>
    <x:row r="156">
      <x:c r="A156" s="71" t="str">
        <x:v>THẠCH MH 3D DỪA</x:v>
      </x:c>
      <x:c r="B156" s="30" t="str">
        <x:v>THẠCH MH 3D DỪA - THÙNG</x:v>
      </x:c>
      <x:c r="C156" s="37" t="str">
        <x:v>3DMHDU</x:v>
      </x:c>
      <x:c r="D156" s="37" t="str">
        <x:v>3DMHDUT</x:v>
      </x:c>
      <x:c r="E156" s="37" t="str">
        <x:v>3DMHDUT</x:v>
      </x:c>
      <x:c r="F156" s="37" t="n">
        <x:v>8</x:v>
      </x:c>
      <x:c r="G156" s="37" t="n">
        <x:v>21000</x:v>
      </x:c>
      <x:c r="H156" s="37" t="str">
        <x:v>g</x:v>
      </x:c>
      <x:c r="I156" s="37" t="str">
        <x:v>THÙNG</x:v>
      </x:c>
      <x:c r="J156" s="59" t="n">
        <x:v>0</x:v>
      </x:c>
      <x:c r="K156" s="59" t="n">
        <x:v>0</x:v>
      </x:c>
      <x:c r="L156" s="59" t="n">
        <x:v>0</x:v>
      </x:c>
      <x:c r="M156" s="37" t="str">
        <x:v>Khác</x:v>
      </x:c>
      <x:c r="N156" s="37" t="str">
        <x:v>CHƯA CÓ GIÁ LẺ</x:v>
      </x:c>
      <x:c r="O156" s="61" t="n">
        <x:v>0.462</x:v>
      </x:c>
      <x:c r="P156" s="37"/>
      <x:c r="Q156" s="30"/>
      <x:c r="R156" s="30"/>
      <x:c r="S156" s="30"/>
      <x:c r="T156" s="37"/>
      <x:c r="U156" s="59"/>
      <x:c r="V156" s="59"/>
      <x:c r="W156" s="117" t="n">
        <x:v>46000</x:v>
      </x:c>
      <x:c r="X156" s="59" t="str">
        <x:f>IFERROR(IF(OR($N156="ĐÃ GHÉP - AUTO",$N156="ĐÃ GHÉP - QUY TẮC"),IF($V156="","",IF($T156="THÙNG",$V156/$F156,$V156)),""),"")</x:f>
      </x:c>
      <x:c r="Y156" s="117" t="n">
        <x:f>IF(OR(W156="",F156=""),"",W156*F156)</x:f>
        <x:v>368000</x:v>
      </x:c>
      <x:c r="Z156" s="59" t="str">
        <x:f>IFERROR(IF(OR($N156="ĐÃ GHÉP - AUTO",$N156="ĐÃ GHÉP - QUY TẮC"),IF($V156="","",IF($T156="THÙNG",$V156,$V156*$F156)),""),"")</x:f>
      </x:c>
      <x:c r="AA156" s="28" t="str">
        <x:f>IFERROR(IF(OR($K156="",$K156=0,$Y156=""),"",($Y156-$K156)/$K156),"")</x:f>
      </x:c>
      <x:c r="AB156" s="37" t="str">
        <x:f>IFERROR(IF($N156="CẦN DUYỆT","DUYỆT MAP",IF($N156="CHƯA CÓ GIÁ LẺ","THIẾU GIÁ",IF(OR($K156="",$K156=0,$Y156=""),"OK",IF(ABS(($Y156-$K156)/$K156)&gt;0.15,"LỆCH GIÁ CŨ","OK")))),"OK")</x:f>
        <x:v>THIẾU GIÁ</x:v>
      </x:c>
      <x:c r="AC156" s="30" t="str">
        <x:v>ứng viên gần nhất=PLAN MOLE DƯA; score=0.462</x:v>
      </x:c>
      <x:c r="AD156" s="37" t="str">
        <x:v>3DMHDU</x:v>
      </x:c>
      <x:c r="AE156" s="38" t="str">
        <x:v>3DMHDUT</x:v>
      </x:c>
      <x:c r="AF156" s="123" t="n">
        <x:v>2500</x:v>
      </x:c>
      <x:c r="AG156" s="112" t="str">
        <x:v>g</x:v>
      </x:c>
      <x:c r="AH156" s="112" t="str">
        <x:v>HỦ</x:v>
      </x:c>
      <x:c r="AI156" s="112" t="str">
        <x:v>2500 g / HỦ</x:v>
      </x:c>
      <x:c r="AJ156" s="120" t="n">
        <x:v>46000</x:v>
      </x:c>
      <x:c r="AK156" s="120"/>
      <x:c r="AL156" s="120" t="n">
        <x:v>46000</x:v>
      </x:c>
      <x:c r="AM156" s="112" t="str">
        <x:v>BỔ SUNG GIÁ</x:v>
      </x:c>
      <x:c r="AN156" s="126" t="n">
        <x:v>341</x:v>
      </x:c>
      <x:c r="AO156" s="126" t="n">
        <x:v>342</x:v>
      </x:c>
      <x:c r="AP156" s="113" t="str">
        <x:v>8 HỦ / THÙNG</x:v>
      </x:c>
    </x:row>
    <x:row r="157">
      <x:c r="A157" s="71" t="str">
        <x:v>THẠCH 3D DỪA LỚN</x:v>
      </x:c>
      <x:c r="B157" s="30" t="str">
        <x:v>THẠCH 3D DỪA LỚN - THÙNG</x:v>
      </x:c>
      <x:c r="C157" s="37" t="str">
        <x:v>3DDUAL</x:v>
      </x:c>
      <x:c r="D157" s="37" t="str">
        <x:v>3DDUALT</x:v>
      </x:c>
      <x:c r="E157" s="37" t="str">
        <x:v>3DDUALT</x:v>
      </x:c>
      <x:c r="F157" s="37" t="n">
        <x:v>6</x:v>
      </x:c>
      <x:c r="G157" s="37" t="n">
        <x:v>16000</x:v>
      </x:c>
      <x:c r="H157" s="37" t="str">
        <x:v>g</x:v>
      </x:c>
      <x:c r="I157" s="37" t="str">
        <x:v>THÙNG</x:v>
      </x:c>
      <x:c r="J157" s="59" t="n">
        <x:v>0</x:v>
      </x:c>
      <x:c r="K157" s="59" t="n">
        <x:v>410000</x:v>
      </x:c>
      <x:c r="L157" s="59" t="n">
        <x:v>0</x:v>
      </x:c>
      <x:c r="M157" s="37" t="str">
        <x:v>Khác</x:v>
      </x:c>
      <x:c r="N157" s="37" t="str">
        <x:v>CHƯA CÓ GIÁ LẺ</x:v>
      </x:c>
      <x:c r="O157" s="61" t="n">
        <x:v>0.441</x:v>
      </x:c>
      <x:c r="P157" s="37"/>
      <x:c r="Q157" s="30"/>
      <x:c r="R157" s="30"/>
      <x:c r="S157" s="30"/>
      <x:c r="T157" s="37"/>
      <x:c r="U157" s="59"/>
      <x:c r="V157" s="59"/>
      <x:c r="W157" s="117" t="n">
        <x:v>70000</x:v>
      </x:c>
      <x:c r="X157" s="59" t="str">
        <x:f>IFERROR(IF(OR($N157="ĐÃ GHÉP - AUTO",$N157="ĐÃ GHÉP - QUY TẮC"),IF($V157="","",IF($T157="THÙNG",$V157/$F157,$V157)),""),"")</x:f>
      </x:c>
      <x:c r="Y157" s="117" t="n">
        <x:f>IF(OR(W157="",F157=""),"",W157*F157)</x:f>
        <x:v>420000</x:v>
      </x:c>
      <x:c r="Z157" s="59" t="str">
        <x:f>IFERROR(IF(OR($N157="ĐÃ GHÉP - AUTO",$N157="ĐÃ GHÉP - QUY TẮC"),IF($V157="","",IF($T157="THÙNG",$V157,$V157*$F157)),""),"")</x:f>
      </x:c>
      <x:c r="AA157" s="28" t="n">
        <x:f>IFERROR(IF(OR($K157="",$K157=0,$Y157=""),"",($Y157-$K157)/$K157),"")</x:f>
        <x:v>0.024390243902439025</x:v>
      </x:c>
      <x:c r="AB157" s="37" t="str">
        <x:f>IFERROR(IF($N157="CẦN DUYỆT","DUYỆT MAP",IF($N157="CHƯA CÓ GIÁ LẺ","THIẾU GIÁ",IF(OR($K157="",$K157=0,$Y157=""),"OK",IF(ABS(($Y157-$K157)/$K157)&gt;0.15,"LỆCH GIÁ CŨ","OK")))),"OK")</x:f>
        <x:v>THIẾU GIÁ</x:v>
      </x:c>
      <x:c r="AC157" s="30" t="str">
        <x:v>ứng viên gần nhất=PLAN MOLE DƯA; score=0.441</x:v>
      </x:c>
      <x:c r="AD157" s="37" t="str">
        <x:v>3DDUAL</x:v>
      </x:c>
      <x:c r="AE157" s="38" t="str">
        <x:v>3DDUALT</x:v>
      </x:c>
      <x:c r="AF157" s="123" t="n">
        <x:v>2600</x:v>
      </x:c>
      <x:c r="AG157" s="112" t="str">
        <x:v>g</x:v>
      </x:c>
      <x:c r="AH157" s="112" t="str">
        <x:v>HỘP</x:v>
      </x:c>
      <x:c r="AI157" s="112" t="str">
        <x:v>2600 g / HỘP</x:v>
      </x:c>
      <x:c r="AJ157" s="120" t="n">
        <x:v>70000</x:v>
      </x:c>
      <x:c r="AK157" s="120"/>
      <x:c r="AL157" s="120" t="n">
        <x:v>70000</x:v>
      </x:c>
      <x:c r="AM157" s="112" t="str">
        <x:v>BỔ SUNG GIÁ</x:v>
      </x:c>
      <x:c r="AN157" s="126" t="n">
        <x:v>343</x:v>
      </x:c>
      <x:c r="AO157" s="126" t="n">
        <x:v>344</x:v>
      </x:c>
      <x:c r="AP157" s="113" t="str">
        <x:v>6 HỘP / THÙNG</x:v>
      </x:c>
    </x:row>
    <x:row r="158">
      <x:c r="A158" s="71" t="str">
        <x:v>THẠCH MH 3D DÂU</x:v>
      </x:c>
      <x:c r="B158" s="30" t="str">
        <x:v>THẠCH MH 3D DÂU - THÙNG</x:v>
      </x:c>
      <x:c r="C158" s="37" t="str">
        <x:v>3DMHDA</x:v>
      </x:c>
      <x:c r="D158" s="37" t="str">
        <x:v>3DMHDAT</x:v>
      </x:c>
      <x:c r="E158" s="37" t="str">
        <x:v>3DMHDAT</x:v>
      </x:c>
      <x:c r="F158" s="37" t="n">
        <x:v>8</x:v>
      </x:c>
      <x:c r="G158" s="37" t="n">
        <x:v>21000</x:v>
      </x:c>
      <x:c r="H158" s="37" t="str">
        <x:v>g</x:v>
      </x:c>
      <x:c r="I158" s="37" t="str">
        <x:v>THÙNG</x:v>
      </x:c>
      <x:c r="J158" s="59" t="n">
        <x:v>0</x:v>
      </x:c>
      <x:c r="K158" s="59" t="n">
        <x:v>0</x:v>
      </x:c>
      <x:c r="L158" s="59" t="n">
        <x:v>0</x:v>
      </x:c>
      <x:c r="M158" s="37" t="str">
        <x:v>Khác</x:v>
      </x:c>
      <x:c r="N158" s="37" t="str">
        <x:v>CHƯA CÓ GIÁ LẺ</x:v>
      </x:c>
      <x:c r="O158" s="61" t="n">
        <x:v>0.452</x:v>
      </x:c>
      <x:c r="P158" s="37"/>
      <x:c r="Q158" s="30"/>
      <x:c r="R158" s="30"/>
      <x:c r="S158" s="30"/>
      <x:c r="T158" s="37"/>
      <x:c r="U158" s="59"/>
      <x:c r="V158" s="59"/>
      <x:c r="W158" s="117" t="n">
        <x:v>46000</x:v>
      </x:c>
      <x:c r="X158" s="59" t="str">
        <x:f>IFERROR(IF(OR($N158="ĐÃ GHÉP - AUTO",$N158="ĐÃ GHÉP - QUY TẮC"),IF($V158="","",IF($T158="THÙNG",$V158/$F158,$V158)),""),"")</x:f>
      </x:c>
      <x:c r="Y158" s="117" t="n">
        <x:f>IF(OR(W158="",F158=""),"",W158*F158)</x:f>
        <x:v>368000</x:v>
      </x:c>
      <x:c r="Z158" s="59" t="str">
        <x:f>IFERROR(IF(OR($N158="ĐÃ GHÉP - AUTO",$N158="ĐÃ GHÉP - QUY TẮC"),IF($V158="","",IF($T158="THÙNG",$V158,$V158*$F158)),""),"")</x:f>
      </x:c>
      <x:c r="AA158" s="28" t="str">
        <x:f>IFERROR(IF(OR($K158="",$K158=0,$Y158=""),"",($Y158-$K158)/$K158),"")</x:f>
      </x:c>
      <x:c r="AB158" s="37" t="str">
        <x:f>IFERROR(IF($N158="CẦN DUYỆT","DUYỆT MAP",IF($N158="CHƯA CÓ GIÁ LẺ","THIẾU GIÁ",IF(OR($K158="",$K158=0,$Y158=""),"OK",IF(ABS(($Y158-$K158)/$K158)&gt;0.15,"LỆCH GIÁ CŨ","OK")))),"OK")</x:f>
        <x:v>THIẾU GIÁ</x:v>
      </x:c>
      <x:c r="AC158" s="30" t="str">
        <x:v>ứng viên gần nhất=Flan Mole DÂU; score=0.452</x:v>
      </x:c>
      <x:c r="AD158" s="37" t="str">
        <x:v>3DMHDA</x:v>
      </x:c>
      <x:c r="AE158" s="38" t="str">
        <x:v>3DMHDAT</x:v>
      </x:c>
      <x:c r="AF158" s="123" t="n">
        <x:v>25</x:v>
      </x:c>
      <x:c r="AG158" s="112" t="str">
        <x:v>g</x:v>
      </x:c>
      <x:c r="AH158" s="112" t="str">
        <x:v>HỦ</x:v>
      </x:c>
      <x:c r="AI158" s="112" t="str">
        <x:v>25 g / HỦ</x:v>
      </x:c>
      <x:c r="AJ158" s="120" t="n">
        <x:v>46000</x:v>
      </x:c>
      <x:c r="AK158" s="120"/>
      <x:c r="AL158" s="120" t="n">
        <x:v>46000</x:v>
      </x:c>
      <x:c r="AM158" s="112" t="str">
        <x:v>BỔ SUNG GIÁ</x:v>
      </x:c>
      <x:c r="AN158" s="126" t="n">
        <x:v>345</x:v>
      </x:c>
      <x:c r="AO158" s="126" t="n">
        <x:v>346</x:v>
      </x:c>
      <x:c r="AP158" s="113" t="str">
        <x:v>8 HỦ / THÙNG</x:v>
      </x:c>
    </x:row>
    <x:row r="159">
      <x:c r="A159" s="71" t="str">
        <x:v>THẠCH 3D DÂU LỚN</x:v>
      </x:c>
      <x:c r="B159" s="30" t="str">
        <x:v>THẠCH 3D DÂU LỚN - THÙNG</x:v>
      </x:c>
      <x:c r="C159" s="37" t="str">
        <x:v>3DDAUL</x:v>
      </x:c>
      <x:c r="D159" s="37" t="str">
        <x:v>3DDAULT</x:v>
      </x:c>
      <x:c r="E159" s="37" t="str">
        <x:v>3DDAULT</x:v>
      </x:c>
      <x:c r="F159" s="37" t="n">
        <x:v>6</x:v>
      </x:c>
      <x:c r="G159" s="37" t="n">
        <x:v>16000</x:v>
      </x:c>
      <x:c r="H159" s="37" t="str">
        <x:v>g</x:v>
      </x:c>
      <x:c r="I159" s="37" t="str">
        <x:v>THÙNG</x:v>
      </x:c>
      <x:c r="J159" s="59" t="n">
        <x:v>0</x:v>
      </x:c>
      <x:c r="K159" s="59" t="n">
        <x:v>410000</x:v>
      </x:c>
      <x:c r="L159" s="59" t="n">
        <x:v>0</x:v>
      </x:c>
      <x:c r="M159" s="37" t="str">
        <x:v>Khác</x:v>
      </x:c>
      <x:c r="N159" s="37" t="str">
        <x:v>CHƯA CÓ GIÁ LẺ</x:v>
      </x:c>
      <x:c r="O159" s="61" t="n">
        <x:v>0.431</x:v>
      </x:c>
      <x:c r="P159" s="37"/>
      <x:c r="Q159" s="30"/>
      <x:c r="R159" s="30"/>
      <x:c r="S159" s="30"/>
      <x:c r="T159" s="37"/>
      <x:c r="U159" s="59"/>
      <x:c r="V159" s="59"/>
      <x:c r="W159" s="117" t="n">
        <x:v>70000</x:v>
      </x:c>
      <x:c r="X159" s="59" t="str">
        <x:f>IFERROR(IF(OR($N159="ĐÃ GHÉP - AUTO",$N159="ĐÃ GHÉP - QUY TẮC"),IF($V159="","",IF($T159="THÙNG",$V159/$F159,$V159)),""),"")</x:f>
      </x:c>
      <x:c r="Y159" s="117" t="n">
        <x:f>IF(OR(W159="",F159=""),"",W159*F159)</x:f>
        <x:v>420000</x:v>
      </x:c>
      <x:c r="Z159" s="59" t="str">
        <x:f>IFERROR(IF(OR($N159="ĐÃ GHÉP - AUTO",$N159="ĐÃ GHÉP - QUY TẮC"),IF($V159="","",IF($T159="THÙNG",$V159,$V159*$F159)),""),"")</x:f>
      </x:c>
      <x:c r="AA159" s="28" t="n">
        <x:f>IFERROR(IF(OR($K159="",$K159=0,$Y159=""),"",($Y159-$K159)/$K159),"")</x:f>
        <x:v>0.024390243902439025</x:v>
      </x:c>
      <x:c r="AB159" s="37" t="str">
        <x:f>IFERROR(IF($N159="CẦN DUYỆT","DUYỆT MAP",IF($N159="CHƯA CÓ GIÁ LẺ","THIẾU GIÁ",IF(OR($K159="",$K159=0,$Y159=""),"OK",IF(ABS(($Y159-$K159)/$K159)&gt;0.15,"LỆCH GIÁ CŨ","OK")))),"OK")</x:f>
        <x:v>THIẾU GIÁ</x:v>
      </x:c>
      <x:c r="AC159" s="30" t="str">
        <x:v>ứng viên gần nhất=Flan Mole DÂU; score=0.431</x:v>
      </x:c>
      <x:c r="AD159" s="37" t="str">
        <x:v>3DDAUL</x:v>
      </x:c>
      <x:c r="AE159" s="38" t="str">
        <x:v>3DDAULT</x:v>
      </x:c>
      <x:c r="AF159" s="123" t="n">
        <x:v>2600</x:v>
      </x:c>
      <x:c r="AG159" s="112" t="str">
        <x:v>g</x:v>
      </x:c>
      <x:c r="AH159" s="112" t="str">
        <x:v>HỘP</x:v>
      </x:c>
      <x:c r="AI159" s="112" t="str">
        <x:v>2600 g / HỘP</x:v>
      </x:c>
      <x:c r="AJ159" s="120" t="n">
        <x:v>70000</x:v>
      </x:c>
      <x:c r="AK159" s="120"/>
      <x:c r="AL159" s="120" t="n">
        <x:v>70000</x:v>
      </x:c>
      <x:c r="AM159" s="112" t="str">
        <x:v>BỔ SUNG GIÁ</x:v>
      </x:c>
      <x:c r="AN159" s="126" t="n">
        <x:v>347</x:v>
      </x:c>
      <x:c r="AO159" s="126" t="n">
        <x:v>348</x:v>
      </x:c>
      <x:c r="AP159" s="113" t="str">
        <x:v>6 HỘP / THÙNG</x:v>
      </x:c>
    </x:row>
    <x:row r="160">
      <x:c r="A160" s="71" t="str">
        <x:v>THẠCH MH 3D CỐM</x:v>
      </x:c>
      <x:c r="B160" s="30" t="str">
        <x:v>THẠCH MH 3D CỐM - THÙNG</x:v>
      </x:c>
      <x:c r="C160" s="37" t="str">
        <x:v>3DMHCO</x:v>
      </x:c>
      <x:c r="D160" s="37" t="str">
        <x:v>3DMHCOT</x:v>
      </x:c>
      <x:c r="E160" s="37" t="str">
        <x:v>3DMHCOT</x:v>
      </x:c>
      <x:c r="F160" s="37" t="n">
        <x:v>8</x:v>
      </x:c>
      <x:c r="G160" s="37" t="n">
        <x:v>21000</x:v>
      </x:c>
      <x:c r="H160" s="37" t="str">
        <x:v>g</x:v>
      </x:c>
      <x:c r="I160" s="37" t="str">
        <x:v>THÙNG</x:v>
      </x:c>
      <x:c r="J160" s="59" t="n">
        <x:v>0</x:v>
      </x:c>
      <x:c r="K160" s="59" t="n">
        <x:v>0</x:v>
      </x:c>
      <x:c r="L160" s="59" t="n">
        <x:v>0</x:v>
      </x:c>
      <x:c r="M160" s="37" t="str">
        <x:v>Khác</x:v>
      </x:c>
      <x:c r="N160" s="37" t="str">
        <x:v>CHƯA CÓ GIÁ LẺ</x:v>
      </x:c>
      <x:c r="O160" s="61" t="n">
        <x:v>0.29</x:v>
      </x:c>
      <x:c r="P160" s="37"/>
      <x:c r="Q160" s="30"/>
      <x:c r="R160" s="30"/>
      <x:c r="S160" s="30"/>
      <x:c r="T160" s="37"/>
      <x:c r="U160" s="59"/>
      <x:c r="V160" s="59"/>
      <x:c r="W160" s="117" t="n">
        <x:v>46000</x:v>
      </x:c>
      <x:c r="X160" s="59" t="str">
        <x:f>IFERROR(IF(OR($N160="ĐÃ GHÉP - AUTO",$N160="ĐÃ GHÉP - QUY TẮC"),IF($V160="","",IF($T160="THÙNG",$V160/$F160,$V160)),""),"")</x:f>
      </x:c>
      <x:c r="Y160" s="117" t="n">
        <x:f>IF(OR(W160="",F160=""),"",W160*F160)</x:f>
        <x:v>368000</x:v>
      </x:c>
      <x:c r="Z160" s="59" t="str">
        <x:f>IFERROR(IF(OR($N160="ĐÃ GHÉP - AUTO",$N160="ĐÃ GHÉP - QUY TẮC"),IF($V160="","",IF($T160="THÙNG",$V160,$V160*$F160)),""),"")</x:f>
      </x:c>
      <x:c r="AA160" s="28" t="str">
        <x:f>IFERROR(IF(OR($K160="",$K160=0,$Y160=""),"",($Y160-$K160)/$K160),"")</x:f>
      </x:c>
      <x:c r="AB160" s="37" t="str">
        <x:f>IFERROR(IF($N160="CẦN DUYỆT","DUYỆT MAP",IF($N160="CHƯA CÓ GIÁ LẺ","THIẾU GIÁ",IF(OR($K160="",$K160=0,$Y160=""),"OK",IF(ABS(($Y160-$K160)/$K160)&gt;0.15,"LỆCH GIÁ CŨ","OK")))),"OK")</x:f>
        <x:v>THIẾU GIÁ</x:v>
      </x:c>
      <x:c r="AC160" s="30" t="str">
        <x:v>ứng viên gần nhất=Cốm hồng Ongon; score=0.290</x:v>
      </x:c>
      <x:c r="AD160" s="37" t="str">
        <x:v>3DMHCO</x:v>
      </x:c>
      <x:c r="AE160" s="38" t="str">
        <x:v>3DMHCOT</x:v>
      </x:c>
      <x:c r="AF160" s="123" t="n">
        <x:v>2500</x:v>
      </x:c>
      <x:c r="AG160" s="112" t="str">
        <x:v>g</x:v>
      </x:c>
      <x:c r="AH160" s="112" t="str">
        <x:v>HỦ</x:v>
      </x:c>
      <x:c r="AI160" s="112" t="str">
        <x:v>2500 g / HỦ</x:v>
      </x:c>
      <x:c r="AJ160" s="120" t="n">
        <x:v>46000</x:v>
      </x:c>
      <x:c r="AK160" s="120"/>
      <x:c r="AL160" s="120" t="n">
        <x:v>46000</x:v>
      </x:c>
      <x:c r="AM160" s="112" t="str">
        <x:v>BỔ SUNG GIÁ</x:v>
      </x:c>
      <x:c r="AN160" s="126" t="n">
        <x:v>349</x:v>
      </x:c>
      <x:c r="AO160" s="126" t="n">
        <x:v>350</x:v>
      </x:c>
      <x:c r="AP160" s="113" t="str">
        <x:v>8 HỦ / THÙNG</x:v>
      </x:c>
    </x:row>
    <x:row r="161">
      <x:c r="A161" s="71" t="str">
        <x:v>THẠCH 3D CAFE LỚN</x:v>
      </x:c>
      <x:c r="B161" s="30" t="str">
        <x:v>THẠCH 3D CAFE LỚN - THÙNG</x:v>
      </x:c>
      <x:c r="C161" s="37" t="str">
        <x:v>3DCFEL</x:v>
      </x:c>
      <x:c r="D161" s="37" t="str">
        <x:v>3DCFELT</x:v>
      </x:c>
      <x:c r="E161" s="37" t="str">
        <x:v>3DCFELT</x:v>
      </x:c>
      <x:c r="F161" s="37" t="n">
        <x:v>6</x:v>
      </x:c>
      <x:c r="G161" s="37" t="n">
        <x:v>16000</x:v>
      </x:c>
      <x:c r="H161" s="37" t="str">
        <x:v>g</x:v>
      </x:c>
      <x:c r="I161" s="37" t="str">
        <x:v>THÙNG</x:v>
      </x:c>
      <x:c r="J161" s="59" t="n">
        <x:v>0</x:v>
      </x:c>
      <x:c r="K161" s="59" t="n">
        <x:v>410000</x:v>
      </x:c>
      <x:c r="L161" s="59" t="n">
        <x:v>0</x:v>
      </x:c>
      <x:c r="M161" s="37" t="str">
        <x:v>Khác</x:v>
      </x:c>
      <x:c r="N161" s="37" t="str">
        <x:v>CHƯA CÓ GIÁ LẺ</x:v>
      </x:c>
      <x:c r="O161" s="61" t="n">
        <x:v>0.34</x:v>
      </x:c>
      <x:c r="P161" s="37"/>
      <x:c r="Q161" s="30"/>
      <x:c r="R161" s="30"/>
      <x:c r="S161" s="30"/>
      <x:c r="T161" s="37"/>
      <x:c r="U161" s="59"/>
      <x:c r="V161" s="59"/>
      <x:c r="W161" s="117" t="n">
        <x:v>70000</x:v>
      </x:c>
      <x:c r="X161" s="59" t="str">
        <x:f>IFERROR(IF(OR($N161="ĐÃ GHÉP - AUTO",$N161="ĐÃ GHÉP - QUY TẮC"),IF($V161="","",IF($T161="THÙNG",$V161/$F161,$V161)),""),"")</x:f>
      </x:c>
      <x:c r="Y161" s="117" t="n">
        <x:f>IF(OR(W161="",F161=""),"",W161*F161)</x:f>
        <x:v>420000</x:v>
      </x:c>
      <x:c r="Z161" s="59" t="str">
        <x:f>IFERROR(IF(OR($N161="ĐÃ GHÉP - AUTO",$N161="ĐÃ GHÉP - QUY TẮC"),IF($V161="","",IF($T161="THÙNG",$V161,$V161*$F161)),""),"")</x:f>
      </x:c>
      <x:c r="AA161" s="28" t="n">
        <x:f>IFERROR(IF(OR($K161="",$K161=0,$Y161=""),"",($Y161-$K161)/$K161),"")</x:f>
        <x:v>0.024390243902439025</x:v>
      </x:c>
      <x:c r="AB161" s="37" t="str">
        <x:f>IFERROR(IF($N161="CẦN DUYỆT","DUYỆT MAP",IF($N161="CHƯA CÓ GIÁ LẺ","THIẾU GIÁ",IF(OR($K161="",$K161=0,$Y161=""),"OK",IF(ABS(($Y161-$K161)/$K161)&gt;0.15,"LỆCH GIÁ CŨ","OK")))),"OK")</x:f>
        <x:v>THIẾU GIÁ</x:v>
      </x:c>
      <x:c r="AC161" s="30" t="str">
        <x:v>ứng viên gần nhất=Tc Cafe Gia Uy; score=0.340</x:v>
      </x:c>
      <x:c r="AD161" s="37" t="str">
        <x:v>3DCFEL</x:v>
      </x:c>
      <x:c r="AE161" s="38" t="str">
        <x:v>3DCFELT</x:v>
      </x:c>
      <x:c r="AF161" s="123" t="n">
        <x:v>26</x:v>
      </x:c>
      <x:c r="AG161" s="112" t="str">
        <x:v>g</x:v>
      </x:c>
      <x:c r="AH161" s="112" t="str">
        <x:v>HỘP</x:v>
      </x:c>
      <x:c r="AI161" s="112" t="str">
        <x:v>26 g / HỘP</x:v>
      </x:c>
      <x:c r="AJ161" s="120" t="n">
        <x:v>70000</x:v>
      </x:c>
      <x:c r="AK161" s="120"/>
      <x:c r="AL161" s="120" t="n">
        <x:v>70000</x:v>
      </x:c>
      <x:c r="AM161" s="112" t="str">
        <x:v>BỔ SUNG GIÁ</x:v>
      </x:c>
      <x:c r="AN161" s="126" t="n">
        <x:v>351</x:v>
      </x:c>
      <x:c r="AO161" s="126" t="n">
        <x:v>352</x:v>
      </x:c>
      <x:c r="AP161" s="113" t="str">
        <x:v>6 HỘP / THÙNG</x:v>
      </x:c>
    </x:row>
    <x:row r="162">
      <x:c r="A162" s="71" t="str">
        <x:v>TƯƠNG HÀN</x:v>
      </x:c>
      <x:c r="B162" s="30" t="str">
        <x:v>TƯƠNG HÀN - THÙNG</x:v>
      </x:c>
      <x:c r="C162" s="37" t="str">
        <x:v>TGHANN</x:v>
      </x:c>
      <x:c r="D162" s="37" t="str">
        <x:v>TGHANNT</x:v>
      </x:c>
      <x:c r="E162" s="37" t="str">
        <x:v>TGHANNT</x:v>
      </x:c>
      <x:c r="F162" s="37" t="n">
        <x:v>14</x:v>
      </x:c>
      <x:c r="G162" s="37" t="n">
        <x:v>14000</x:v>
      </x:c>
      <x:c r="H162" s="37" t="str">
        <x:v>g</x:v>
      </x:c>
      <x:c r="I162" s="37" t="str">
        <x:v>THÙNG</x:v>
      </x:c>
      <x:c r="J162" s="59" t="n">
        <x:v>0</x:v>
      </x:c>
      <x:c r="K162" s="59" t="n">
        <x:v>840000</x:v>
      </x:c>
      <x:c r="L162" s="59" t="n">
        <x:v>0</x:v>
      </x:c>
      <x:c r="M162" s="37" t="str">
        <x:v>Khác</x:v>
      </x:c>
      <x:c r="N162" s="37" t="str">
        <x:v>CHƯA CÓ GIÁ LẺ</x:v>
      </x:c>
      <x:c r="O162" s="61" t="n">
        <x:v>0.322</x:v>
      </x:c>
      <x:c r="P162" s="37"/>
      <x:c r="Q162" s="30"/>
      <x:c r="R162" s="30"/>
      <x:c r="S162" s="30"/>
      <x:c r="T162" s="37"/>
      <x:c r="U162" s="59"/>
      <x:c r="V162" s="59"/>
      <x:c r="W162" s="117" t="n">
        <x:v>65000</x:v>
      </x:c>
      <x:c r="X162" s="59" t="str">
        <x:f>IFERROR(IF(OR($N162="ĐÃ GHÉP - AUTO",$N162="ĐÃ GHÉP - QUY TẮC"),IF($V162="","",IF($T162="THÙNG",$V162/$F162,$V162)),""),"")</x:f>
      </x:c>
      <x:c r="Y162" s="117" t="n">
        <x:f>IF(OR(W162="",F162=""),"",W162*F162)</x:f>
        <x:v>910000</x:v>
      </x:c>
      <x:c r="Z162" s="59" t="str">
        <x:f>IFERROR(IF(OR($N162="ĐÃ GHÉP - AUTO",$N162="ĐÃ GHÉP - QUY TẮC"),IF($V162="","",IF($T162="THÙNG",$V162,$V162*$F162)),""),"")</x:f>
      </x:c>
      <x:c r="AA162" s="28" t="n">
        <x:f>IFERROR(IF(OR($K162="",$K162=0,$Y162=""),"",($Y162-$K162)/$K162),"")</x:f>
        <x:v>0.08333333333333333</x:v>
      </x:c>
      <x:c r="AB162" s="37" t="str">
        <x:f>IFERROR(IF($N162="CẦN DUYỆT","DUYỆT MAP",IF($N162="CHƯA CÓ GIÁ LẺ","THIẾU GIÁ",IF(OR($K162="",$K162=0,$Y162=""),"OK",IF(ABS(($Y162-$K162)/$K162)&gt;0.15,"LỆCH GIÁ CŨ","OK")))),"OK")</x:f>
        <x:v>THIẾU GIÁ</x:v>
      </x:c>
      <x:c r="AC162" s="30" t="str">
        <x:v>ứng viên gần nhất=Chả cá Hàn Quốc; score=0.322</x:v>
      </x:c>
      <x:c r="AD162" s="37" t="str">
        <x:v>TGHANN</x:v>
      </x:c>
      <x:c r="AE162" s="38" t="str">
        <x:v>TGHANNT</x:v>
      </x:c>
      <x:c r="AF162" s="123" t="n">
        <x:v>1000</x:v>
      </x:c>
      <x:c r="AG162" s="112" t="str">
        <x:v>g</x:v>
      </x:c>
      <x:c r="AH162" s="112" t="str">
        <x:v>KG</x:v>
      </x:c>
      <x:c r="AI162" s="112" t="str">
        <x:v>1000 g / KG</x:v>
      </x:c>
      <x:c r="AJ162" s="120" t="n">
        <x:v>65000</x:v>
      </x:c>
      <x:c r="AK162" s="120"/>
      <x:c r="AL162" s="120" t="n">
        <x:v>65000</x:v>
      </x:c>
      <x:c r="AM162" s="112" t="str">
        <x:v>BỔ SUNG GIÁ</x:v>
      </x:c>
      <x:c r="AN162" s="126" t="n">
        <x:v>355</x:v>
      </x:c>
      <x:c r="AO162" s="126" t="n">
        <x:v>356</x:v>
      </x:c>
      <x:c r="AP162" s="113" t="str">
        <x:v>14 KG / THÙNG</x:v>
      </x:c>
    </x:row>
    <x:row r="163">
      <x:c r="A163" s="71" t="str">
        <x:v>TORANI VIỆT QUỐC</x:v>
      </x:c>
      <x:c r="B163" s="30" t="str">
        <x:v>TORANI VIỆT QUỐC - THÙNG</x:v>
      </x:c>
      <x:c r="C163" s="37" t="str">
        <x:v>TORVQU</x:v>
      </x:c>
      <x:c r="D163" s="37" t="str">
        <x:v>TORVQUT</x:v>
      </x:c>
      <x:c r="E163" s="37" t="str">
        <x:v>TORVQUT</x:v>
      </x:c>
      <x:c r="F163" s="37" t="n">
        <x:v>12</x:v>
      </x:c>
      <x:c r="G163" s="37" t="n">
        <x:v>16000</x:v>
      </x:c>
      <x:c r="H163" s="37" t="str">
        <x:v>g</x:v>
      </x:c>
      <x:c r="I163" s="37" t="str">
        <x:v>THÙNG</x:v>
      </x:c>
      <x:c r="J163" s="59" t="n">
        <x:v>0</x:v>
      </x:c>
      <x:c r="K163" s="59" t="n">
        <x:v>0</x:v>
      </x:c>
      <x:c r="L163" s="59" t="n">
        <x:v>0</x:v>
      </x:c>
      <x:c r="M163" s="37" t="str">
        <x:v>Siro</x:v>
      </x:c>
      <x:c r="N163" s="37" t="str">
        <x:v>ĐÃ GHÉP - AUTO</x:v>
      </x:c>
      <x:c r="O163" s="61" t="n">
        <x:v>0.849</x:v>
      </x:c>
      <x:c r="P163" s="37" t="n">
        <x:v>4</x:v>
      </x:c>
      <x:c r="Q163" s="30" t="str">
        <x:v>Siro Torani</x:v>
      </x:c>
      <x:c r="R163" s="30" t="str">
        <x:v>Thùng 12 chai</x:v>
      </x:c>
      <x:c r="S163" s="30" t="str">
        <x:v>chai</x:v>
      </x:c>
      <x:c r="T163" s="37" t="str">
        <x:v>ĐƠN VỊ</x:v>
      </x:c>
      <x:c r="U163" s="59" t="n">
        <x:v>180000</x:v>
      </x:c>
      <x:c r="V163" s="59"/>
      <x:c r="W163" s="117" t="n">
        <x:v>180000</x:v>
      </x:c>
      <x:c r="X163" s="59" t="str">
        <x:f>IFERROR(IF(OR($N163="ĐÃ GHÉP - AUTO",$N163="ĐÃ GHÉP - QUY TẮC"),IF($V163="","",IF($T163="THÙNG",$V163/$F163,$V163)),""),"")</x:f>
      </x:c>
      <x:c r="Y163" s="117" t="n">
        <x:f>IF(OR(W163="",F163=""),"",W163*F163)</x:f>
        <x:v>2160000</x:v>
      </x:c>
      <x:c r="Z163" s="59" t="str">
        <x:f>IFERROR(IF(OR($N163="ĐÃ GHÉP - AUTO",$N163="ĐÃ GHÉP - QUY TẮC"),IF($V163="","",IF($T163="THÙNG",$V163,$V163*$F163)),""),"")</x:f>
      </x:c>
      <x:c r="AA163" s="28" t="str">
        <x:f>IFERROR(IF(OR($K163="",$K163=0,$Y163=""),"",($Y163-$K163)/$K163),"")</x:f>
      </x:c>
      <x:c r="AB163" s="37" t="str">
        <x:f>IFERROR(IF($N163="CẦN DUYỆT","DUYỆT MAP",IF($N163="CHƯA CÓ GIÁ LẺ","THIẾU GIÁ",IF(OR($K163="",$K163=0,$Y163=""),"OK",IF(ABS(($Y163-$K163)/$K163)&gt;0.15,"LỆCH GIÁ CŨ","OK")))),"OK")</x:f>
        <x:v>OK</x:v>
      </x:c>
      <x:c r="AC163" s="30" t="str">
        <x:v>score=0.849; gap=0.785</x:v>
      </x:c>
      <x:c r="AD163" s="37" t="str">
        <x:v>TORVQU</x:v>
      </x:c>
      <x:c r="AE163" s="38" t="str">
        <x:v>TORVQUT</x:v>
      </x:c>
      <x:c r="AF163" s="123" t="n">
        <x:v>1500</x:v>
      </x:c>
      <x:c r="AG163" s="112" t="str">
        <x:v>g</x:v>
      </x:c>
      <x:c r="AH163" s="112" t="str">
        <x:v>CHAI</x:v>
      </x:c>
      <x:c r="AI163" s="112" t="str">
        <x:v>1500 g / CHAI</x:v>
      </x:c>
      <x:c r="AJ163" s="120" t="n">
        <x:v>180000</x:v>
      </x:c>
      <x:c r="AK163" s="120" t="n">
        <x:v>180000</x:v>
      </x:c>
      <x:c r="AL163" s="120" t="n">
        <x:v>180000</x:v>
      </x:c>
      <x:c r="AM163" s="112" t="str">
        <x:v>GIỮ NGUYÊN - ĐÃ KHỚP</x:v>
      </x:c>
      <x:c r="AN163" s="126" t="n">
        <x:v>360</x:v>
      </x:c>
      <x:c r="AO163" s="126" t="n">
        <x:v>361</x:v>
      </x:c>
      <x:c r="AP163" s="113" t="str">
        <x:v>12 CHAI / THÙNG</x:v>
      </x:c>
    </x:row>
    <x:row r="164">
      <x:c r="A164" s="71" t="str">
        <x:v>TORANI VẢI</x:v>
      </x:c>
      <x:c r="B164" s="30" t="str">
        <x:v>TORANI VẢI - THÙNG</x:v>
      </x:c>
      <x:c r="C164" s="37" t="str">
        <x:v>TORVAI</x:v>
      </x:c>
      <x:c r="D164" s="37" t="str">
        <x:v>TORVAIT</x:v>
      </x:c>
      <x:c r="E164" s="37" t="str">
        <x:v>TORVAIT</x:v>
      </x:c>
      <x:c r="F164" s="37" t="n">
        <x:v>12</x:v>
      </x:c>
      <x:c r="G164" s="37" t="n">
        <x:v>16000</x:v>
      </x:c>
      <x:c r="H164" s="37" t="str">
        <x:v>g</x:v>
      </x:c>
      <x:c r="I164" s="37" t="str">
        <x:v>THÙNG</x:v>
      </x:c>
      <x:c r="J164" s="59" t="n">
        <x:v>0</x:v>
      </x:c>
      <x:c r="K164" s="59" t="n">
        <x:v>0</x:v>
      </x:c>
      <x:c r="L164" s="59" t="n">
        <x:v>0</x:v>
      </x:c>
      <x:c r="M164" s="37" t="str">
        <x:v>Siro</x:v>
      </x:c>
      <x:c r="N164" s="37" t="str">
        <x:v>ĐÃ GHÉP - AUTO</x:v>
      </x:c>
      <x:c r="O164" s="61" t="n">
        <x:v>0.877</x:v>
      </x:c>
      <x:c r="P164" s="37" t="n">
        <x:v>4</x:v>
      </x:c>
      <x:c r="Q164" s="30" t="str">
        <x:v>Siro Torani</x:v>
      </x:c>
      <x:c r="R164" s="30" t="str">
        <x:v>Thùng 12 chai</x:v>
      </x:c>
      <x:c r="S164" s="30" t="str">
        <x:v>chai</x:v>
      </x:c>
      <x:c r="T164" s="37" t="str">
        <x:v>ĐƠN VỊ</x:v>
      </x:c>
      <x:c r="U164" s="59" t="n">
        <x:v>180000</x:v>
      </x:c>
      <x:c r="V164" s="59"/>
      <x:c r="W164" s="117" t="n">
        <x:v>180000</x:v>
      </x:c>
      <x:c r="X164" s="59" t="str">
        <x:f>IFERROR(IF(OR($N164="ĐÃ GHÉP - AUTO",$N164="ĐÃ GHÉP - QUY TẮC"),IF($V164="","",IF($T164="THÙNG",$V164/$F164,$V164)),""),"")</x:f>
      </x:c>
      <x:c r="Y164" s="117" t="n">
        <x:f>IF(OR(W164="",F164=""),"",W164*F164)</x:f>
        <x:v>2160000</x:v>
      </x:c>
      <x:c r="Z164" s="59" t="str">
        <x:f>IFERROR(IF(OR($N164="ĐÃ GHÉP - AUTO",$N164="ĐÃ GHÉP - QUY TẮC"),IF($V164="","",IF($T164="THÙNG",$V164,$V164*$F164)),""),"")</x:f>
      </x:c>
      <x:c r="AA164" s="28" t="str">
        <x:f>IFERROR(IF(OR($K164="",$K164=0,$Y164=""),"",($Y164-$K164)/$K164),"")</x:f>
      </x:c>
      <x:c r="AB164" s="37" t="str">
        <x:f>IFERROR(IF($N164="CẦN DUYỆT","DUYỆT MAP",IF($N164="CHƯA CÓ GIÁ LẺ","THIẾU GIÁ",IF(OR($K164="",$K164=0,$Y164=""),"OK",IF(ABS(($Y164-$K164)/$K164)&gt;0.15,"LỆCH GIÁ CŨ","OK")))),"OK")</x:f>
        <x:v>OK</x:v>
      </x:c>
      <x:c r="AC164" s="30" t="str">
        <x:v>score=0.877; gap=0.814</x:v>
      </x:c>
      <x:c r="AD164" s="37" t="str">
        <x:v>TORVAI</x:v>
      </x:c>
      <x:c r="AE164" s="38" t="str">
        <x:v>TORVAIT</x:v>
      </x:c>
      <x:c r="AF164" s="123" t="n">
        <x:v>1500</x:v>
      </x:c>
      <x:c r="AG164" s="112" t="str">
        <x:v>g</x:v>
      </x:c>
      <x:c r="AH164" s="112" t="str">
        <x:v>CHAI</x:v>
      </x:c>
      <x:c r="AI164" s="112" t="str">
        <x:v>1500 g / CHAI</x:v>
      </x:c>
      <x:c r="AJ164" s="120" t="n">
        <x:v>180000</x:v>
      </x:c>
      <x:c r="AK164" s="120" t="n">
        <x:v>180000</x:v>
      </x:c>
      <x:c r="AL164" s="120" t="n">
        <x:v>180000</x:v>
      </x:c>
      <x:c r="AM164" s="112" t="str">
        <x:v>GIỮ NGUYÊN - ĐÃ KHỚP</x:v>
      </x:c>
      <x:c r="AN164" s="126" t="n">
        <x:v>362</x:v>
      </x:c>
      <x:c r="AO164" s="126" t="n">
        <x:v>363</x:v>
      </x:c>
      <x:c r="AP164" s="113" t="str">
        <x:v>12 CHAI / THÙNG</x:v>
      </x:c>
    </x:row>
    <x:row r="165">
      <x:c r="A165" s="71" t="str">
        <x:v>TORANI TÁO</x:v>
      </x:c>
      <x:c r="B165" s="30" t="str">
        <x:v>TORANI TÁO - THÙNG</x:v>
      </x:c>
      <x:c r="C165" s="37" t="str">
        <x:v>TORTAO</x:v>
      </x:c>
      <x:c r="D165" s="37" t="str">
        <x:v>TORTAOT</x:v>
      </x:c>
      <x:c r="E165" s="37" t="str">
        <x:v>TORTAOT</x:v>
      </x:c>
      <x:c r="F165" s="37" t="n">
        <x:v>12</x:v>
      </x:c>
      <x:c r="G165" s="37" t="n">
        <x:v>16000</x:v>
      </x:c>
      <x:c r="H165" s="37" t="str">
        <x:v>g</x:v>
      </x:c>
      <x:c r="I165" s="37" t="str">
        <x:v>THÙNG</x:v>
      </x:c>
      <x:c r="J165" s="59" t="n">
        <x:v>0</x:v>
      </x:c>
      <x:c r="K165" s="59" t="n">
        <x:v>0</x:v>
      </x:c>
      <x:c r="L165" s="59" t="n">
        <x:v>0</x:v>
      </x:c>
      <x:c r="M165" s="37" t="str">
        <x:v>Siro</x:v>
      </x:c>
      <x:c r="N165" s="37" t="str">
        <x:v>ĐÃ GHÉP - AUTO</x:v>
      </x:c>
      <x:c r="O165" s="61" t="n">
        <x:v>0.871</x:v>
      </x:c>
      <x:c r="P165" s="37" t="n">
        <x:v>4</x:v>
      </x:c>
      <x:c r="Q165" s="30" t="str">
        <x:v>Siro Torani</x:v>
      </x:c>
      <x:c r="R165" s="30" t="str">
        <x:v>Thùng 12 chai</x:v>
      </x:c>
      <x:c r="S165" s="30" t="str">
        <x:v>chai</x:v>
      </x:c>
      <x:c r="T165" s="37" t="str">
        <x:v>ĐƠN VỊ</x:v>
      </x:c>
      <x:c r="U165" s="59" t="n">
        <x:v>180000</x:v>
      </x:c>
      <x:c r="V165" s="59"/>
      <x:c r="W165" s="117" t="n">
        <x:v>180000</x:v>
      </x:c>
      <x:c r="X165" s="59" t="str">
        <x:f>IFERROR(IF(OR($N165="ĐÃ GHÉP - AUTO",$N165="ĐÃ GHÉP - QUY TẮC"),IF($V165="","",IF($T165="THÙNG",$V165/$F165,$V165)),""),"")</x:f>
      </x:c>
      <x:c r="Y165" s="117" t="n">
        <x:f>IF(OR(W165="",F165=""),"",W165*F165)</x:f>
        <x:v>2160000</x:v>
      </x:c>
      <x:c r="Z165" s="59" t="str">
        <x:f>IFERROR(IF(OR($N165="ĐÃ GHÉP - AUTO",$N165="ĐÃ GHÉP - QUY TẮC"),IF($V165="","",IF($T165="THÙNG",$V165,$V165*$F165)),""),"")</x:f>
      </x:c>
      <x:c r="AA165" s="28" t="str">
        <x:f>IFERROR(IF(OR($K165="",$K165=0,$Y165=""),"",($Y165-$K165)/$K165),"")</x:f>
      </x:c>
      <x:c r="AB165" s="37" t="str">
        <x:f>IFERROR(IF($N165="CẦN DUYỆT","DUYỆT MAP",IF($N165="CHƯA CÓ GIÁ LẺ","THIẾU GIÁ",IF(OR($K165="",$K165=0,$Y165=""),"OK",IF(ABS(($Y165-$K165)/$K165)&gt;0.15,"LỆCH GIÁ CŨ","OK")))),"OK")</x:f>
        <x:v>OK</x:v>
      </x:c>
      <x:c r="AC165" s="30" t="str">
        <x:v>score=0.871; gap=0.486</x:v>
      </x:c>
      <x:c r="AD165" s="37" t="str">
        <x:v>TORTAO</x:v>
      </x:c>
      <x:c r="AE165" s="38" t="str">
        <x:v>TORTAOT</x:v>
      </x:c>
      <x:c r="AF165" s="123" t="n">
        <x:v>1500</x:v>
      </x:c>
      <x:c r="AG165" s="112" t="str">
        <x:v>g</x:v>
      </x:c>
      <x:c r="AH165" s="112" t="str">
        <x:v>CHAI</x:v>
      </x:c>
      <x:c r="AI165" s="112" t="str">
        <x:v>1500 g / CHAI</x:v>
      </x:c>
      <x:c r="AJ165" s="120" t="n">
        <x:v>180000</x:v>
      </x:c>
      <x:c r="AK165" s="120" t="n">
        <x:v>180000</x:v>
      </x:c>
      <x:c r="AL165" s="120" t="n">
        <x:v>180000</x:v>
      </x:c>
      <x:c r="AM165" s="112" t="str">
        <x:v>GIỮ NGUYÊN - ĐÃ KHỚP</x:v>
      </x:c>
      <x:c r="AN165" s="126" t="n">
        <x:v>364</x:v>
      </x:c>
      <x:c r="AO165" s="126" t="n">
        <x:v>365</x:v>
      </x:c>
      <x:c r="AP165" s="113" t="str">
        <x:v>12 CHAI / THÙNG</x:v>
      </x:c>
    </x:row>
    <x:row r="166">
      <x:c r="A166" s="71" t="str">
        <x:v>TORANI ỔI</x:v>
      </x:c>
      <x:c r="B166" s="30" t="str">
        <x:v>TORANI ỔI - THÙNG</x:v>
      </x:c>
      <x:c r="C166" s="37" t="str">
        <x:v>TOROIH</x:v>
      </x:c>
      <x:c r="D166" s="37" t="str">
        <x:v>TOROIHT</x:v>
      </x:c>
      <x:c r="E166" s="37" t="str">
        <x:v>TOROIHT</x:v>
      </x:c>
      <x:c r="F166" s="37" t="n">
        <x:v>12</x:v>
      </x:c>
      <x:c r="G166" s="37" t="n">
        <x:v>16000</x:v>
      </x:c>
      <x:c r="H166" s="37" t="str">
        <x:v>g</x:v>
      </x:c>
      <x:c r="I166" s="37" t="str">
        <x:v>THÙNG</x:v>
      </x:c>
      <x:c r="J166" s="59" t="n">
        <x:v>0</x:v>
      </x:c>
      <x:c r="K166" s="59" t="n">
        <x:v>0</x:v>
      </x:c>
      <x:c r="L166" s="59" t="n">
        <x:v>0</x:v>
      </x:c>
      <x:c r="M166" s="37" t="str">
        <x:v>Siro</x:v>
      </x:c>
      <x:c r="N166" s="37" t="str">
        <x:v>ĐÃ GHÉP - AUTO</x:v>
      </x:c>
      <x:c r="O166" s="61" t="n">
        <x:v>0.872</x:v>
      </x:c>
      <x:c r="P166" s="37" t="n">
        <x:v>4</x:v>
      </x:c>
      <x:c r="Q166" s="30" t="str">
        <x:v>Siro Torani</x:v>
      </x:c>
      <x:c r="R166" s="30" t="str">
        <x:v>Thùng 12 chai</x:v>
      </x:c>
      <x:c r="S166" s="30" t="str">
        <x:v>chai</x:v>
      </x:c>
      <x:c r="T166" s="37" t="str">
        <x:v>ĐƠN VỊ</x:v>
      </x:c>
      <x:c r="U166" s="59" t="n">
        <x:v>180000</x:v>
      </x:c>
      <x:c r="V166" s="59"/>
      <x:c r="W166" s="117" t="n">
        <x:v>180000</x:v>
      </x:c>
      <x:c r="X166" s="59" t="str">
        <x:f>IFERROR(IF(OR($N166="ĐÃ GHÉP - AUTO",$N166="ĐÃ GHÉP - QUY TẮC"),IF($V166="","",IF($T166="THÙNG",$V166/$F166,$V166)),""),"")</x:f>
      </x:c>
      <x:c r="Y166" s="117" t="n">
        <x:f>IF(OR(W166="",F166=""),"",W166*F166)</x:f>
        <x:v>2160000</x:v>
      </x:c>
      <x:c r="Z166" s="59" t="str">
        <x:f>IFERROR(IF(OR($N166="ĐÃ GHÉP - AUTO",$N166="ĐÃ GHÉP - QUY TẮC"),IF($V166="","",IF($T166="THÙNG",$V166,$V166*$F166)),""),"")</x:f>
      </x:c>
      <x:c r="AA166" s="28" t="str">
        <x:f>IFERROR(IF(OR($K166="",$K166=0,$Y166=""),"",($Y166-$K166)/$K166),"")</x:f>
      </x:c>
      <x:c r="AB166" s="37" t="str">
        <x:f>IFERROR(IF($N166="CẦN DUYỆT","DUYỆT MAP",IF($N166="CHƯA CÓ GIÁ LẺ","THIẾU GIÁ",IF(OR($K166="",$K166=0,$Y166=""),"OK",IF(ABS(($Y166-$K166)/$K166)&gt;0.15,"LỆCH GIÁ CŨ","OK")))),"OK")</x:f>
        <x:v>OK</x:v>
      </x:c>
      <x:c r="AC166" s="30" t="str">
        <x:v>score=0.872; gap=0.815</x:v>
      </x:c>
      <x:c r="AD166" s="37" t="str">
        <x:v>TOROIH</x:v>
      </x:c>
      <x:c r="AE166" s="38" t="str">
        <x:v>TOROIHT</x:v>
      </x:c>
      <x:c r="AF166" s="123" t="n">
        <x:v>1500</x:v>
      </x:c>
      <x:c r="AG166" s="112" t="str">
        <x:v>g</x:v>
      </x:c>
      <x:c r="AH166" s="112" t="str">
        <x:v>CHAI</x:v>
      </x:c>
      <x:c r="AI166" s="112" t="str">
        <x:v>1500 g / CHAI</x:v>
      </x:c>
      <x:c r="AJ166" s="120" t="n">
        <x:v>180000</x:v>
      </x:c>
      <x:c r="AK166" s="120" t="n">
        <x:v>180000</x:v>
      </x:c>
      <x:c r="AL166" s="120" t="n">
        <x:v>180000</x:v>
      </x:c>
      <x:c r="AM166" s="112" t="str">
        <x:v>GIỮ NGUYÊN - ĐÃ KHỚP</x:v>
      </x:c>
      <x:c r="AN166" s="126" t="n">
        <x:v>366</x:v>
      </x:c>
      <x:c r="AO166" s="126" t="n">
        <x:v>367</x:v>
      </x:c>
      <x:c r="AP166" s="113" t="str">
        <x:v>12 CHAI / THÙNG</x:v>
      </x:c>
    </x:row>
    <x:row r="167">
      <x:c r="A167" s="71" t="str">
        <x:v>TORANI NHÃN</x:v>
      </x:c>
      <x:c r="B167" s="30" t="str">
        <x:v>TORANI NHÃN - THÙNG</x:v>
      </x:c>
      <x:c r="C167" s="37" t="str">
        <x:v>TORNHA</x:v>
      </x:c>
      <x:c r="D167" s="37" t="str">
        <x:v>TORNHAT</x:v>
      </x:c>
      <x:c r="E167" s="37" t="str">
        <x:v>TORNHAT</x:v>
      </x:c>
      <x:c r="F167" s="37" t="n">
        <x:v>12</x:v>
      </x:c>
      <x:c r="G167" s="37" t="n">
        <x:v>16000</x:v>
      </x:c>
      <x:c r="H167" s="37" t="str">
        <x:v>g</x:v>
      </x:c>
      <x:c r="I167" s="37" t="str">
        <x:v>THÙNG</x:v>
      </x:c>
      <x:c r="J167" s="59" t="n">
        <x:v>0</x:v>
      </x:c>
      <x:c r="K167" s="59" t="n">
        <x:v>0</x:v>
      </x:c>
      <x:c r="L167" s="59" t="n">
        <x:v>0</x:v>
      </x:c>
      <x:c r="M167" s="37" t="str">
        <x:v>Siro</x:v>
      </x:c>
      <x:c r="N167" s="37" t="str">
        <x:v>ĐÃ GHÉP - AUTO</x:v>
      </x:c>
      <x:c r="O167" s="61" t="n">
        <x:v>0.865</x:v>
      </x:c>
      <x:c r="P167" s="37" t="n">
        <x:v>4</x:v>
      </x:c>
      <x:c r="Q167" s="30" t="str">
        <x:v>Siro Torani</x:v>
      </x:c>
      <x:c r="R167" s="30" t="str">
        <x:v>Thùng 12 chai</x:v>
      </x:c>
      <x:c r="S167" s="30" t="str">
        <x:v>chai</x:v>
      </x:c>
      <x:c r="T167" s="37" t="str">
        <x:v>ĐƠN VỊ</x:v>
      </x:c>
      <x:c r="U167" s="59" t="n">
        <x:v>180000</x:v>
      </x:c>
      <x:c r="V167" s="59"/>
      <x:c r="W167" s="117" t="n">
        <x:v>180000</x:v>
      </x:c>
      <x:c r="X167" s="59" t="str">
        <x:f>IFERROR(IF(OR($N167="ĐÃ GHÉP - AUTO",$N167="ĐÃ GHÉP - QUY TẮC"),IF($V167="","",IF($T167="THÙNG",$V167/$F167,$V167)),""),"")</x:f>
      </x:c>
      <x:c r="Y167" s="117" t="n">
        <x:f>IF(OR(W167="",F167=""),"",W167*F167)</x:f>
        <x:v>2160000</x:v>
      </x:c>
      <x:c r="Z167" s="59" t="str">
        <x:f>IFERROR(IF(OR($N167="ĐÃ GHÉP - AUTO",$N167="ĐÃ GHÉP - QUY TẮC"),IF($V167="","",IF($T167="THÙNG",$V167,$V167*$F167)),""),"")</x:f>
      </x:c>
      <x:c r="AA167" s="28" t="str">
        <x:f>IFERROR(IF(OR($K167="",$K167=0,$Y167=""),"",($Y167-$K167)/$K167),"")</x:f>
      </x:c>
      <x:c r="AB167" s="37" t="str">
        <x:f>IFERROR(IF($N167="CẦN DUYỆT","DUYỆT MAP",IF($N167="CHƯA CÓ GIÁ LẺ","THIẾU GIÁ",IF(OR($K167="",$K167=0,$Y167=""),"OK",IF(ABS(($Y167-$K167)/$K167)&gt;0.15,"LỆCH GIÁ CŨ","OK")))),"OK")</x:f>
        <x:v>OK</x:v>
      </x:c>
      <x:c r="AC167" s="30" t="str">
        <x:v>score=0.865; gap=0.787</x:v>
      </x:c>
      <x:c r="AD167" s="37" t="str">
        <x:v>TORNHA</x:v>
      </x:c>
      <x:c r="AE167" s="38" t="str">
        <x:v>TORNHAT</x:v>
      </x:c>
      <x:c r="AF167" s="123" t="n">
        <x:v>1500</x:v>
      </x:c>
      <x:c r="AG167" s="112" t="str">
        <x:v>g</x:v>
      </x:c>
      <x:c r="AH167" s="112" t="str">
        <x:v>CHAI</x:v>
      </x:c>
      <x:c r="AI167" s="112" t="str">
        <x:v>1500 g / CHAI</x:v>
      </x:c>
      <x:c r="AJ167" s="120" t="n">
        <x:v>180000</x:v>
      </x:c>
      <x:c r="AK167" s="120" t="n">
        <x:v>180000</x:v>
      </x:c>
      <x:c r="AL167" s="120" t="n">
        <x:v>180000</x:v>
      </x:c>
      <x:c r="AM167" s="112" t="str">
        <x:v>GIỮ NGUYÊN - ĐÃ KHỚP</x:v>
      </x:c>
      <x:c r="AN167" s="126" t="n">
        <x:v>368</x:v>
      </x:c>
      <x:c r="AO167" s="126" t="n">
        <x:v>369</x:v>
      </x:c>
      <x:c r="AP167" s="113" t="str">
        <x:v>12 CHAI / THÙNG</x:v>
      </x:c>
    </x:row>
    <x:row r="168">
      <x:c r="A168" s="71" t="str">
        <x:v>TORANI MOJITO</x:v>
      </x:c>
      <x:c r="B168" s="30" t="str">
        <x:v>TORANI MOJITO - THÙNG</x:v>
      </x:c>
      <x:c r="C168" s="37" t="str">
        <x:v>TORMJT</x:v>
      </x:c>
      <x:c r="D168" s="37" t="str">
        <x:v>TORMJTT</x:v>
      </x:c>
      <x:c r="E168" s="37" t="str">
        <x:v>TORMJTT</x:v>
      </x:c>
      <x:c r="F168" s="37" t="n">
        <x:v>12</x:v>
      </x:c>
      <x:c r="G168" s="37" t="n">
        <x:v>16000</x:v>
      </x:c>
      <x:c r="H168" s="37" t="str">
        <x:v>g</x:v>
      </x:c>
      <x:c r="I168" s="37" t="str">
        <x:v>THÙNG</x:v>
      </x:c>
      <x:c r="J168" s="59" t="n">
        <x:v>0</x:v>
      </x:c>
      <x:c r="K168" s="59" t="n">
        <x:v>0</x:v>
      </x:c>
      <x:c r="L168" s="59" t="n">
        <x:v>0</x:v>
      </x:c>
      <x:c r="M168" s="37" t="str">
        <x:v>Siro</x:v>
      </x:c>
      <x:c r="N168" s="37" t="str">
        <x:v>ĐÃ GHÉP - AUTO</x:v>
      </x:c>
      <x:c r="O168" s="61" t="n">
        <x:v>0.86</x:v>
      </x:c>
      <x:c r="P168" s="37" t="n">
        <x:v>4</x:v>
      </x:c>
      <x:c r="Q168" s="30" t="str">
        <x:v>Siro Torani</x:v>
      </x:c>
      <x:c r="R168" s="30" t="str">
        <x:v>Thùng 12 chai</x:v>
      </x:c>
      <x:c r="S168" s="30" t="str">
        <x:v>chai</x:v>
      </x:c>
      <x:c r="T168" s="37" t="str">
        <x:v>ĐƠN VỊ</x:v>
      </x:c>
      <x:c r="U168" s="59" t="n">
        <x:v>180000</x:v>
      </x:c>
      <x:c r="V168" s="59"/>
      <x:c r="W168" s="117" t="n">
        <x:v>180000</x:v>
      </x:c>
      <x:c r="X168" s="59" t="str">
        <x:f>IFERROR(IF(OR($N168="ĐÃ GHÉP - AUTO",$N168="ĐÃ GHÉP - QUY TẮC"),IF($V168="","",IF($T168="THÙNG",$V168/$F168,$V168)),""),"")</x:f>
      </x:c>
      <x:c r="Y168" s="117" t="n">
        <x:f>IF(OR(W168="",F168=""),"",W168*F168)</x:f>
        <x:v>2160000</x:v>
      </x:c>
      <x:c r="Z168" s="59" t="str">
        <x:f>IFERROR(IF(OR($N168="ĐÃ GHÉP - AUTO",$N168="ĐÃ GHÉP - QUY TẮC"),IF($V168="","",IF($T168="THÙNG",$V168,$V168*$F168)),""),"")</x:f>
      </x:c>
      <x:c r="AA168" s="28" t="str">
        <x:f>IFERROR(IF(OR($K168="",$K168=0,$Y168=""),"",($Y168-$K168)/$K168),"")</x:f>
      </x:c>
      <x:c r="AB168" s="37" t="str">
        <x:f>IFERROR(IF($N168="CẦN DUYỆT","DUYỆT MAP",IF($N168="CHƯA CÓ GIÁ LẺ","THIẾU GIÁ",IF(OR($K168="",$K168=0,$Y168=""),"OK",IF(ABS(($Y168-$K168)/$K168)&gt;0.15,"LỆCH GIÁ CŨ","OK")))),"OK")</x:f>
        <x:v>OK</x:v>
      </x:c>
      <x:c r="AC168" s="30" t="str">
        <x:v>score=0.860; gap=0.807</x:v>
      </x:c>
      <x:c r="AD168" s="37" t="str">
        <x:v>TORMJT</x:v>
      </x:c>
      <x:c r="AE168" s="38" t="str">
        <x:v>TORMJTT</x:v>
      </x:c>
      <x:c r="AF168" s="123" t="n">
        <x:v>1500</x:v>
      </x:c>
      <x:c r="AG168" s="112" t="str">
        <x:v>g</x:v>
      </x:c>
      <x:c r="AH168" s="112" t="str">
        <x:v>CHAI</x:v>
      </x:c>
      <x:c r="AI168" s="112" t="str">
        <x:v>1500 g / CHAI</x:v>
      </x:c>
      <x:c r="AJ168" s="120" t="n">
        <x:v>180000</x:v>
      </x:c>
      <x:c r="AK168" s="120" t="n">
        <x:v>180000</x:v>
      </x:c>
      <x:c r="AL168" s="120" t="n">
        <x:v>180000</x:v>
      </x:c>
      <x:c r="AM168" s="112" t="str">
        <x:v>GIỮ NGUYÊN - ĐÃ KHỚP</x:v>
      </x:c>
      <x:c r="AN168" s="126" t="n">
        <x:v>370</x:v>
      </x:c>
      <x:c r="AO168" s="126" t="n">
        <x:v>371</x:v>
      </x:c>
      <x:c r="AP168" s="113" t="str">
        <x:v>12 CHAI / THÙNG</x:v>
      </x:c>
    </x:row>
    <x:row r="169">
      <x:c r="A169" s="71" t="str">
        <x:v>TORANI LỰU</x:v>
      </x:c>
      <x:c r="B169" s="30" t="str">
        <x:v>TORANI LỰU - THÙNG</x:v>
      </x:c>
      <x:c r="C169" s="37" t="str">
        <x:v>TORLUU</x:v>
      </x:c>
      <x:c r="D169" s="37" t="str">
        <x:v>TORLUUT</x:v>
      </x:c>
      <x:c r="E169" s="37" t="str">
        <x:v>TORLUUT</x:v>
      </x:c>
      <x:c r="F169" s="37" t="n">
        <x:v>12</x:v>
      </x:c>
      <x:c r="G169" s="37" t="n">
        <x:v>16000</x:v>
      </x:c>
      <x:c r="H169" s="37" t="str">
        <x:v>g</x:v>
      </x:c>
      <x:c r="I169" s="37" t="str">
        <x:v>THÙNG</x:v>
      </x:c>
      <x:c r="J169" s="59" t="n">
        <x:v>0</x:v>
      </x:c>
      <x:c r="K169" s="59" t="n">
        <x:v>0</x:v>
      </x:c>
      <x:c r="L169" s="59" t="n">
        <x:v>0</x:v>
      </x:c>
      <x:c r="M169" s="37" t="str">
        <x:v>Siro</x:v>
      </x:c>
      <x:c r="N169" s="37" t="str">
        <x:v>ĐÃ GHÉP - AUTO</x:v>
      </x:c>
      <x:c r="O169" s="61" t="n">
        <x:v>0.865</x:v>
      </x:c>
      <x:c r="P169" s="37" t="n">
        <x:v>4</x:v>
      </x:c>
      <x:c r="Q169" s="30" t="str">
        <x:v>Siro Torani</x:v>
      </x:c>
      <x:c r="R169" s="30" t="str">
        <x:v>Thùng 12 chai</x:v>
      </x:c>
      <x:c r="S169" s="30" t="str">
        <x:v>chai</x:v>
      </x:c>
      <x:c r="T169" s="37" t="str">
        <x:v>ĐƠN VỊ</x:v>
      </x:c>
      <x:c r="U169" s="59" t="n">
        <x:v>180000</x:v>
      </x:c>
      <x:c r="V169" s="59"/>
      <x:c r="W169" s="117" t="n">
        <x:v>180000</x:v>
      </x:c>
      <x:c r="X169" s="59" t="str">
        <x:f>IFERROR(IF(OR($N169="ĐÃ GHÉP - AUTO",$N169="ĐÃ GHÉP - QUY TẮC"),IF($V169="","",IF($T169="THÙNG",$V169/$F169,$V169)),""),"")</x:f>
      </x:c>
      <x:c r="Y169" s="117" t="n">
        <x:f>IF(OR(W169="",F169=""),"",W169*F169)</x:f>
        <x:v>2160000</x:v>
      </x:c>
      <x:c r="Z169" s="59" t="str">
        <x:f>IFERROR(IF(OR($N169="ĐÃ GHÉP - AUTO",$N169="ĐÃ GHÉP - QUY TẮC"),IF($V169="","",IF($T169="THÙNG",$V169,$V169*$F169)),""),"")</x:f>
      </x:c>
      <x:c r="AA169" s="28" t="str">
        <x:f>IFERROR(IF(OR($K169="",$K169=0,$Y169=""),"",($Y169-$K169)/$K169),"")</x:f>
      </x:c>
      <x:c r="AB169" s="37" t="str">
        <x:f>IFERROR(IF($N169="CẦN DUYỆT","DUYỆT MAP",IF($N169="CHƯA CÓ GIÁ LẺ","THIẾU GIÁ",IF(OR($K169="",$K169=0,$Y169=""),"OK",IF(ABS(($Y169-$K169)/$K169)&gt;0.15,"LỆCH GIÁ CŨ","OK")))),"OK")</x:f>
        <x:v>OK</x:v>
      </x:c>
      <x:c r="AC169" s="30" t="str">
        <x:v>score=0.865; gap=0.807</x:v>
      </x:c>
      <x:c r="AD169" s="37" t="str">
        <x:v>TORLUU</x:v>
      </x:c>
      <x:c r="AE169" s="38" t="str">
        <x:v>TORLUUT</x:v>
      </x:c>
      <x:c r="AF169" s="123" t="n">
        <x:v>1500</x:v>
      </x:c>
      <x:c r="AG169" s="112" t="str">
        <x:v>g</x:v>
      </x:c>
      <x:c r="AH169" s="112" t="str">
        <x:v>CHAI</x:v>
      </x:c>
      <x:c r="AI169" s="112" t="str">
        <x:v>1500 g / CHAI</x:v>
      </x:c>
      <x:c r="AJ169" s="120" t="n">
        <x:v>180000</x:v>
      </x:c>
      <x:c r="AK169" s="120" t="n">
        <x:v>180000</x:v>
      </x:c>
      <x:c r="AL169" s="120" t="n">
        <x:v>180000</x:v>
      </x:c>
      <x:c r="AM169" s="112" t="str">
        <x:v>GIỮ NGUYÊN - ĐÃ KHỚP</x:v>
      </x:c>
      <x:c r="AN169" s="126" t="n">
        <x:v>372</x:v>
      </x:c>
      <x:c r="AO169" s="126" t="n">
        <x:v>373</x:v>
      </x:c>
      <x:c r="AP169" s="113" t="str">
        <x:v>12 CHAI / THÙNG</x:v>
      </x:c>
    </x:row>
    <x:row r="170">
      <x:c r="A170" s="71" t="str">
        <x:v>TORANI HẠT DẺ</x:v>
      </x:c>
      <x:c r="B170" s="30" t="str">
        <x:v>TORANI HẠT DẺ - THÙNG</x:v>
      </x:c>
      <x:c r="C170" s="37" t="str">
        <x:v>TORHDE</x:v>
      </x:c>
      <x:c r="D170" s="37" t="str">
        <x:v>TORHDET</x:v>
      </x:c>
      <x:c r="E170" s="37" t="str">
        <x:v>TORHDET</x:v>
      </x:c>
      <x:c r="F170" s="37" t="n">
        <x:v>12</x:v>
      </x:c>
      <x:c r="G170" s="37" t="n">
        <x:v>16000</x:v>
      </x:c>
      <x:c r="H170" s="37" t="str">
        <x:v>g</x:v>
      </x:c>
      <x:c r="I170" s="37" t="str">
        <x:v>THÙNG</x:v>
      </x:c>
      <x:c r="J170" s="59" t="n">
        <x:v>0</x:v>
      </x:c>
      <x:c r="K170" s="59" t="n">
        <x:v>0</x:v>
      </x:c>
      <x:c r="L170" s="59" t="n">
        <x:v>0</x:v>
      </x:c>
      <x:c r="M170" s="37" t="str">
        <x:v>Siro</x:v>
      </x:c>
      <x:c r="N170" s="37" t="str">
        <x:v>ĐÃ GHÉP - AUTO</x:v>
      </x:c>
      <x:c r="O170" s="61" t="n">
        <x:v>0.836</x:v>
      </x:c>
      <x:c r="P170" s="37" t="n">
        <x:v>4</x:v>
      </x:c>
      <x:c r="Q170" s="30" t="str">
        <x:v>Siro Torani</x:v>
      </x:c>
      <x:c r="R170" s="30" t="str">
        <x:v>Thùng 12 chai</x:v>
      </x:c>
      <x:c r="S170" s="30" t="str">
        <x:v>chai</x:v>
      </x:c>
      <x:c r="T170" s="37" t="str">
        <x:v>ĐƠN VỊ</x:v>
      </x:c>
      <x:c r="U170" s="59" t="n">
        <x:v>180000</x:v>
      </x:c>
      <x:c r="V170" s="59"/>
      <x:c r="W170" s="117" t="n">
        <x:v>180000</x:v>
      </x:c>
      <x:c r="X170" s="59" t="str">
        <x:f>IFERROR(IF(OR($N170="ĐÃ GHÉP - AUTO",$N170="ĐÃ GHÉP - QUY TẮC"),IF($V170="","",IF($T170="THÙNG",$V170/$F170,$V170)),""),"")</x:f>
      </x:c>
      <x:c r="Y170" s="117" t="n">
        <x:f>IF(OR(W170="",F170=""),"",W170*F170)</x:f>
        <x:v>2160000</x:v>
      </x:c>
      <x:c r="Z170" s="59" t="str">
        <x:f>IFERROR(IF(OR($N170="ĐÃ GHÉP - AUTO",$N170="ĐÃ GHÉP - QUY TẮC"),IF($V170="","",IF($T170="THÙNG",$V170,$V170*$F170)),""),"")</x:f>
      </x:c>
      <x:c r="AA170" s="28" t="str">
        <x:f>IFERROR(IF(OR($K170="",$K170=0,$Y170=""),"",($Y170-$K170)/$K170),"")</x:f>
      </x:c>
      <x:c r="AB170" s="37" t="str">
        <x:f>IFERROR(IF($N170="CẦN DUYỆT","DUYỆT MAP",IF($N170="CHƯA CÓ GIÁ LẺ","THIẾU GIÁ",IF(OR($K170="",$K170=0,$Y170=""),"OK",IF(ABS(($Y170-$K170)/$K170)&gt;0.15,"LỆCH GIÁ CŨ","OK")))),"OK")</x:f>
        <x:v>OK</x:v>
      </x:c>
      <x:c r="AC170" s="30" t="str">
        <x:v>score=0.836; gap=0.448</x:v>
      </x:c>
      <x:c r="AD170" s="37" t="str">
        <x:v>TORHDE</x:v>
      </x:c>
      <x:c r="AE170" s="38" t="str">
        <x:v>TORHDET</x:v>
      </x:c>
      <x:c r="AF170" s="123" t="n">
        <x:v>1500</x:v>
      </x:c>
      <x:c r="AG170" s="112" t="str">
        <x:v>g</x:v>
      </x:c>
      <x:c r="AH170" s="112" t="str">
        <x:v>CHAI</x:v>
      </x:c>
      <x:c r="AI170" s="112" t="str">
        <x:v>1500 g / CHAI</x:v>
      </x:c>
      <x:c r="AJ170" s="120" t="n">
        <x:v>180000</x:v>
      </x:c>
      <x:c r="AK170" s="120" t="n">
        <x:v>180000</x:v>
      </x:c>
      <x:c r="AL170" s="120" t="n">
        <x:v>180000</x:v>
      </x:c>
      <x:c r="AM170" s="112" t="str">
        <x:v>GIỮ NGUYÊN - ĐÃ KHỚP</x:v>
      </x:c>
      <x:c r="AN170" s="126" t="n">
        <x:v>374</x:v>
      </x:c>
      <x:c r="AO170" s="126" t="n">
        <x:v>375</x:v>
      </x:c>
      <x:c r="AP170" s="113" t="str">
        <x:v>12 CHAI / THÙNG</x:v>
      </x:c>
    </x:row>
    <x:row r="171">
      <x:c r="A171" s="71" t="str">
        <x:v>TORANI ĐÀO</x:v>
      </x:c>
      <x:c r="B171" s="30" t="str">
        <x:v>TORANI ĐÀO - THÙNG</x:v>
      </x:c>
      <x:c r="C171" s="37" t="str">
        <x:v>TORDAO</x:v>
      </x:c>
      <x:c r="D171" s="37" t="str">
        <x:v>TORDAOT</x:v>
      </x:c>
      <x:c r="E171" s="37" t="str">
        <x:v>TORDAOT</x:v>
      </x:c>
      <x:c r="F171" s="37" t="n">
        <x:v>12</x:v>
      </x:c>
      <x:c r="G171" s="37" t="n">
        <x:v>16000</x:v>
      </x:c>
      <x:c r="H171" s="37" t="str">
        <x:v>g</x:v>
      </x:c>
      <x:c r="I171" s="37" t="str">
        <x:v>THÙNG</x:v>
      </x:c>
      <x:c r="J171" s="59" t="n">
        <x:v>0</x:v>
      </x:c>
      <x:c r="K171" s="59" t="n">
        <x:v>0</x:v>
      </x:c>
      <x:c r="L171" s="59" t="n">
        <x:v>0</x:v>
      </x:c>
      <x:c r="M171" s="37" t="str">
        <x:v>Siro</x:v>
      </x:c>
      <x:c r="N171" s="37" t="str">
        <x:v>ĐÃ GHÉP - AUTO</x:v>
      </x:c>
      <x:c r="O171" s="61" t="n">
        <x:v>0.879</x:v>
      </x:c>
      <x:c r="P171" s="37" t="n">
        <x:v>4</x:v>
      </x:c>
      <x:c r="Q171" s="30" t="str">
        <x:v>Siro Torani</x:v>
      </x:c>
      <x:c r="R171" s="30" t="str">
        <x:v>Thùng 12 chai</x:v>
      </x:c>
      <x:c r="S171" s="30" t="str">
        <x:v>chai</x:v>
      </x:c>
      <x:c r="T171" s="37" t="str">
        <x:v>ĐƠN VỊ</x:v>
      </x:c>
      <x:c r="U171" s="59" t="n">
        <x:v>180000</x:v>
      </x:c>
      <x:c r="V171" s="59"/>
      <x:c r="W171" s="117" t="n">
        <x:v>180000</x:v>
      </x:c>
      <x:c r="X171" s="59" t="str">
        <x:f>IFERROR(IF(OR($N171="ĐÃ GHÉP - AUTO",$N171="ĐÃ GHÉP - QUY TẮC"),IF($V171="","",IF($T171="THÙNG",$V171/$F171,$V171)),""),"")</x:f>
      </x:c>
      <x:c r="Y171" s="117" t="n">
        <x:f>IF(OR(W171="",F171=""),"",W171*F171)</x:f>
        <x:v>2160000</x:v>
      </x:c>
      <x:c r="Z171" s="59" t="str">
        <x:f>IFERROR(IF(OR($N171="ĐÃ GHÉP - AUTO",$N171="ĐÃ GHÉP - QUY TẮC"),IF($V171="","",IF($T171="THÙNG",$V171,$V171*$F171)),""),"")</x:f>
      </x:c>
      <x:c r="AA171" s="28" t="str">
        <x:f>IFERROR(IF(OR($K171="",$K171=0,$Y171=""),"",($Y171-$K171)/$K171),"")</x:f>
      </x:c>
      <x:c r="AB171" s="37" t="str">
        <x:f>IFERROR(IF($N171="CẦN DUYỆT","DUYỆT MAP",IF($N171="CHƯA CÓ GIÁ LẺ","THIẾU GIÁ",IF(OR($K171="",$K171=0,$Y171=""),"OK",IF(ABS(($Y171-$K171)/$K171)&gt;0.15,"LỆCH GIÁ CŨ","OK")))),"OK")</x:f>
        <x:v>OK</x:v>
      </x:c>
      <x:c r="AC171" s="30" t="str">
        <x:v>score=0.879; gap=0.615</x:v>
      </x:c>
      <x:c r="AD171" s="37" t="str">
        <x:v>TORDAO</x:v>
      </x:c>
      <x:c r="AE171" s="38" t="str">
        <x:v>TORDAOT</x:v>
      </x:c>
      <x:c r="AF171" s="123" t="n">
        <x:v>1500</x:v>
      </x:c>
      <x:c r="AG171" s="112" t="str">
        <x:v>g</x:v>
      </x:c>
      <x:c r="AH171" s="112" t="str">
        <x:v>CHAI</x:v>
      </x:c>
      <x:c r="AI171" s="112" t="str">
        <x:v>1500 g / CHAI</x:v>
      </x:c>
      <x:c r="AJ171" s="120" t="n">
        <x:v>180000</x:v>
      </x:c>
      <x:c r="AK171" s="120" t="n">
        <x:v>180000</x:v>
      </x:c>
      <x:c r="AL171" s="120" t="n">
        <x:v>180000</x:v>
      </x:c>
      <x:c r="AM171" s="112" t="str">
        <x:v>GIỮ NGUYÊN - ĐÃ KHỚP</x:v>
      </x:c>
      <x:c r="AN171" s="126" t="n">
        <x:v>376</x:v>
      </x:c>
      <x:c r="AO171" s="126" t="n">
        <x:v>377</x:v>
      </x:c>
      <x:c r="AP171" s="113" t="str">
        <x:v>12 CHAI / THÙNG</x:v>
      </x:c>
    </x:row>
    <x:row r="172">
      <x:c r="A172" s="71" t="str">
        <x:v>TORANI DÂU</x:v>
      </x:c>
      <x:c r="B172" s="30" t="str">
        <x:v>TORANI DÂU - THÙNG</x:v>
      </x:c>
      <x:c r="C172" s="37" t="str">
        <x:v>TORDAU</x:v>
      </x:c>
      <x:c r="D172" s="37" t="str">
        <x:v>TORDAUT</x:v>
      </x:c>
      <x:c r="E172" s="37" t="str">
        <x:v>TORDAUT</x:v>
      </x:c>
      <x:c r="F172" s="37" t="n">
        <x:v>12</x:v>
      </x:c>
      <x:c r="G172" s="37" t="n">
        <x:v>16000</x:v>
      </x:c>
      <x:c r="H172" s="37" t="str">
        <x:v>g</x:v>
      </x:c>
      <x:c r="I172" s="37" t="str">
        <x:v>THÙNG</x:v>
      </x:c>
      <x:c r="J172" s="59" t="n">
        <x:v>0</x:v>
      </x:c>
      <x:c r="K172" s="59" t="n">
        <x:v>0</x:v>
      </x:c>
      <x:c r="L172" s="59" t="n">
        <x:v>0</x:v>
      </x:c>
      <x:c r="M172" s="37" t="str">
        <x:v>Siro</x:v>
      </x:c>
      <x:c r="N172" s="37" t="str">
        <x:v>ĐÃ GHÉP - AUTO</x:v>
      </x:c>
      <x:c r="O172" s="61" t="n">
        <x:v>0.878</x:v>
      </x:c>
      <x:c r="P172" s="37" t="n">
        <x:v>4</x:v>
      </x:c>
      <x:c r="Q172" s="30" t="str">
        <x:v>Siro Torani</x:v>
      </x:c>
      <x:c r="R172" s="30" t="str">
        <x:v>Thùng 12 chai</x:v>
      </x:c>
      <x:c r="S172" s="30" t="str">
        <x:v>chai</x:v>
      </x:c>
      <x:c r="T172" s="37" t="str">
        <x:v>ĐƠN VỊ</x:v>
      </x:c>
      <x:c r="U172" s="59" t="n">
        <x:v>180000</x:v>
      </x:c>
      <x:c r="V172" s="59"/>
      <x:c r="W172" s="117" t="n">
        <x:v>180000</x:v>
      </x:c>
      <x:c r="X172" s="59" t="str">
        <x:f>IFERROR(IF(OR($N172="ĐÃ GHÉP - AUTO",$N172="ĐÃ GHÉP - QUY TẮC"),IF($V172="","",IF($T172="THÙNG",$V172/$F172,$V172)),""),"")</x:f>
      </x:c>
      <x:c r="Y172" s="117" t="n">
        <x:f>IF(OR(W172="",F172=""),"",W172*F172)</x:f>
        <x:v>2160000</x:v>
      </x:c>
      <x:c r="Z172" s="59" t="str">
        <x:f>IFERROR(IF(OR($N172="ĐÃ GHÉP - AUTO",$N172="ĐÃ GHÉP - QUY TẮC"),IF($V172="","",IF($T172="THÙNG",$V172,$V172*$F172)),""),"")</x:f>
      </x:c>
      <x:c r="AA172" s="28" t="str">
        <x:f>IFERROR(IF(OR($K172="",$K172=0,$Y172=""),"",($Y172-$K172)/$K172),"")</x:f>
      </x:c>
      <x:c r="AB172" s="37" t="str">
        <x:f>IFERROR(IF($N172="CẦN DUYỆT","DUYỆT MAP",IF($N172="CHƯA CÓ GIÁ LẺ","THIẾU GIÁ",IF(OR($K172="",$K172=0,$Y172=""),"OK",IF(ABS(($Y172-$K172)/$K172)&gt;0.15,"LỆCH GIÁ CŨ","OK")))),"OK")</x:f>
        <x:v>OK</x:v>
      </x:c>
      <x:c r="AC172" s="30" t="str">
        <x:v>score=0.878; gap=0.523</x:v>
      </x:c>
      <x:c r="AD172" s="37" t="str">
        <x:v>TORDAU</x:v>
      </x:c>
      <x:c r="AE172" s="38" t="str">
        <x:v>TORDAUT</x:v>
      </x:c>
      <x:c r="AF172" s="123" t="n">
        <x:v>1500</x:v>
      </x:c>
      <x:c r="AG172" s="112" t="str">
        <x:v>g</x:v>
      </x:c>
      <x:c r="AH172" s="112" t="str">
        <x:v>CHAI</x:v>
      </x:c>
      <x:c r="AI172" s="112" t="str">
        <x:v>1500 g / CHAI</x:v>
      </x:c>
      <x:c r="AJ172" s="120" t="n">
        <x:v>180000</x:v>
      </x:c>
      <x:c r="AK172" s="120" t="n">
        <x:v>180000</x:v>
      </x:c>
      <x:c r="AL172" s="120" t="n">
        <x:v>180000</x:v>
      </x:c>
      <x:c r="AM172" s="112" t="str">
        <x:v>GIỮ NGUYÊN - ĐÃ KHỚP</x:v>
      </x:c>
      <x:c r="AN172" s="126" t="n">
        <x:v>378</x:v>
      </x:c>
      <x:c r="AO172" s="126" t="n">
        <x:v>379</x:v>
      </x:c>
      <x:c r="AP172" s="113" t="str">
        <x:v>12 CHAI / THÙNG</x:v>
      </x:c>
    </x:row>
    <x:row r="173">
      <x:c r="A173" s="71" t="str">
        <x:v>TORANI CHANH DÂY</x:v>
      </x:c>
      <x:c r="B173" s="30" t="str">
        <x:v>TORANI CHANH DÂY - THÙNG</x:v>
      </x:c>
      <x:c r="C173" s="37" t="str">
        <x:v>TORCDA</x:v>
      </x:c>
      <x:c r="D173" s="37" t="str">
        <x:v>TORCDAT</x:v>
      </x:c>
      <x:c r="E173" s="37" t="str">
        <x:v>TORCDAT</x:v>
      </x:c>
      <x:c r="F173" s="37" t="n">
        <x:v>12</x:v>
      </x:c>
      <x:c r="G173" s="37" t="n">
        <x:v>16000</x:v>
      </x:c>
      <x:c r="H173" s="37" t="str">
        <x:v>g</x:v>
      </x:c>
      <x:c r="I173" s="37" t="str">
        <x:v>THÙNG</x:v>
      </x:c>
      <x:c r="J173" s="59" t="n">
        <x:v>0</x:v>
      </x:c>
      <x:c r="K173" s="59" t="n">
        <x:v>0</x:v>
      </x:c>
      <x:c r="L173" s="59" t="n">
        <x:v>0</x:v>
      </x:c>
      <x:c r="M173" s="37" t="str">
        <x:v>Siro</x:v>
      </x:c>
      <x:c r="N173" s="37" t="str">
        <x:v>ĐÃ GHÉP - AUTO</x:v>
      </x:c>
      <x:c r="O173" s="61" t="n">
        <x:v>0.848</x:v>
      </x:c>
      <x:c r="P173" s="37" t="n">
        <x:v>4</x:v>
      </x:c>
      <x:c r="Q173" s="30" t="str">
        <x:v>Siro Torani</x:v>
      </x:c>
      <x:c r="R173" s="30" t="str">
        <x:v>Thùng 12 chai</x:v>
      </x:c>
      <x:c r="S173" s="30" t="str">
        <x:v>chai</x:v>
      </x:c>
      <x:c r="T173" s="37" t="str">
        <x:v>ĐƠN VỊ</x:v>
      </x:c>
      <x:c r="U173" s="59" t="n">
        <x:v>180000</x:v>
      </x:c>
      <x:c r="V173" s="59"/>
      <x:c r="W173" s="117" t="n">
        <x:v>180000</x:v>
      </x:c>
      <x:c r="X173" s="59" t="str">
        <x:f>IFERROR(IF(OR($N173="ĐÃ GHÉP - AUTO",$N173="ĐÃ GHÉP - QUY TẮC"),IF($V173="","",IF($T173="THÙNG",$V173/$F173,$V173)),""),"")</x:f>
      </x:c>
      <x:c r="Y173" s="117" t="n">
        <x:f>IF(OR(W173="",F173=""),"",W173*F173)</x:f>
        <x:v>2160000</x:v>
      </x:c>
      <x:c r="Z173" s="59" t="str">
        <x:f>IFERROR(IF(OR($N173="ĐÃ GHÉP - AUTO",$N173="ĐÃ GHÉP - QUY TẮC"),IF($V173="","",IF($T173="THÙNG",$V173,$V173*$F173)),""),"")</x:f>
      </x:c>
      <x:c r="AA173" s="28" t="str">
        <x:f>IFERROR(IF(OR($K173="",$K173=0,$Y173=""),"",($Y173-$K173)/$K173),"")</x:f>
      </x:c>
      <x:c r="AB173" s="37" t="str">
        <x:f>IFERROR(IF($N173="CẦN DUYỆT","DUYỆT MAP",IF($N173="CHƯA CÓ GIÁ LẺ","THIẾU GIÁ",IF(OR($K173="",$K173=0,$Y173=""),"OK",IF(ABS(($Y173-$K173)/$K173)&gt;0.15,"LỆCH GIÁ CŨ","OK")))),"OK")</x:f>
        <x:v>OK</x:v>
      </x:c>
      <x:c r="AC173" s="30" t="str">
        <x:v>score=0.848; gap=0.771</x:v>
      </x:c>
      <x:c r="AD173" s="37" t="str">
        <x:v>TORCDA</x:v>
      </x:c>
      <x:c r="AE173" s="38" t="str">
        <x:v>TORCDAT</x:v>
      </x:c>
      <x:c r="AF173" s="123" t="n">
        <x:v>1500</x:v>
      </x:c>
      <x:c r="AG173" s="112" t="str">
        <x:v>g</x:v>
      </x:c>
      <x:c r="AH173" s="112" t="str">
        <x:v>CHAI</x:v>
      </x:c>
      <x:c r="AI173" s="112" t="str">
        <x:v>1500 g / CHAI</x:v>
      </x:c>
      <x:c r="AJ173" s="120" t="n">
        <x:v>180000</x:v>
      </x:c>
      <x:c r="AK173" s="120" t="n">
        <x:v>180000</x:v>
      </x:c>
      <x:c r="AL173" s="120" t="n">
        <x:v>180000</x:v>
      </x:c>
      <x:c r="AM173" s="112" t="str">
        <x:v>GIỮ NGUYÊN - ĐÃ KHỚP</x:v>
      </x:c>
      <x:c r="AN173" s="126" t="n">
        <x:v>380</x:v>
      </x:c>
      <x:c r="AO173" s="126" t="n">
        <x:v>381</x:v>
      </x:c>
      <x:c r="AP173" s="113" t="str">
        <x:v>12 CHAI / THÙNG</x:v>
      </x:c>
    </x:row>
    <x:row r="174">
      <x:c r="A174" s="71" t="str">
        <x:v>TORANI BLUE CURACAO</x:v>
      </x:c>
      <x:c r="B174" s="30" t="str">
        <x:v>TORANI BLUE CURACAO - THÙNG</x:v>
      </x:c>
      <x:c r="C174" s="37" t="str">
        <x:v>TORBLC</x:v>
      </x:c>
      <x:c r="D174" s="37" t="str">
        <x:v>TORBLCT</x:v>
      </x:c>
      <x:c r="E174" s="37" t="str">
        <x:v>TORBLCT</x:v>
      </x:c>
      <x:c r="F174" s="37" t="n">
        <x:v>12</x:v>
      </x:c>
      <x:c r="G174" s="37" t="n">
        <x:v>16000</x:v>
      </x:c>
      <x:c r="H174" s="37" t="str">
        <x:v>g</x:v>
      </x:c>
      <x:c r="I174" s="37" t="str">
        <x:v>THÙNG</x:v>
      </x:c>
      <x:c r="J174" s="59" t="n">
        <x:v>0</x:v>
      </x:c>
      <x:c r="K174" s="59" t="n">
        <x:v>0</x:v>
      </x:c>
      <x:c r="L174" s="59" t="n">
        <x:v>0</x:v>
      </x:c>
      <x:c r="M174" s="37" t="str">
        <x:v>Siro</x:v>
      </x:c>
      <x:c r="N174" s="37" t="str">
        <x:v>ĐÃ GHÉP - AUTO</x:v>
      </x:c>
      <x:c r="O174" s="61" t="n">
        <x:v>0.843</x:v>
      </x:c>
      <x:c r="P174" s="37" t="n">
        <x:v>4</x:v>
      </x:c>
      <x:c r="Q174" s="30" t="str">
        <x:v>Siro Torani</x:v>
      </x:c>
      <x:c r="R174" s="30" t="str">
        <x:v>Thùng 12 chai</x:v>
      </x:c>
      <x:c r="S174" s="30" t="str">
        <x:v>chai</x:v>
      </x:c>
      <x:c r="T174" s="37" t="str">
        <x:v>ĐƠN VỊ</x:v>
      </x:c>
      <x:c r="U174" s="59" t="n">
        <x:v>180000</x:v>
      </x:c>
      <x:c r="V174" s="59"/>
      <x:c r="W174" s="117" t="n">
        <x:v>180000</x:v>
      </x:c>
      <x:c r="X174" s="59" t="str">
        <x:f>IFERROR(IF(OR($N174="ĐÃ GHÉP - AUTO",$N174="ĐÃ GHÉP - QUY TẮC"),IF($V174="","",IF($T174="THÙNG",$V174/$F174,$V174)),""),"")</x:f>
      </x:c>
      <x:c r="Y174" s="117" t="n">
        <x:f>IF(OR(W174="",F174=""),"",W174*F174)</x:f>
        <x:v>2160000</x:v>
      </x:c>
      <x:c r="Z174" s="59" t="str">
        <x:f>IFERROR(IF(OR($N174="ĐÃ GHÉP - AUTO",$N174="ĐÃ GHÉP - QUY TẮC"),IF($V174="","",IF($T174="THÙNG",$V174,$V174*$F174)),""),"")</x:f>
      </x:c>
      <x:c r="AA174" s="28" t="str">
        <x:f>IFERROR(IF(OR($K174="",$K174=0,$Y174=""),"",($Y174-$K174)/$K174),"")</x:f>
      </x:c>
      <x:c r="AB174" s="37" t="str">
        <x:f>IFERROR(IF($N174="CẦN DUYỆT","DUYỆT MAP",IF($N174="CHƯA CÓ GIÁ LẺ","THIẾU GIÁ",IF(OR($K174="",$K174=0,$Y174=""),"OK",IF(ABS(($Y174-$K174)/$K174)&gt;0.15,"LỆCH GIÁ CŨ","OK")))),"OK")</x:f>
        <x:v>OK</x:v>
      </x:c>
      <x:c r="AC174" s="30" t="str">
        <x:v>score=0.843; gap=0.783</x:v>
      </x:c>
      <x:c r="AD174" s="37" t="str">
        <x:v>TORBLC</x:v>
      </x:c>
      <x:c r="AE174" s="38" t="str">
        <x:v>TORBLCT</x:v>
      </x:c>
      <x:c r="AF174" s="123" t="n">
        <x:v>1500</x:v>
      </x:c>
      <x:c r="AG174" s="112" t="str">
        <x:v>g</x:v>
      </x:c>
      <x:c r="AH174" s="112" t="str">
        <x:v>CHAI</x:v>
      </x:c>
      <x:c r="AI174" s="112" t="str">
        <x:v>1500 g / CHAI</x:v>
      </x:c>
      <x:c r="AJ174" s="120" t="n">
        <x:v>180000</x:v>
      </x:c>
      <x:c r="AK174" s="120" t="n">
        <x:v>180000</x:v>
      </x:c>
      <x:c r="AL174" s="120" t="n">
        <x:v>180000</x:v>
      </x:c>
      <x:c r="AM174" s="112" t="str">
        <x:v>GIỮ NGUYÊN - ĐÃ KHỚP</x:v>
      </x:c>
      <x:c r="AN174" s="126" t="n">
        <x:v>382</x:v>
      </x:c>
      <x:c r="AO174" s="126" t="n">
        <x:v>383</x:v>
      </x:c>
      <x:c r="AP174" s="113" t="str">
        <x:v>12 CHAI / THÙNG</x:v>
      </x:c>
    </x:row>
    <x:row r="175">
      <x:c r="A175" s="71" t="str">
        <x:v>TORANI BẠC HÀ XANH</x:v>
      </x:c>
      <x:c r="B175" s="30" t="str">
        <x:v>TORANI BẠC HÀ XANH - THÙNG</x:v>
      </x:c>
      <x:c r="C175" s="37" t="str">
        <x:v>TORBHX</x:v>
      </x:c>
      <x:c r="D175" s="37" t="str">
        <x:v>TORBHXT</x:v>
      </x:c>
      <x:c r="E175" s="37" t="str">
        <x:v>TORBHXT</x:v>
      </x:c>
      <x:c r="F175" s="37" t="n">
        <x:v>12</x:v>
      </x:c>
      <x:c r="G175" s="37" t="n">
        <x:v>16000</x:v>
      </x:c>
      <x:c r="H175" s="37" t="str">
        <x:v>g</x:v>
      </x:c>
      <x:c r="I175" s="37" t="str">
        <x:v>THÙNG</x:v>
      </x:c>
      <x:c r="J175" s="59" t="n">
        <x:v>0</x:v>
      </x:c>
      <x:c r="K175" s="59" t="n">
        <x:v>0</x:v>
      </x:c>
      <x:c r="L175" s="59" t="n">
        <x:v>0</x:v>
      </x:c>
      <x:c r="M175" s="37" t="str">
        <x:v>Siro</x:v>
      </x:c>
      <x:c r="N175" s="37" t="str">
        <x:v>ĐÃ GHÉP - AUTO</x:v>
      </x:c>
      <x:c r="O175" s="61" t="n">
        <x:v>0.831</x:v>
      </x:c>
      <x:c r="P175" s="37" t="n">
        <x:v>4</x:v>
      </x:c>
      <x:c r="Q175" s="30" t="str">
        <x:v>Siro Torani</x:v>
      </x:c>
      <x:c r="R175" s="30" t="str">
        <x:v>Thùng 12 chai</x:v>
      </x:c>
      <x:c r="S175" s="30" t="str">
        <x:v>chai</x:v>
      </x:c>
      <x:c r="T175" s="37" t="str">
        <x:v>ĐƠN VỊ</x:v>
      </x:c>
      <x:c r="U175" s="59" t="n">
        <x:v>180000</x:v>
      </x:c>
      <x:c r="V175" s="59"/>
      <x:c r="W175" s="117" t="n">
        <x:v>180000</x:v>
      </x:c>
      <x:c r="X175" s="59" t="str">
        <x:f>IFERROR(IF(OR($N175="ĐÃ GHÉP - AUTO",$N175="ĐÃ GHÉP - QUY TẮC"),IF($V175="","",IF($T175="THÙNG",$V175/$F175,$V175)),""),"")</x:f>
      </x:c>
      <x:c r="Y175" s="117" t="n">
        <x:f>IF(OR(W175="",F175=""),"",W175*F175)</x:f>
        <x:v>2160000</x:v>
      </x:c>
      <x:c r="Z175" s="59" t="str">
        <x:f>IFERROR(IF(OR($N175="ĐÃ GHÉP - AUTO",$N175="ĐÃ GHÉP - QUY TẮC"),IF($V175="","",IF($T175="THÙNG",$V175,$V175*$F175)),""),"")</x:f>
      </x:c>
      <x:c r="AA175" s="28" t="str">
        <x:f>IFERROR(IF(OR($K175="",$K175=0,$Y175=""),"",($Y175-$K175)/$K175),"")</x:f>
      </x:c>
      <x:c r="AB175" s="37" t="str">
        <x:f>IFERROR(IF($N175="CẦN DUYỆT","DUYỆT MAP",IF($N175="CHƯA CÓ GIÁ LẺ","THIẾU GIÁ",IF(OR($K175="",$K175=0,$Y175=""),"OK",IF(ABS(($Y175-$K175)/$K175)&gt;0.15,"LỆCH GIÁ CŨ","OK")))),"OK")</x:f>
        <x:v>OK</x:v>
      </x:c>
      <x:c r="AC175" s="30" t="str">
        <x:v>score=0.831; gap=0.764</x:v>
      </x:c>
      <x:c r="AD175" s="37" t="str">
        <x:v>TORBHX</x:v>
      </x:c>
      <x:c r="AE175" s="38" t="str">
        <x:v>TORBHXT</x:v>
      </x:c>
      <x:c r="AF175" s="123" t="n">
        <x:v>1500</x:v>
      </x:c>
      <x:c r="AG175" s="112" t="str">
        <x:v>g</x:v>
      </x:c>
      <x:c r="AH175" s="112" t="str">
        <x:v>CHAI</x:v>
      </x:c>
      <x:c r="AI175" s="112" t="str">
        <x:v>1500 g / CHAI</x:v>
      </x:c>
      <x:c r="AJ175" s="120" t="n">
        <x:v>180000</x:v>
      </x:c>
      <x:c r="AK175" s="120" t="n">
        <x:v>180000</x:v>
      </x:c>
      <x:c r="AL175" s="120" t="n">
        <x:v>180000</x:v>
      </x:c>
      <x:c r="AM175" s="112" t="str">
        <x:v>GIỮ NGUYÊN - ĐÃ KHỚP</x:v>
      </x:c>
      <x:c r="AN175" s="126" t="n">
        <x:v>384</x:v>
      </x:c>
      <x:c r="AO175" s="126" t="n">
        <x:v>385</x:v>
      </x:c>
      <x:c r="AP175" s="113" t="str">
        <x:v>12 CHAI / THÙNG</x:v>
      </x:c>
    </x:row>
    <x:row r="176">
      <x:c r="A176" s="71" t="str">
        <x:v>TCHK 3KG 2.5</x:v>
      </x:c>
      <x:c r="B176" s="30" t="str">
        <x:v>TCHK 3KG 2.5 - THÙNG</x:v>
      </x:c>
      <x:c r="C176" s="37" t="str">
        <x:v>TCHK35</x:v>
      </x:c>
      <x:c r="D176" s="37" t="str">
        <x:v>TCHK35T</x:v>
      </x:c>
      <x:c r="E176" s="37" t="str">
        <x:v>TCHK35T</x:v>
      </x:c>
      <x:c r="F176" s="37" t="n">
        <x:v>6</x:v>
      </x:c>
      <x:c r="G176" s="37" t="n">
        <x:v>19000</x:v>
      </x:c>
      <x:c r="H176" s="37" t="str">
        <x:v>g</x:v>
      </x:c>
      <x:c r="I176" s="37" t="str">
        <x:v>THÙNG</x:v>
      </x:c>
      <x:c r="J176" s="59" t="n">
        <x:v>0</x:v>
      </x:c>
      <x:c r="K176" s="59" t="n">
        <x:v>555000</x:v>
      </x:c>
      <x:c r="L176" s="59" t="n">
        <x:v>0</x:v>
      </x:c>
      <x:c r="M176" s="37" t="str">
        <x:v>Trân châu</x:v>
      </x:c>
      <x:c r="N176" s="37" t="str">
        <x:v>CHƯA CÓ GIÁ LẺ</x:v>
      </x:c>
      <x:c r="O176" s="61" t="n">
        <x:v>0.467</x:v>
      </x:c>
      <x:c r="P176" s="37"/>
      <x:c r="Q176" s="30"/>
      <x:c r="R176" s="30"/>
      <x:c r="S176" s="30"/>
      <x:c r="T176" s="37"/>
      <x:c r="U176" s="59"/>
      <x:c r="V176" s="59"/>
      <x:c r="W176" s="117" t="n">
        <x:v>94000</x:v>
      </x:c>
      <x:c r="X176" s="59" t="str">
        <x:f>IFERROR(IF(OR($N176="ĐÃ GHÉP - AUTO",$N176="ĐÃ GHÉP - QUY TẮC"),IF($V176="","",IF($T176="THÙNG",$V176/$F176,$V176)),""),"")</x:f>
      </x:c>
      <x:c r="Y176" s="117" t="n">
        <x:f>IF(OR(W176="",F176=""),"",W176*F176)</x:f>
        <x:v>564000</x:v>
      </x:c>
      <x:c r="Z176" s="59" t="str">
        <x:f>IFERROR(IF(OR($N176="ĐÃ GHÉP - AUTO",$N176="ĐÃ GHÉP - QUY TẮC"),IF($V176="","",IF($T176="THÙNG",$V176,$V176*$F176)),""),"")</x:f>
      </x:c>
      <x:c r="AA176" s="28" t="n">
        <x:f>IFERROR(IF(OR($K176="",$K176=0,$Y176=""),"",($Y176-$K176)/$K176),"")</x:f>
        <x:v>0.016216216216216217</x:v>
      </x:c>
      <x:c r="AB176" s="37" t="str">
        <x:f>IFERROR(IF($N176="CẦN DUYỆT","DUYỆT MAP",IF($N176="CHƯA CÓ GIÁ LẺ","THIẾU GIÁ",IF(OR($K176="",$K176=0,$Y176=""),"OK",IF(ABS(($Y176-$K176)/$K176)&gt;0.15,"LỆCH GIÁ CŨ","OK")))),"OK")</x:f>
        <x:v>THIẾU GIÁ</x:v>
      </x:c>
      <x:c r="AC176" s="30" t="str">
        <x:v>ứng viên gần nhất=TC đường đen Duoxian 3kg; score=0.467</x:v>
      </x:c>
      <x:c r="AD176" s="37" t="str">
        <x:v>TCHK35</x:v>
      </x:c>
      <x:c r="AE176" s="38" t="str">
        <x:v>TCHK35T</x:v>
      </x:c>
      <x:c r="AF176" s="123" t="n">
        <x:v>3</x:v>
      </x:c>
      <x:c r="AG176" s="112" t="str">
        <x:v>kg</x:v>
      </x:c>
      <x:c r="AH176" s="112" t="str">
        <x:v>GÓI</x:v>
      </x:c>
      <x:c r="AI176" s="112" t="str">
        <x:v>3 kg / GÓI</x:v>
      </x:c>
      <x:c r="AJ176" s="120" t="n">
        <x:v>94000</x:v>
      </x:c>
      <x:c r="AK176" s="120"/>
      <x:c r="AL176" s="120" t="n">
        <x:v>94000</x:v>
      </x:c>
      <x:c r="AM176" s="112" t="str">
        <x:v>BỔ SUNG GIÁ</x:v>
      </x:c>
      <x:c r="AN176" s="126" t="n">
        <x:v>388</x:v>
      </x:c>
      <x:c r="AO176" s="126" t="n">
        <x:v>389</x:v>
      </x:c>
      <x:c r="AP176" s="113" t="str">
        <x:v>6 GÓI / THÙNG</x:v>
      </x:c>
    </x:row>
    <x:row r="177">
      <x:c r="A177" s="71" t="str">
        <x:v>TCHK 3KG 2.2</x:v>
      </x:c>
      <x:c r="B177" s="30" t="str">
        <x:v>TCHK 3KG 2.2 - THÙNG</x:v>
      </x:c>
      <x:c r="C177" s="37" t="str">
        <x:v>TCHK32</x:v>
      </x:c>
      <x:c r="D177" s="37" t="str">
        <x:v>TCHK32T</x:v>
      </x:c>
      <x:c r="E177" s="37" t="str">
        <x:v>TCHK32T</x:v>
      </x:c>
      <x:c r="F177" s="37" t="n">
        <x:v>6</x:v>
      </x:c>
      <x:c r="G177" s="37" t="n">
        <x:v>19000</x:v>
      </x:c>
      <x:c r="H177" s="37" t="str">
        <x:v>g</x:v>
      </x:c>
      <x:c r="I177" s="37" t="str">
        <x:v>THÙNG</x:v>
      </x:c>
      <x:c r="J177" s="59" t="n">
        <x:v>0</x:v>
      </x:c>
      <x:c r="K177" s="59" t="n">
        <x:v>555000</x:v>
      </x:c>
      <x:c r="L177" s="59" t="n">
        <x:v>0</x:v>
      </x:c>
      <x:c r="M177" s="37" t="str">
        <x:v>Trân châu</x:v>
      </x:c>
      <x:c r="N177" s="37" t="str">
        <x:v>CHƯA CÓ GIÁ LẺ</x:v>
      </x:c>
      <x:c r="O177" s="61" t="n">
        <x:v>0.467</x:v>
      </x:c>
      <x:c r="P177" s="37"/>
      <x:c r="Q177" s="30"/>
      <x:c r="R177" s="30"/>
      <x:c r="S177" s="30"/>
      <x:c r="T177" s="37"/>
      <x:c r="U177" s="59"/>
      <x:c r="V177" s="59"/>
      <x:c r="W177" s="117" t="n">
        <x:v>94000</x:v>
      </x:c>
      <x:c r="X177" s="59" t="str">
        <x:f>IFERROR(IF(OR($N177="ĐÃ GHÉP - AUTO",$N177="ĐÃ GHÉP - QUY TẮC"),IF($V177="","",IF($T177="THÙNG",$V177/$F177,$V177)),""),"")</x:f>
      </x:c>
      <x:c r="Y177" s="117" t="n">
        <x:f>IF(OR(W177="",F177=""),"",W177*F177)</x:f>
        <x:v>564000</x:v>
      </x:c>
      <x:c r="Z177" s="59" t="str">
        <x:f>IFERROR(IF(OR($N177="ĐÃ GHÉP - AUTO",$N177="ĐÃ GHÉP - QUY TẮC"),IF($V177="","",IF($T177="THÙNG",$V177,$V177*$F177)),""),"")</x:f>
      </x:c>
      <x:c r="AA177" s="28" t="n">
        <x:f>IFERROR(IF(OR($K177="",$K177=0,$Y177=""),"",($Y177-$K177)/$K177),"")</x:f>
        <x:v>0.016216216216216217</x:v>
      </x:c>
      <x:c r="AB177" s="37" t="str">
        <x:f>IFERROR(IF($N177="CẦN DUYỆT","DUYỆT MAP",IF($N177="CHƯA CÓ GIÁ LẺ","THIẾU GIÁ",IF(OR($K177="",$K177=0,$Y177=""),"OK",IF(ABS(($Y177-$K177)/$K177)&gt;0.15,"LỆCH GIÁ CŨ","OK")))),"OK")</x:f>
        <x:v>THIẾU GIÁ</x:v>
      </x:c>
      <x:c r="AC177" s="30" t="str">
        <x:v>ứng viên gần nhất=TC đường đen Duoxian 3kg; score=0.467</x:v>
      </x:c>
      <x:c r="AD177" s="37" t="str">
        <x:v>TCHK32</x:v>
      </x:c>
      <x:c r="AE177" s="38" t="str">
        <x:v>TCHK32T</x:v>
      </x:c>
      <x:c r="AF177" s="123" t="n">
        <x:v>3</x:v>
      </x:c>
      <x:c r="AG177" s="112" t="str">
        <x:v>kg</x:v>
      </x:c>
      <x:c r="AH177" s="112" t="str">
        <x:v>GÓI</x:v>
      </x:c>
      <x:c r="AI177" s="112" t="str">
        <x:v>3 kg / GÓI</x:v>
      </x:c>
      <x:c r="AJ177" s="120" t="n">
        <x:v>94000</x:v>
      </x:c>
      <x:c r="AK177" s="120"/>
      <x:c r="AL177" s="120" t="n">
        <x:v>94000</x:v>
      </x:c>
      <x:c r="AM177" s="112" t="str">
        <x:v>BỔ SUNG GIÁ</x:v>
      </x:c>
      <x:c r="AN177" s="126" t="n">
        <x:v>390</x:v>
      </x:c>
      <x:c r="AO177" s="126" t="n">
        <x:v>391</x:v>
      </x:c>
      <x:c r="AP177" s="113" t="str">
        <x:v>6 GÓI / THÙNG</x:v>
      </x:c>
    </x:row>
    <x:row r="178">
      <x:c r="A178" s="71" t="str">
        <x:v>TCHK 1KG 2.5</x:v>
      </x:c>
      <x:c r="B178" s="30" t="str">
        <x:v>TCHK 1KG 2.5 - THÙNG</x:v>
      </x:c>
      <x:c r="C178" s="37" t="str">
        <x:v>TCHK15</x:v>
      </x:c>
      <x:c r="D178" s="37" t="str">
        <x:v>TCHK15T</x:v>
      </x:c>
      <x:c r="E178" s="37" t="str">
        <x:v>TCHK15T</x:v>
      </x:c>
      <x:c r="F178" s="37" t="n">
        <x:v>18</x:v>
      </x:c>
      <x:c r="G178" s="37" t="n">
        <x:v>19000</x:v>
      </x:c>
      <x:c r="H178" s="37" t="str">
        <x:v>g</x:v>
      </x:c>
      <x:c r="I178" s="37" t="str">
        <x:v>THÙNG</x:v>
      </x:c>
      <x:c r="J178" s="59" t="n">
        <x:v>0</x:v>
      </x:c>
      <x:c r="K178" s="59" t="n">
        <x:v>0</x:v>
      </x:c>
      <x:c r="L178" s="59" t="n">
        <x:v>0</x:v>
      </x:c>
      <x:c r="M178" s="37" t="str">
        <x:v>Trân châu</x:v>
      </x:c>
      <x:c r="N178" s="37" t="str">
        <x:v>CHƯA CÓ GIÁ LẺ</x:v>
      </x:c>
      <x:c r="O178" s="61" t="n">
        <x:v>0.437</x:v>
      </x:c>
      <x:c r="P178" s="37"/>
      <x:c r="Q178" s="30"/>
      <x:c r="R178" s="30"/>
      <x:c r="S178" s="30"/>
      <x:c r="T178" s="37"/>
      <x:c r="U178" s="59"/>
      <x:c r="V178" s="59"/>
      <x:c r="W178" s="117" t="n">
        <x:v>30000</x:v>
      </x:c>
      <x:c r="X178" s="59" t="str">
        <x:f>IFERROR(IF(OR($N178="ĐÃ GHÉP - AUTO",$N178="ĐÃ GHÉP - QUY TẮC"),IF($V178="","",IF($T178="THÙNG",$V178/$F178,$V178)),""),"")</x:f>
      </x:c>
      <x:c r="Y178" s="117" t="n">
        <x:f>IF(OR(W178="",F178=""),"",W178*F178)</x:f>
        <x:v>540000</x:v>
      </x:c>
      <x:c r="Z178" s="59" t="str">
        <x:f>IFERROR(IF(OR($N178="ĐÃ GHÉP - AUTO",$N178="ĐÃ GHÉP - QUY TẮC"),IF($V178="","",IF($T178="THÙNG",$V178,$V178*$F178)),""),"")</x:f>
      </x:c>
      <x:c r="AA178" s="28" t="str">
        <x:f>IFERROR(IF(OR($K178="",$K178=0,$Y178=""),"",($Y178-$K178)/$K178),"")</x:f>
      </x:c>
      <x:c r="AB178" s="37" t="str">
        <x:f>IFERROR(IF($N178="CẦN DUYỆT","DUYỆT MAP",IF($N178="CHƯA CÓ GIÁ LẺ","THIẾU GIÁ",IF(OR($K178="",$K178=0,$Y178=""),"OK",IF(ABS(($Y178-$K178)/$K178)&gt;0.15,"LỆCH GIÁ CŨ","OK")))),"OK")</x:f>
        <x:v>THIẾU GIÁ</x:v>
      </x:c>
      <x:c r="AC178" s="30" t="str">
        <x:v>ứng viên gần nhất=TC đường đen Duoxian 1kg; score=0.437</x:v>
      </x:c>
      <x:c r="AD178" s="37" t="str">
        <x:v>TCHK15</x:v>
      </x:c>
      <x:c r="AE178" s="38" t="str">
        <x:v>TCHK15T</x:v>
      </x:c>
      <x:c r="AF178" s="123" t="n">
        <x:v>1</x:v>
      </x:c>
      <x:c r="AG178" s="112" t="str">
        <x:v>kg</x:v>
      </x:c>
      <x:c r="AH178" s="112" t="str">
        <x:v>GÓI</x:v>
      </x:c>
      <x:c r="AI178" s="112" t="str">
        <x:v>1 kg / GÓI</x:v>
      </x:c>
      <x:c r="AJ178" s="120" t="n">
        <x:v>30000</x:v>
      </x:c>
      <x:c r="AK178" s="120"/>
      <x:c r="AL178" s="120" t="n">
        <x:v>30000</x:v>
      </x:c>
      <x:c r="AM178" s="112" t="str">
        <x:v>BỔ SUNG GIÁ</x:v>
      </x:c>
      <x:c r="AN178" s="126" t="n">
        <x:v>392</x:v>
      </x:c>
      <x:c r="AO178" s="126" t="n">
        <x:v>393</x:v>
      </x:c>
      <x:c r="AP178" s="113" t="str">
        <x:v>18 GÓI / THÙNG</x:v>
      </x:c>
    </x:row>
    <x:row r="179">
      <x:c r="A179" s="71" t="str">
        <x:v>TCHK 1KG 2.2</x:v>
      </x:c>
      <x:c r="B179" s="30" t="str">
        <x:v>TCHK 1KG 2.2 - THÙNG</x:v>
      </x:c>
      <x:c r="C179" s="37" t="str">
        <x:v>TCHK12</x:v>
      </x:c>
      <x:c r="D179" s="37" t="str">
        <x:v>TCHK12T</x:v>
      </x:c>
      <x:c r="E179" s="37" t="str">
        <x:v>TCHK12T</x:v>
      </x:c>
      <x:c r="F179" s="37" t="n">
        <x:v>18</x:v>
      </x:c>
      <x:c r="G179" s="37" t="n">
        <x:v>19000</x:v>
      </x:c>
      <x:c r="H179" s="37" t="str">
        <x:v>g</x:v>
      </x:c>
      <x:c r="I179" s="37" t="str">
        <x:v>THÙNG</x:v>
      </x:c>
      <x:c r="J179" s="59" t="n">
        <x:v>0</x:v>
      </x:c>
      <x:c r="K179" s="59" t="n">
        <x:v>530000</x:v>
      </x:c>
      <x:c r="L179" s="59" t="n">
        <x:v>0</x:v>
      </x:c>
      <x:c r="M179" s="37" t="str">
        <x:v>Trân châu</x:v>
      </x:c>
      <x:c r="N179" s="37" t="str">
        <x:v>CHƯA CÓ GIÁ LẺ</x:v>
      </x:c>
      <x:c r="O179" s="61" t="n">
        <x:v>0.467</x:v>
      </x:c>
      <x:c r="P179" s="37"/>
      <x:c r="Q179" s="30"/>
      <x:c r="R179" s="30"/>
      <x:c r="S179" s="30"/>
      <x:c r="T179" s="37"/>
      <x:c r="U179" s="59"/>
      <x:c r="V179" s="59"/>
      <x:c r="W179" s="117" t="n">
        <x:v>30000</x:v>
      </x:c>
      <x:c r="X179" s="59" t="str">
        <x:f>IFERROR(IF(OR($N179="ĐÃ GHÉP - AUTO",$N179="ĐÃ GHÉP - QUY TẮC"),IF($V179="","",IF($T179="THÙNG",$V179/$F179,$V179)),""),"")</x:f>
      </x:c>
      <x:c r="Y179" s="117" t="n">
        <x:f>IF(OR(W179="",F179=""),"",W179*F179)</x:f>
        <x:v>540000</x:v>
      </x:c>
      <x:c r="Z179" s="59" t="str">
        <x:f>IFERROR(IF(OR($N179="ĐÃ GHÉP - AUTO",$N179="ĐÃ GHÉP - QUY TẮC"),IF($V179="","",IF($T179="THÙNG",$V179,$V179*$F179)),""),"")</x:f>
      </x:c>
      <x:c r="AA179" s="28" t="n">
        <x:f>IFERROR(IF(OR($K179="",$K179=0,$Y179=""),"",($Y179-$K179)/$K179),"")</x:f>
        <x:v>0.018867924528301886</x:v>
      </x:c>
      <x:c r="AB179" s="37" t="str">
        <x:f>IFERROR(IF($N179="CẦN DUYỆT","DUYỆT MAP",IF($N179="CHƯA CÓ GIÁ LẺ","THIẾU GIÁ",IF(OR($K179="",$K179=0,$Y179=""),"OK",IF(ABS(($Y179-$K179)/$K179)&gt;0.15,"LỆCH GIÁ CŨ","OK")))),"OK")</x:f>
        <x:v>THIẾU GIÁ</x:v>
      </x:c>
      <x:c r="AC179" s="30" t="str">
        <x:v>ứng viên gần nhất=TC đường đen Duoxian 1kg; score=0.467</x:v>
      </x:c>
      <x:c r="AD179" s="37" t="str">
        <x:v>TCHK12</x:v>
      </x:c>
      <x:c r="AE179" s="38" t="str">
        <x:v>TCHK12T</x:v>
      </x:c>
      <x:c r="AF179" s="123" t="n">
        <x:v>0</x:v>
      </x:c>
      <x:c r="AG179" s="112" t="str">
        <x:v>g</x:v>
      </x:c>
      <x:c r="AH179" s="112" t="str">
        <x:v>GÓI</x:v>
      </x:c>
      <x:c r="AI179" s="112" t="str">
        <x:v>0 g / GÓI</x:v>
      </x:c>
      <x:c r="AJ179" s="120" t="n">
        <x:v>30000</x:v>
      </x:c>
      <x:c r="AK179" s="120"/>
      <x:c r="AL179" s="120" t="n">
        <x:v>30000</x:v>
      </x:c>
      <x:c r="AM179" s="112" t="str">
        <x:v>BỔ SUNG GIÁ</x:v>
      </x:c>
      <x:c r="AN179" s="126" t="n">
        <x:v>394</x:v>
      </x:c>
      <x:c r="AO179" s="126" t="n">
        <x:v>395</x:v>
      </x:c>
      <x:c r="AP179" s="113" t="str">
        <x:v>18 GÓI / THÙNG</x:v>
      </x:c>
    </x:row>
    <x:row r="180">
      <x:c r="A180" s="71" t="str">
        <x:v>TCĐĐ KUNHAN 3KG</x:v>
      </x:c>
      <x:c r="B180" s="30" t="str">
        <x:v>TCĐĐ KUNHAN 3KG - THÙNG</x:v>
      </x:c>
      <x:c r="C180" s="37" t="str">
        <x:v>KH3KDD</x:v>
      </x:c>
      <x:c r="D180" s="37" t="str">
        <x:v>KH3KDDT</x:v>
      </x:c>
      <x:c r="E180" s="37" t="str">
        <x:v>KH3KDDT</x:v>
      </x:c>
      <x:c r="F180" s="37" t="n">
        <x:v>6</x:v>
      </x:c>
      <x:c r="G180" s="37" t="n">
        <x:v>19000</x:v>
      </x:c>
      <x:c r="H180" s="37" t="str">
        <x:v>g</x:v>
      </x:c>
      <x:c r="I180" s="37" t="str">
        <x:v>THÙNG</x:v>
      </x:c>
      <x:c r="J180" s="59" t="n">
        <x:v>0</x:v>
      </x:c>
      <x:c r="K180" s="59" t="n">
        <x:v>465000</x:v>
      </x:c>
      <x:c r="L180" s="59" t="n">
        <x:v>0</x:v>
      </x:c>
      <x:c r="M180" s="37" t="str">
        <x:v>Trân châu</x:v>
      </x:c>
      <x:c r="N180" s="37" t="str">
        <x:v>CHƯA CÓ GIÁ LẺ</x:v>
      </x:c>
      <x:c r="O180" s="61" t="n">
        <x:v>0.396</x:v>
      </x:c>
      <x:c r="P180" s="37"/>
      <x:c r="Q180" s="30"/>
      <x:c r="R180" s="30"/>
      <x:c r="S180" s="30"/>
      <x:c r="T180" s="37"/>
      <x:c r="U180" s="59"/>
      <x:c r="V180" s="59"/>
      <x:c r="W180" s="117" t="n">
        <x:v>78000</x:v>
      </x:c>
      <x:c r="X180" s="59" t="str">
        <x:f>IFERROR(IF(OR($N180="ĐÃ GHÉP - AUTO",$N180="ĐÃ GHÉP - QUY TẮC"),IF($V180="","",IF($T180="THÙNG",$V180/$F180,$V180)),""),"")</x:f>
      </x:c>
      <x:c r="Y180" s="117" t="n">
        <x:f>IF(OR(W180="",F180=""),"",W180*F180)</x:f>
        <x:v>468000</x:v>
      </x:c>
      <x:c r="Z180" s="59" t="str">
        <x:f>IFERROR(IF(OR($N180="ĐÃ GHÉP - AUTO",$N180="ĐÃ GHÉP - QUY TẮC"),IF($V180="","",IF($T180="THÙNG",$V180,$V180*$F180)),""),"")</x:f>
      </x:c>
      <x:c r="AA180" s="28" t="n">
        <x:f>IFERROR(IF(OR($K180="",$K180=0,$Y180=""),"",($Y180-$K180)/$K180),"")</x:f>
        <x:v>0.0064516129032258064</x:v>
      </x:c>
      <x:c r="AB180" s="37" t="str">
        <x:f>IFERROR(IF($N180="CẦN DUYỆT","DUYỆT MAP",IF($N180="CHƯA CÓ GIÁ LẺ","THIẾU GIÁ",IF(OR($K180="",$K180=0,$Y180=""),"OK",IF(ABS(($Y180-$K180)/$K180)&gt;0.15,"LỆCH GIÁ CŨ","OK")))),"OK")</x:f>
        <x:v>THIẾU GIÁ</x:v>
      </x:c>
      <x:c r="AC180" s="30" t="str">
        <x:v>ứng viên gần nhất=TC đường đen Duoxian 3kg; score=0.396</x:v>
      </x:c>
      <x:c r="AD180" s="37" t="str">
        <x:v>KH3KDD</x:v>
      </x:c>
      <x:c r="AE180" s="38" t="str">
        <x:v>KH3KDDT</x:v>
      </x:c>
      <x:c r="AF180" s="123" t="n">
        <x:v>3000</x:v>
      </x:c>
      <x:c r="AG180" s="112" t="str">
        <x:v>g</x:v>
      </x:c>
      <x:c r="AH180" s="112" t="str">
        <x:v>HỘP</x:v>
      </x:c>
      <x:c r="AI180" s="112" t="str">
        <x:v>3000 g / HỘP</x:v>
      </x:c>
      <x:c r="AJ180" s="120" t="n">
        <x:v>78000</x:v>
      </x:c>
      <x:c r="AK180" s="120"/>
      <x:c r="AL180" s="120" t="n">
        <x:v>78000</x:v>
      </x:c>
      <x:c r="AM180" s="112" t="str">
        <x:v>BỔ SUNG GIÁ</x:v>
      </x:c>
      <x:c r="AN180" s="126" t="n">
        <x:v>396</x:v>
      </x:c>
      <x:c r="AO180" s="126" t="n">
        <x:v>397</x:v>
      </x:c>
      <x:c r="AP180" s="113" t="str">
        <x:v>6 HỘP / THÙNG</x:v>
      </x:c>
    </x:row>
    <x:row r="181">
      <x:c r="A181" s="71" t="str">
        <x:v>TCĐĐ KUNHAN 2KG</x:v>
      </x:c>
      <x:c r="B181" s="30" t="str">
        <x:v>TCĐĐ KUNHAN 2KG - THÙNG</x:v>
      </x:c>
      <x:c r="C181" s="37" t="str">
        <x:v>KH2KDD</x:v>
      </x:c>
      <x:c r="D181" s="37" t="str">
        <x:v>KH2KDDT</x:v>
      </x:c>
      <x:c r="E181" s="37" t="str">
        <x:v>KH2KDDT</x:v>
      </x:c>
      <x:c r="F181" s="37" t="n">
        <x:v>10</x:v>
      </x:c>
      <x:c r="G181" s="37" t="n">
        <x:v>20</x:v>
      </x:c>
      <x:c r="H181" s="37" t="str">
        <x:v>kg</x:v>
      </x:c>
      <x:c r="I181" s="37" t="str">
        <x:v>THÙNG</x:v>
      </x:c>
      <x:c r="J181" s="59" t="n">
        <x:v>480000</x:v>
      </x:c>
      <x:c r="K181" s="59" t="n">
        <x:v>500000</x:v>
      </x:c>
      <x:c r="L181" s="59" t="n">
        <x:v>0</x:v>
      </x:c>
      <x:c r="M181" s="37" t="str">
        <x:v>Trân châu</x:v>
      </x:c>
      <x:c r="N181" s="37" t="str">
        <x:v>CHƯA CÓ GIÁ LẺ</x:v>
      </x:c>
      <x:c r="O181" s="61" t="n">
        <x:v>0.447</x:v>
      </x:c>
      <x:c r="P181" s="37"/>
      <x:c r="Q181" s="30"/>
      <x:c r="R181" s="30"/>
      <x:c r="S181" s="30"/>
      <x:c r="T181" s="37"/>
      <x:c r="U181" s="59"/>
      <x:c r="V181" s="59"/>
      <x:c r="W181" s="117" t="n">
        <x:v>52000</x:v>
      </x:c>
      <x:c r="X181" s="59" t="str">
        <x:f>IFERROR(IF(OR($N181="ĐÃ GHÉP - AUTO",$N181="ĐÃ GHÉP - QUY TẮC"),IF($V181="","",IF($T181="THÙNG",$V181/$F181,$V181)),""),"")</x:f>
      </x:c>
      <x:c r="Y181" s="117" t="n">
        <x:f>IF(OR(W181="",F181=""),"",W181*F181)</x:f>
        <x:v>520000</x:v>
      </x:c>
      <x:c r="Z181" s="59" t="str">
        <x:f>IFERROR(IF(OR($N181="ĐÃ GHÉP - AUTO",$N181="ĐÃ GHÉP - QUY TẮC"),IF($V181="","",IF($T181="THÙNG",$V181,$V181*$F181)),""),"")</x:f>
      </x:c>
      <x:c r="AA181" s="28" t="n">
        <x:f>IFERROR(IF(OR($K181="",$K181=0,$Y181=""),"",($Y181-$K181)/$K181),"")</x:f>
        <x:v>0.04</x:v>
      </x:c>
      <x:c r="AB181" s="37" t="str">
        <x:f>IFERROR(IF($N181="CẦN DUYỆT","DUYỆT MAP",IF($N181="CHƯA CÓ GIÁ LẺ","THIẾU GIÁ",IF(OR($K181="",$K181=0,$Y181=""),"OK",IF(ABS(($Y181-$K181)/$K181)&gt;0.15,"LỆCH GIÁ CŨ","OK")))),"OK")</x:f>
        <x:v>THIẾU GIÁ</x:v>
      </x:c>
      <x:c r="AC181" s="30" t="str">
        <x:v>ứng viên gần nhất=TC đđ Kuhan 2kG; score=0.447</x:v>
      </x:c>
      <x:c r="AD181" s="37" t="str">
        <x:v>KH2KDD</x:v>
      </x:c>
      <x:c r="AE181" s="38" t="str">
        <x:v>KH2KDDT</x:v>
      </x:c>
      <x:c r="AF181" s="123" t="n">
        <x:v>2000</x:v>
      </x:c>
      <x:c r="AG181" s="112" t="str">
        <x:v>g</x:v>
      </x:c>
      <x:c r="AH181" s="112" t="str">
        <x:v>HỘP</x:v>
      </x:c>
      <x:c r="AI181" s="112" t="str">
        <x:v>2000 g / HỘP</x:v>
      </x:c>
      <x:c r="AJ181" s="120" t="n">
        <x:v>52000</x:v>
      </x:c>
      <x:c r="AK181" s="120"/>
      <x:c r="AL181" s="120" t="n">
        <x:v>52000</x:v>
      </x:c>
      <x:c r="AM181" s="112" t="str">
        <x:v>BỔ SUNG GIÁ</x:v>
      </x:c>
      <x:c r="AN181" s="126" t="n">
        <x:v>398</x:v>
      </x:c>
      <x:c r="AO181" s="126" t="n">
        <x:v>399</x:v>
      </x:c>
      <x:c r="AP181" s="113" t="str">
        <x:v>10 HỘP / THÙNG</x:v>
      </x:c>
    </x:row>
    <x:row r="182">
      <x:c r="A182" s="71" t="str">
        <x:v>TCĐĐ KUNHAN 1KG</x:v>
      </x:c>
      <x:c r="B182" s="30" t="str">
        <x:v>TCĐĐ KUNHAN 1KG - THÙNG</x:v>
      </x:c>
      <x:c r="C182" s="37" t="str">
        <x:v>KH1KDD</x:v>
      </x:c>
      <x:c r="D182" s="37" t="str">
        <x:v>KH1KDDT</x:v>
      </x:c>
      <x:c r="E182" s="37" t="str">
        <x:v>KH1KDDT</x:v>
      </x:c>
      <x:c r="F182" s="37" t="n">
        <x:v>20</x:v>
      </x:c>
      <x:c r="G182" s="37" t="n">
        <x:v>21000</x:v>
      </x:c>
      <x:c r="H182" s="37" t="str">
        <x:v>g</x:v>
      </x:c>
      <x:c r="I182" s="37" t="str">
        <x:v>THÙNG</x:v>
      </x:c>
      <x:c r="J182" s="59" t="n">
        <x:v>0</x:v>
      </x:c>
      <x:c r="K182" s="59" t="n">
        <x:v>460000</x:v>
      </x:c>
      <x:c r="L182" s="59" t="n">
        <x:v>0</x:v>
      </x:c>
      <x:c r="M182" s="37" t="str">
        <x:v>Trân châu</x:v>
      </x:c>
      <x:c r="N182" s="37" t="str">
        <x:v>CHƯA CÓ GIÁ LẺ</x:v>
      </x:c>
      <x:c r="O182" s="61" t="n">
        <x:v>0.591</x:v>
      </x:c>
      <x:c r="P182" s="37"/>
      <x:c r="Q182" s="30"/>
      <x:c r="R182" s="30"/>
      <x:c r="S182" s="30"/>
      <x:c r="T182" s="37"/>
      <x:c r="U182" s="59"/>
      <x:c r="V182" s="59"/>
      <x:c r="W182" s="117" t="n">
        <x:v>25000</x:v>
      </x:c>
      <x:c r="X182" s="59" t="str">
        <x:f>IFERROR(IF(OR($N182="ĐÃ GHÉP - AUTO",$N182="ĐÃ GHÉP - QUY TẮC"),IF($V182="","",IF($T182="THÙNG",$V182/$F182,$V182)),""),"")</x:f>
      </x:c>
      <x:c r="Y182" s="117" t="n">
        <x:f>IF(OR(W182="",F182=""),"",W182*F182)</x:f>
        <x:v>500000</x:v>
      </x:c>
      <x:c r="Z182" s="59" t="str">
        <x:f>IFERROR(IF(OR($N182="ĐÃ GHÉP - AUTO",$N182="ĐÃ GHÉP - QUY TẮC"),IF($V182="","",IF($T182="THÙNG",$V182,$V182*$F182)),""),"")</x:f>
      </x:c>
      <x:c r="AA182" s="28" t="n">
        <x:f>IFERROR(IF(OR($K182="",$K182=0,$Y182=""),"",($Y182-$K182)/$K182),"")</x:f>
        <x:v>0.08695652173913043</x:v>
      </x:c>
      <x:c r="AB182" s="37" t="str">
        <x:f>IFERROR(IF($N182="CẦN DUYỆT","DUYỆT MAP",IF($N182="CHƯA CÓ GIÁ LẺ","THIẾU GIÁ",IF(OR($K182="",$K182=0,$Y182=""),"OK",IF(ABS(($Y182-$K182)/$K182)&gt;0.15,"LỆCH GIÁ CŨ","OK")))),"OK")</x:f>
        <x:v>THIẾU GIÁ</x:v>
      </x:c>
      <x:c r="AC182" s="30" t="str">
        <x:v>ứng viên gần nhất=TC MINH HANH 1 KG KUNHAN; score=0.591</x:v>
      </x:c>
      <x:c r="AD182" s="37" t="str">
        <x:v>KH1KDD</x:v>
      </x:c>
      <x:c r="AE182" s="38" t="str">
        <x:v>KH1KDDT</x:v>
      </x:c>
      <x:c r="AF182" s="123" t="n">
        <x:v>0</x:v>
      </x:c>
      <x:c r="AG182" s="112" t="str">
        <x:v>g</x:v>
      </x:c>
      <x:c r="AH182" s="112" t="str">
        <x:v>BỊCH</x:v>
      </x:c>
      <x:c r="AI182" s="112" t="str">
        <x:v>0 g / BỊCH</x:v>
      </x:c>
      <x:c r="AJ182" s="120" t="n">
        <x:v>25000</x:v>
      </x:c>
      <x:c r="AK182" s="120"/>
      <x:c r="AL182" s="120" t="n">
        <x:v>25000</x:v>
      </x:c>
      <x:c r="AM182" s="112" t="str">
        <x:v>BỔ SUNG GIÁ</x:v>
      </x:c>
      <x:c r="AN182" s="126" t="n">
        <x:v>400</x:v>
      </x:c>
      <x:c r="AO182" s="126" t="n">
        <x:v>401</x:v>
      </x:c>
      <x:c r="AP182" s="113" t="str">
        <x:v>20 BỊCH / THÙNG</x:v>
      </x:c>
    </x:row>
    <x:row r="183">
      <x:c r="A183" s="71" t="str">
        <x:v>TC GIA UY ĐƯỜNG ĐEN</x:v>
      </x:c>
      <x:c r="B183" s="30" t="str">
        <x:v>TC GIA UY ĐƯỜNG ĐEN - THÙNG</x:v>
      </x:c>
      <x:c r="C183" s="37" t="str">
        <x:v>TCDDGU</x:v>
      </x:c>
      <x:c r="D183" s="37" t="str">
        <x:v>TCDDGUT</x:v>
      </x:c>
      <x:c r="E183" s="37" t="str">
        <x:v>TCDDGUT</x:v>
      </x:c>
      <x:c r="F183" s="37" t="n">
        <x:v>10</x:v>
      </x:c>
      <x:c r="G183" s="37" t="n">
        <x:v>21000</x:v>
      </x:c>
      <x:c r="H183" s="37" t="str">
        <x:v>g</x:v>
      </x:c>
      <x:c r="I183" s="37" t="str">
        <x:v>THÙNG</x:v>
      </x:c>
      <x:c r="J183" s="59" t="n">
        <x:v>0</x:v>
      </x:c>
      <x:c r="K183" s="59" t="n">
        <x:v>570000</x:v>
      </x:c>
      <x:c r="L183" s="59" t="n">
        <x:v>0</x:v>
      </x:c>
      <x:c r="M183" s="37" t="str">
        <x:v>Đường đen / đường nước</x:v>
      </x:c>
      <x:c r="N183" s="37" t="str">
        <x:v>CHƯA CÓ GIÁ LẺ</x:v>
      </x:c>
      <x:c r="O183" s="61" t="n">
        <x:v>0.407</x:v>
      </x:c>
      <x:c r="P183" s="37"/>
      <x:c r="Q183" s="30"/>
      <x:c r="R183" s="30"/>
      <x:c r="S183" s="30"/>
      <x:c r="T183" s="37"/>
      <x:c r="U183" s="59"/>
      <x:c r="V183" s="59"/>
      <x:c r="W183" s="117" t="n">
        <x:v>57000</x:v>
      </x:c>
      <x:c r="X183" s="59" t="str">
        <x:f>IFERROR(IF(OR($N183="ĐÃ GHÉP - AUTO",$N183="ĐÃ GHÉP - QUY TẮC"),IF($V183="","",IF($T183="THÙNG",$V183/$F183,$V183)),""),"")</x:f>
      </x:c>
      <x:c r="Y183" s="117" t="n">
        <x:f>IF(OR(W183="",F183=""),"",W183*F183)</x:f>
        <x:v>570000</x:v>
      </x:c>
      <x:c r="Z183" s="59" t="str">
        <x:f>IFERROR(IF(OR($N183="ĐÃ GHÉP - AUTO",$N183="ĐÃ GHÉP - QUY TẮC"),IF($V183="","",IF($T183="THÙNG",$V183,$V183*$F183)),""),"")</x:f>
      </x:c>
      <x:c r="AA183" s="28" t="n">
        <x:f>IFERROR(IF(OR($K183="",$K183=0,$Y183=""),"",($Y183-$K183)/$K183),"")</x:f>
        <x:v>0</x:v>
      </x:c>
      <x:c r="AB183" s="37" t="str">
        <x:f>IFERROR(IF($N183="CẦN DUYỆT","DUYỆT MAP",IF($N183="CHƯA CÓ GIÁ LẺ","THIẾU GIÁ",IF(OR($K183="",$K183=0,$Y183=""),"OK",IF(ABS(($Y183-$K183)/$K183)&gt;0.15,"LỆCH GIÁ CŨ","OK")))),"OK")</x:f>
        <x:v>THIẾU GIÁ</x:v>
      </x:c>
      <x:c r="AC183" s="30" t="str">
        <x:v>ứng viên gần nhất=Đuong den A+; score=0.407</x:v>
      </x:c>
      <x:c r="AD183" s="37" t="str">
        <x:v>TCDDGU</x:v>
      </x:c>
      <x:c r="AE183" s="38" t="str">
        <x:v>TCDDGUT</x:v>
      </x:c>
      <x:c r="AF183" s="123" t="n">
        <x:v>2000</x:v>
      </x:c>
      <x:c r="AG183" s="112" t="str">
        <x:v>g</x:v>
      </x:c>
      <x:c r="AH183" s="112" t="str">
        <x:v>BỊCH</x:v>
      </x:c>
      <x:c r="AI183" s="112" t="str">
        <x:v>2000 g / BỊCH</x:v>
      </x:c>
      <x:c r="AJ183" s="120" t="n">
        <x:v>57000</x:v>
      </x:c>
      <x:c r="AK183" s="120"/>
      <x:c r="AL183" s="120" t="n">
        <x:v>57000</x:v>
      </x:c>
      <x:c r="AM183" s="112" t="str">
        <x:v>BỔ SUNG GIÁ</x:v>
      </x:c>
      <x:c r="AN183" s="126" t="n">
        <x:v>402</x:v>
      </x:c>
      <x:c r="AO183" s="126" t="n">
        <x:v>403</x:v>
      </x:c>
      <x:c r="AP183" s="113" t="str">
        <x:v>10 BỊCH / THÙNG</x:v>
      </x:c>
    </x:row>
    <x:row r="184">
      <x:c r="A184" s="71" t="str">
        <x:v>TCĐĐ 3KG 2.5</x:v>
      </x:c>
      <x:c r="B184" s="30" t="str">
        <x:v>TCĐĐ 3KG 2.5 - THÙNG</x:v>
      </x:c>
      <x:c r="C184" s="37" t="str">
        <x:v>TCDD35</x:v>
      </x:c>
      <x:c r="D184" s="37" t="str">
        <x:v>TCDD35T</x:v>
      </x:c>
      <x:c r="E184" s="37" t="str">
        <x:v>TCDD35T</x:v>
      </x:c>
      <x:c r="F184" s="37" t="n">
        <x:v>6</x:v>
      </x:c>
      <x:c r="G184" s="37" t="n">
        <x:v>19000</x:v>
      </x:c>
      <x:c r="H184" s="37" t="str">
        <x:v>g</x:v>
      </x:c>
      <x:c r="I184" s="37" t="str">
        <x:v>THÙNG</x:v>
      </x:c>
      <x:c r="J184" s="59" t="n">
        <x:v>0</x:v>
      </x:c>
      <x:c r="K184" s="59" t="n">
        <x:v>555000</x:v>
      </x:c>
      <x:c r="L184" s="59" t="n">
        <x:v>0</x:v>
      </x:c>
      <x:c r="M184" s="37" t="str">
        <x:v>Trân châu</x:v>
      </x:c>
      <x:c r="N184" s="37" t="str">
        <x:v>CHƯA CÓ GIÁ LẺ</x:v>
      </x:c>
      <x:c r="O184" s="61" t="n">
        <x:v>0.468</x:v>
      </x:c>
      <x:c r="P184" s="37"/>
      <x:c r="Q184" s="30"/>
      <x:c r="R184" s="30"/>
      <x:c r="S184" s="30"/>
      <x:c r="T184" s="37"/>
      <x:c r="U184" s="59"/>
      <x:c r="V184" s="59"/>
      <x:c r="W184" s="117" t="n">
        <x:v>94000</x:v>
      </x:c>
      <x:c r="X184" s="59" t="str">
        <x:f>IFERROR(IF(OR($N184="ĐÃ GHÉP - AUTO",$N184="ĐÃ GHÉP - QUY TẮC"),IF($V184="","",IF($T184="THÙNG",$V184/$F184,$V184)),""),"")</x:f>
      </x:c>
      <x:c r="Y184" s="117" t="n">
        <x:f>IF(OR(W184="",F184=""),"",W184*F184)</x:f>
        <x:v>564000</x:v>
      </x:c>
      <x:c r="Z184" s="59" t="str">
        <x:f>IFERROR(IF(OR($N184="ĐÃ GHÉP - AUTO",$N184="ĐÃ GHÉP - QUY TẮC"),IF($V184="","",IF($T184="THÙNG",$V184,$V184*$F184)),""),"")</x:f>
      </x:c>
      <x:c r="AA184" s="28" t="n">
        <x:f>IFERROR(IF(OR($K184="",$K184=0,$Y184=""),"",($Y184-$K184)/$K184),"")</x:f>
        <x:v>0.016216216216216217</x:v>
      </x:c>
      <x:c r="AB184" s="37" t="str">
        <x:f>IFERROR(IF($N184="CẦN DUYỆT","DUYỆT MAP",IF($N184="CHƯA CÓ GIÁ LẺ","THIẾU GIÁ",IF(OR($K184="",$K184=0,$Y184=""),"OK",IF(ABS(($Y184-$K184)/$K184)&gt;0.15,"LỆCH GIÁ CŨ","OK")))),"OK")</x:f>
        <x:v>THIẾU GIÁ</x:v>
      </x:c>
      <x:c r="AC184" s="30" t="str">
        <x:v>ứng viên gần nhất=TC đường đen Duoxian 3kg; score=0.468</x:v>
      </x:c>
      <x:c r="AD184" s="37" t="str">
        <x:v>TCDD35</x:v>
      </x:c>
      <x:c r="AE184" s="38" t="str">
        <x:v>TCDD35T</x:v>
      </x:c>
      <x:c r="AF184" s="123" t="n">
        <x:v>3</x:v>
      </x:c>
      <x:c r="AG184" s="112" t="str">
        <x:v>kg</x:v>
      </x:c>
      <x:c r="AH184" s="112" t="str">
        <x:v>GÓI</x:v>
      </x:c>
      <x:c r="AI184" s="112" t="str">
        <x:v>3 kg / GÓI</x:v>
      </x:c>
      <x:c r="AJ184" s="120" t="n">
        <x:v>94000</x:v>
      </x:c>
      <x:c r="AK184" s="120"/>
      <x:c r="AL184" s="120" t="n">
        <x:v>94000</x:v>
      </x:c>
      <x:c r="AM184" s="112" t="str">
        <x:v>BỔ SUNG GIÁ</x:v>
      </x:c>
      <x:c r="AN184" s="126" t="n">
        <x:v>404</x:v>
      </x:c>
      <x:c r="AO184" s="126" t="n">
        <x:v>405</x:v>
      </x:c>
      <x:c r="AP184" s="113" t="str">
        <x:v>6 GÓI / THÙNG</x:v>
      </x:c>
    </x:row>
    <x:row r="185">
      <x:c r="A185" s="71" t="str">
        <x:v>TCĐĐ 3KG 2.2</x:v>
      </x:c>
      <x:c r="B185" s="30" t="str">
        <x:v>TCĐĐ 3KG 2.2 - THÙNG</x:v>
      </x:c>
      <x:c r="C185" s="37" t="str">
        <x:v>TCDD32</x:v>
      </x:c>
      <x:c r="D185" s="37" t="str">
        <x:v>TCDD32T</x:v>
      </x:c>
      <x:c r="E185" s="37" t="str">
        <x:v>TCDD32T</x:v>
      </x:c>
      <x:c r="F185" s="37" t="n">
        <x:v>6</x:v>
      </x:c>
      <x:c r="G185" s="37" t="n">
        <x:v>19000</x:v>
      </x:c>
      <x:c r="H185" s="37" t="str">
        <x:v>g</x:v>
      </x:c>
      <x:c r="I185" s="37" t="str">
        <x:v>THÙNG</x:v>
      </x:c>
      <x:c r="J185" s="59" t="n">
        <x:v>0</x:v>
      </x:c>
      <x:c r="K185" s="59" t="n">
        <x:v>555000</x:v>
      </x:c>
      <x:c r="L185" s="59" t="n">
        <x:v>0</x:v>
      </x:c>
      <x:c r="M185" s="37" t="str">
        <x:v>Trân châu</x:v>
      </x:c>
      <x:c r="N185" s="37" t="str">
        <x:v>CHƯA CÓ GIÁ LẺ</x:v>
      </x:c>
      <x:c r="O185" s="61" t="n">
        <x:v>0.468</x:v>
      </x:c>
      <x:c r="P185" s="37"/>
      <x:c r="Q185" s="30"/>
      <x:c r="R185" s="30"/>
      <x:c r="S185" s="30"/>
      <x:c r="T185" s="37"/>
      <x:c r="U185" s="59"/>
      <x:c r="V185" s="59"/>
      <x:c r="W185" s="117" t="n">
        <x:v>94000</x:v>
      </x:c>
      <x:c r="X185" s="59" t="str">
        <x:f>IFERROR(IF(OR($N185="ĐÃ GHÉP - AUTO",$N185="ĐÃ GHÉP - QUY TẮC"),IF($V185="","",IF($T185="THÙNG",$V185/$F185,$V185)),""),"")</x:f>
      </x:c>
      <x:c r="Y185" s="117" t="n">
        <x:f>IF(OR(W185="",F185=""),"",W185*F185)</x:f>
        <x:v>564000</x:v>
      </x:c>
      <x:c r="Z185" s="59" t="str">
        <x:f>IFERROR(IF(OR($N185="ĐÃ GHÉP - AUTO",$N185="ĐÃ GHÉP - QUY TẮC"),IF($V185="","",IF($T185="THÙNG",$V185,$V185*$F185)),""),"")</x:f>
      </x:c>
      <x:c r="AA185" s="28" t="n">
        <x:f>IFERROR(IF(OR($K185="",$K185=0,$Y185=""),"",($Y185-$K185)/$K185),"")</x:f>
        <x:v>0.016216216216216217</x:v>
      </x:c>
      <x:c r="AB185" s="37" t="str">
        <x:f>IFERROR(IF($N185="CẦN DUYỆT","DUYỆT MAP",IF($N185="CHƯA CÓ GIÁ LẺ","THIẾU GIÁ",IF(OR($K185="",$K185=0,$Y185=""),"OK",IF(ABS(($Y185-$K185)/$K185)&gt;0.15,"LỆCH GIÁ CŨ","OK")))),"OK")</x:f>
        <x:v>THIẾU GIÁ</x:v>
      </x:c>
      <x:c r="AC185" s="30" t="str">
        <x:v>ứng viên gần nhất=TC đường đen Duoxian 3kg; score=0.468</x:v>
      </x:c>
      <x:c r="AD185" s="37" t="str">
        <x:v>TCDD32</x:v>
      </x:c>
      <x:c r="AE185" s="38" t="str">
        <x:v>TCDD32T</x:v>
      </x:c>
      <x:c r="AF185" s="123" t="n">
        <x:v>3</x:v>
      </x:c>
      <x:c r="AG185" s="112" t="str">
        <x:v>kg</x:v>
      </x:c>
      <x:c r="AH185" s="112" t="str">
        <x:v>GÓI</x:v>
      </x:c>
      <x:c r="AI185" s="112" t="str">
        <x:v>3 kg / GÓI</x:v>
      </x:c>
      <x:c r="AJ185" s="120" t="n">
        <x:v>94000</x:v>
      </x:c>
      <x:c r="AK185" s="120"/>
      <x:c r="AL185" s="120" t="n">
        <x:v>94000</x:v>
      </x:c>
      <x:c r="AM185" s="112" t="str">
        <x:v>BỔ SUNG GIÁ</x:v>
      </x:c>
      <x:c r="AN185" s="126" t="n">
        <x:v>406</x:v>
      </x:c>
      <x:c r="AO185" s="126" t="n">
        <x:v>407</x:v>
      </x:c>
      <x:c r="AP185" s="113" t="str">
        <x:v>6 GÓI / THÙNG</x:v>
      </x:c>
    </x:row>
    <x:row r="186">
      <x:c r="A186" s="71" t="str">
        <x:v>TCĐĐ 2KG 2.5</x:v>
      </x:c>
      <x:c r="B186" s="30" t="str">
        <x:v>TCĐĐ 2KG 2.5 - THÙNG</x:v>
      </x:c>
      <x:c r="C186" s="37" t="str">
        <x:v>TCDD25</x:v>
      </x:c>
      <x:c r="D186" s="37" t="str">
        <x:v>TCDD25T</x:v>
      </x:c>
      <x:c r="E186" s="37" t="str">
        <x:v>TCDD25T</x:v>
      </x:c>
      <x:c r="F186" s="37" t="n">
        <x:v>10</x:v>
      </x:c>
      <x:c r="G186" s="37" t="n">
        <x:v>19000</x:v>
      </x:c>
      <x:c r="H186" s="37" t="str">
        <x:v>g</x:v>
      </x:c>
      <x:c r="I186" s="37" t="str">
        <x:v>THÙNG</x:v>
      </x:c>
      <x:c r="J186" s="59" t="n">
        <x:v>0</x:v>
      </x:c>
      <x:c r="K186" s="59" t="n">
        <x:v>530000</x:v>
      </x:c>
      <x:c r="L186" s="59" t="n">
        <x:v>0</x:v>
      </x:c>
      <x:c r="M186" s="37" t="str">
        <x:v>Trân châu</x:v>
      </x:c>
      <x:c r="N186" s="37" t="str">
        <x:v>CHƯA CÓ GIÁ LẺ</x:v>
      </x:c>
      <x:c r="O186" s="61" t="n">
        <x:v>0.491</x:v>
      </x:c>
      <x:c r="P186" s="37"/>
      <x:c r="Q186" s="30"/>
      <x:c r="R186" s="30"/>
      <x:c r="S186" s="30"/>
      <x:c r="T186" s="37"/>
      <x:c r="U186" s="59"/>
      <x:c r="V186" s="59"/>
      <x:c r="W186" s="117" t="n">
        <x:v>54000</x:v>
      </x:c>
      <x:c r="X186" s="59" t="str">
        <x:f>IFERROR(IF(OR($N186="ĐÃ GHÉP - AUTO",$N186="ĐÃ GHÉP - QUY TẮC"),IF($V186="","",IF($T186="THÙNG",$V186/$F186,$V186)),""),"")</x:f>
      </x:c>
      <x:c r="Y186" s="117" t="n">
        <x:f>IF(OR(W186="",F186=""),"",W186*F186)</x:f>
        <x:v>540000</x:v>
      </x:c>
      <x:c r="Z186" s="59" t="str">
        <x:f>IFERROR(IF(OR($N186="ĐÃ GHÉP - AUTO",$N186="ĐÃ GHÉP - QUY TẮC"),IF($V186="","",IF($T186="THÙNG",$V186,$V186*$F186)),""),"")</x:f>
      </x:c>
      <x:c r="AA186" s="28" t="n">
        <x:f>IFERROR(IF(OR($K186="",$K186=0,$Y186=""),"",($Y186-$K186)/$K186),"")</x:f>
        <x:v>0.018867924528301886</x:v>
      </x:c>
      <x:c r="AB186" s="37" t="str">
        <x:f>IFERROR(IF($N186="CẦN DUYỆT","DUYỆT MAP",IF($N186="CHƯA CÓ GIÁ LẺ","THIẾU GIÁ",IF(OR($K186="",$K186=0,$Y186=""),"OK",IF(ABS(($Y186-$K186)/$K186)&gt;0.15,"LỆCH GIÁ CŨ","OK")))),"OK")</x:f>
        <x:v>THIẾU GIÁ</x:v>
      </x:c>
      <x:c r="AC186" s="30" t="str">
        <x:v>ứng viên gần nhất=TC đường đen Duoxian 2kg; score=0.491</x:v>
      </x:c>
      <x:c r="AD186" s="37" t="str">
        <x:v>TCDD25</x:v>
      </x:c>
      <x:c r="AE186" s="38" t="str">
        <x:v>TCDD25T</x:v>
      </x:c>
      <x:c r="AF186" s="123" t="n">
        <x:v>3</x:v>
      </x:c>
      <x:c r="AG186" s="112" t="str">
        <x:v>kg</x:v>
      </x:c>
      <x:c r="AH186" s="112" t="str">
        <x:v>GÓI</x:v>
      </x:c>
      <x:c r="AI186" s="112" t="str">
        <x:v>3 kg / GÓI</x:v>
      </x:c>
      <x:c r="AJ186" s="120" t="n">
        <x:v>54000</x:v>
      </x:c>
      <x:c r="AK186" s="120"/>
      <x:c r="AL186" s="120" t="n">
        <x:v>54000</x:v>
      </x:c>
      <x:c r="AM186" s="112" t="str">
        <x:v>BỔ SUNG GIÁ</x:v>
      </x:c>
      <x:c r="AN186" s="126" t="n">
        <x:v>408</x:v>
      </x:c>
      <x:c r="AO186" s="126" t="n">
        <x:v>409</x:v>
      </x:c>
      <x:c r="AP186" s="113" t="str">
        <x:v>10 GÓI / THÙNG</x:v>
      </x:c>
    </x:row>
    <x:row r="187">
      <x:c r="A187" s="71" t="str">
        <x:v>TCĐĐ 2KG 2.2</x:v>
      </x:c>
      <x:c r="B187" s="30" t="str">
        <x:v>TCĐĐ 2KG 2.2 - THÙNG</x:v>
      </x:c>
      <x:c r="C187" s="37" t="str">
        <x:v>TCDD22</x:v>
      </x:c>
      <x:c r="D187" s="37" t="str">
        <x:v>TCDD22T</x:v>
      </x:c>
      <x:c r="E187" s="37" t="str">
        <x:v>TCDD22T</x:v>
      </x:c>
      <x:c r="F187" s="37" t="n">
        <x:v>10</x:v>
      </x:c>
      <x:c r="G187" s="37" t="n">
        <x:v>19000</x:v>
      </x:c>
      <x:c r="H187" s="37" t="str">
        <x:v>g</x:v>
      </x:c>
      <x:c r="I187" s="37" t="str">
        <x:v>THÙNG</x:v>
      </x:c>
      <x:c r="J187" s="59" t="n">
        <x:v>0</x:v>
      </x:c>
      <x:c r="K187" s="59" t="n">
        <x:v>530000</x:v>
      </x:c>
      <x:c r="L187" s="59" t="n">
        <x:v>0</x:v>
      </x:c>
      <x:c r="M187" s="37" t="str">
        <x:v>Trân châu</x:v>
      </x:c>
      <x:c r="N187" s="37" t="str">
        <x:v>CHƯA CÓ GIÁ LẺ</x:v>
      </x:c>
      <x:c r="O187" s="61" t="n">
        <x:v>0.491</x:v>
      </x:c>
      <x:c r="P187" s="37"/>
      <x:c r="Q187" s="30"/>
      <x:c r="R187" s="30"/>
      <x:c r="S187" s="30"/>
      <x:c r="T187" s="37"/>
      <x:c r="U187" s="59"/>
      <x:c r="V187" s="59"/>
      <x:c r="W187" s="117" t="n">
        <x:v>54000</x:v>
      </x:c>
      <x:c r="X187" s="59" t="str">
        <x:f>IFERROR(IF(OR($N187="ĐÃ GHÉP - AUTO",$N187="ĐÃ GHÉP - QUY TẮC"),IF($V187="","",IF($T187="THÙNG",$V187/$F187,$V187)),""),"")</x:f>
      </x:c>
      <x:c r="Y187" s="117" t="n">
        <x:f>IF(OR(W187="",F187=""),"",W187*F187)</x:f>
        <x:v>540000</x:v>
      </x:c>
      <x:c r="Z187" s="59" t="str">
        <x:f>IFERROR(IF(OR($N187="ĐÃ GHÉP - AUTO",$N187="ĐÃ GHÉP - QUY TẮC"),IF($V187="","",IF($T187="THÙNG",$V187,$V187*$F187)),""),"")</x:f>
      </x:c>
      <x:c r="AA187" s="28" t="n">
        <x:f>IFERROR(IF(OR($K187="",$K187=0,$Y187=""),"",($Y187-$K187)/$K187),"")</x:f>
        <x:v>0.018867924528301886</x:v>
      </x:c>
      <x:c r="AB187" s="37" t="str">
        <x:f>IFERROR(IF($N187="CẦN DUYỆT","DUYỆT MAP",IF($N187="CHƯA CÓ GIÁ LẺ","THIẾU GIÁ",IF(OR($K187="",$K187=0,$Y187=""),"OK",IF(ABS(($Y187-$K187)/$K187)&gt;0.15,"LỆCH GIÁ CŨ","OK")))),"OK")</x:f>
        <x:v>THIẾU GIÁ</x:v>
      </x:c>
      <x:c r="AC187" s="30" t="str">
        <x:v>ứng viên gần nhất=TC đường đen Duoxian 2kg; score=0.491</x:v>
      </x:c>
      <x:c r="AD187" s="37" t="str">
        <x:v>TCDD22</x:v>
      </x:c>
      <x:c r="AE187" s="38" t="str">
        <x:v>TCDD22T</x:v>
      </x:c>
      <x:c r="AF187" s="123" t="n">
        <x:v>2</x:v>
      </x:c>
      <x:c r="AG187" s="112" t="str">
        <x:v>kg</x:v>
      </x:c>
      <x:c r="AH187" s="112" t="str">
        <x:v>GÓI</x:v>
      </x:c>
      <x:c r="AI187" s="112" t="str">
        <x:v>2 kg / GÓI</x:v>
      </x:c>
      <x:c r="AJ187" s="120" t="n">
        <x:v>54000</x:v>
      </x:c>
      <x:c r="AK187" s="120"/>
      <x:c r="AL187" s="120" t="n">
        <x:v>54000</x:v>
      </x:c>
      <x:c r="AM187" s="112" t="str">
        <x:v>BỔ SUNG GIÁ</x:v>
      </x:c>
      <x:c r="AN187" s="126" t="n">
        <x:v>410</x:v>
      </x:c>
      <x:c r="AO187" s="126" t="n">
        <x:v>411</x:v>
      </x:c>
      <x:c r="AP187" s="113" t="str">
        <x:v>10 GÓI / THÙNG</x:v>
      </x:c>
    </x:row>
    <x:row r="188">
      <x:c r="A188" s="71" t="str">
        <x:v>TCĐĐ 1KG 2.5</x:v>
      </x:c>
      <x:c r="B188" s="30" t="str">
        <x:v>TCĐĐ 1KG 2.5 - THÙNG</x:v>
      </x:c>
      <x:c r="C188" s="37" t="str">
        <x:v>TCDD15</x:v>
      </x:c>
      <x:c r="D188" s="37" t="str">
        <x:v>TCDD15T</x:v>
      </x:c>
      <x:c r="E188" s="37" t="str">
        <x:v>TCDD15T</x:v>
      </x:c>
      <x:c r="F188" s="37" t="n">
        <x:v>18</x:v>
      </x:c>
      <x:c r="G188" s="37" t="n">
        <x:v>19000</x:v>
      </x:c>
      <x:c r="H188" s="37" t="str">
        <x:v>g</x:v>
      </x:c>
      <x:c r="I188" s="37" t="str">
        <x:v>THÙNG</x:v>
      </x:c>
      <x:c r="J188" s="59" t="n">
        <x:v>0</x:v>
      </x:c>
      <x:c r="K188" s="59" t="n">
        <x:v>530000</x:v>
      </x:c>
      <x:c r="L188" s="59" t="n">
        <x:v>0</x:v>
      </x:c>
      <x:c r="M188" s="37" t="str">
        <x:v>Trân châu</x:v>
      </x:c>
      <x:c r="N188" s="37" t="str">
        <x:v>CHƯA CÓ GIÁ LẺ</x:v>
      </x:c>
      <x:c r="O188" s="61" t="n">
        <x:v>0.468</x:v>
      </x:c>
      <x:c r="P188" s="37"/>
      <x:c r="Q188" s="30"/>
      <x:c r="R188" s="30"/>
      <x:c r="S188" s="30"/>
      <x:c r="T188" s="37"/>
      <x:c r="U188" s="59"/>
      <x:c r="V188" s="59"/>
      <x:c r="W188" s="117" t="n">
        <x:v>30000</x:v>
      </x:c>
      <x:c r="X188" s="59" t="str">
        <x:f>IFERROR(IF(OR($N188="ĐÃ GHÉP - AUTO",$N188="ĐÃ GHÉP - QUY TẮC"),IF($V188="","",IF($T188="THÙNG",$V188/$F188,$V188)),""),"")</x:f>
      </x:c>
      <x:c r="Y188" s="117" t="n">
        <x:f>IF(OR(W188="",F188=""),"",W188*F188)</x:f>
        <x:v>540000</x:v>
      </x:c>
      <x:c r="Z188" s="59" t="str">
        <x:f>IFERROR(IF(OR($N188="ĐÃ GHÉP - AUTO",$N188="ĐÃ GHÉP - QUY TẮC"),IF($V188="","",IF($T188="THÙNG",$V188,$V188*$F188)),""),"")</x:f>
      </x:c>
      <x:c r="AA188" s="28" t="n">
        <x:f>IFERROR(IF(OR($K188="",$K188=0,$Y188=""),"",($Y188-$K188)/$K188),"")</x:f>
        <x:v>0.018867924528301886</x:v>
      </x:c>
      <x:c r="AB188" s="37" t="str">
        <x:f>IFERROR(IF($N188="CẦN DUYỆT","DUYỆT MAP",IF($N188="CHƯA CÓ GIÁ LẺ","THIẾU GIÁ",IF(OR($K188="",$K188=0,$Y188=""),"OK",IF(ABS(($Y188-$K188)/$K188)&gt;0.15,"LỆCH GIÁ CŨ","OK")))),"OK")</x:f>
        <x:v>THIẾU GIÁ</x:v>
      </x:c>
      <x:c r="AC188" s="30" t="str">
        <x:v>ứng viên gần nhất=TC đường đen Duoxian 1kg; score=0.468</x:v>
      </x:c>
      <x:c r="AD188" s="37" t="str">
        <x:v>TCDD15</x:v>
      </x:c>
      <x:c r="AE188" s="38" t="str">
        <x:v>TCDD15T</x:v>
      </x:c>
      <x:c r="AF188" s="123" t="n">
        <x:v>1</x:v>
      </x:c>
      <x:c r="AG188" s="112" t="str">
        <x:v>kg</x:v>
      </x:c>
      <x:c r="AH188" s="112" t="str">
        <x:v>GÓI</x:v>
      </x:c>
      <x:c r="AI188" s="112" t="str">
        <x:v>1 kg / GÓI</x:v>
      </x:c>
      <x:c r="AJ188" s="120" t="n">
        <x:v>30000</x:v>
      </x:c>
      <x:c r="AK188" s="120"/>
      <x:c r="AL188" s="120" t="n">
        <x:v>30000</x:v>
      </x:c>
      <x:c r="AM188" s="112" t="str">
        <x:v>BỔ SUNG GIÁ</x:v>
      </x:c>
      <x:c r="AN188" s="126" t="n">
        <x:v>412</x:v>
      </x:c>
      <x:c r="AO188" s="126" t="n">
        <x:v>413</x:v>
      </x:c>
      <x:c r="AP188" s="113" t="str">
        <x:v>18 GÓI / THÙNG</x:v>
      </x:c>
    </x:row>
    <x:row r="189">
      <x:c r="A189" s="71" t="str">
        <x:v>TCĐĐ 1KG 2.2</x:v>
      </x:c>
      <x:c r="B189" s="30" t="str">
        <x:v>TCĐĐ 1KG 2.2 - THÙNG</x:v>
      </x:c>
      <x:c r="C189" s="37" t="str">
        <x:v>TCDD12</x:v>
      </x:c>
      <x:c r="D189" s="37" t="str">
        <x:v>TCDD12T</x:v>
      </x:c>
      <x:c r="E189" s="37" t="str">
        <x:v>TCDD12T</x:v>
      </x:c>
      <x:c r="F189" s="37" t="n">
        <x:v>18</x:v>
      </x:c>
      <x:c r="G189" s="37" t="n">
        <x:v>19000</x:v>
      </x:c>
      <x:c r="H189" s="37" t="str">
        <x:v>g</x:v>
      </x:c>
      <x:c r="I189" s="37" t="str">
        <x:v>THÙNG</x:v>
      </x:c>
      <x:c r="J189" s="59" t="n">
        <x:v>0</x:v>
      </x:c>
      <x:c r="K189" s="59" t="n">
        <x:v>530000</x:v>
      </x:c>
      <x:c r="L189" s="59" t="n">
        <x:v>0</x:v>
      </x:c>
      <x:c r="M189" s="37" t="str">
        <x:v>Trân châu</x:v>
      </x:c>
      <x:c r="N189" s="37" t="str">
        <x:v>CHƯA CÓ GIÁ LẺ</x:v>
      </x:c>
      <x:c r="O189" s="61" t="n">
        <x:v>0.468</x:v>
      </x:c>
      <x:c r="P189" s="37"/>
      <x:c r="Q189" s="30"/>
      <x:c r="R189" s="30"/>
      <x:c r="S189" s="30"/>
      <x:c r="T189" s="37"/>
      <x:c r="U189" s="59"/>
      <x:c r="V189" s="59"/>
      <x:c r="W189" s="117" t="n">
        <x:v>30000</x:v>
      </x:c>
      <x:c r="X189" s="59" t="str">
        <x:f>IFERROR(IF(OR($N189="ĐÃ GHÉP - AUTO",$N189="ĐÃ GHÉP - QUY TẮC"),IF($V189="","",IF($T189="THÙNG",$V189/$F189,$V189)),""),"")</x:f>
      </x:c>
      <x:c r="Y189" s="117" t="n">
        <x:f>IF(OR(W189="",F189=""),"",W189*F189)</x:f>
        <x:v>540000</x:v>
      </x:c>
      <x:c r="Z189" s="59" t="str">
        <x:f>IFERROR(IF(OR($N189="ĐÃ GHÉP - AUTO",$N189="ĐÃ GHÉP - QUY TẮC"),IF($V189="","",IF($T189="THÙNG",$V189,$V189*$F189)),""),"")</x:f>
      </x:c>
      <x:c r="AA189" s="28" t="n">
        <x:f>IFERROR(IF(OR($K189="",$K189=0,$Y189=""),"",($Y189-$K189)/$K189),"")</x:f>
        <x:v>0.018867924528301886</x:v>
      </x:c>
      <x:c r="AB189" s="37" t="str">
        <x:f>IFERROR(IF($N189="CẦN DUYỆT","DUYỆT MAP",IF($N189="CHƯA CÓ GIÁ LẺ","THIẾU GIÁ",IF(OR($K189="",$K189=0,$Y189=""),"OK",IF(ABS(($Y189-$K189)/$K189)&gt;0.15,"LỆCH GIÁ CŨ","OK")))),"OK")</x:f>
        <x:v>THIẾU GIÁ</x:v>
      </x:c>
      <x:c r="AC189" s="30" t="str">
        <x:v>ứng viên gần nhất=TC đường đen Duoxian 1kg; score=0.468</x:v>
      </x:c>
      <x:c r="AD189" s="37" t="str">
        <x:v>TCDD12</x:v>
      </x:c>
      <x:c r="AE189" s="38" t="str">
        <x:v>TCDD12T</x:v>
      </x:c>
      <x:c r="AF189" s="123" t="n">
        <x:v>1000</x:v>
      </x:c>
      <x:c r="AG189" s="112" t="str">
        <x:v>g</x:v>
      </x:c>
      <x:c r="AH189" s="112" t="str">
        <x:v>GÓI</x:v>
      </x:c>
      <x:c r="AI189" s="112" t="str">
        <x:v>1000 g / GÓI</x:v>
      </x:c>
      <x:c r="AJ189" s="120" t="n">
        <x:v>30000</x:v>
      </x:c>
      <x:c r="AK189" s="120"/>
      <x:c r="AL189" s="120" t="n">
        <x:v>30000</x:v>
      </x:c>
      <x:c r="AM189" s="112" t="str">
        <x:v>BỔ SUNG GIÁ</x:v>
      </x:c>
      <x:c r="AN189" s="126" t="n">
        <x:v>414</x:v>
      </x:c>
      <x:c r="AO189" s="126" t="n">
        <x:v>415</x:v>
      </x:c>
      <x:c r="AP189" s="113" t="str">
        <x:v>18 GÓI / THÙNG</x:v>
      </x:c>
    </x:row>
    <x:row r="190">
      <x:c r="A190" s="71" t="str">
        <x:v>TCĐĐ 1KG 1.0</x:v>
      </x:c>
      <x:c r="B190" s="30" t="str">
        <x:v>TCĐĐ 1KG 1.0 - THÙNG</x:v>
      </x:c>
      <x:c r="C190" s="37" t="str">
        <x:v>TCDD10</x:v>
      </x:c>
      <x:c r="D190" s="37" t="str">
        <x:v>TCDD10T</x:v>
      </x:c>
      <x:c r="E190" s="37" t="str">
        <x:v>TCDD10T</x:v>
      </x:c>
      <x:c r="F190" s="37" t="n">
        <x:v>18</x:v>
      </x:c>
      <x:c r="G190" s="37" t="n">
        <x:v>19000</x:v>
      </x:c>
      <x:c r="H190" s="37" t="str">
        <x:v>g</x:v>
      </x:c>
      <x:c r="I190" s="37" t="str">
        <x:v>THÙNG</x:v>
      </x:c>
      <x:c r="J190" s="59" t="n">
        <x:v>0</x:v>
      </x:c>
      <x:c r="K190" s="59" t="n">
        <x:v>530000</x:v>
      </x:c>
      <x:c r="L190" s="59" t="n">
        <x:v>0</x:v>
      </x:c>
      <x:c r="M190" s="37" t="str">
        <x:v>Trân châu</x:v>
      </x:c>
      <x:c r="N190" s="37" t="str">
        <x:v>CHƯA CÓ GIÁ LẺ</x:v>
      </x:c>
      <x:c r="O190" s="61" t="n">
        <x:v>0.468</x:v>
      </x:c>
      <x:c r="P190" s="37"/>
      <x:c r="Q190" s="30"/>
      <x:c r="R190" s="30"/>
      <x:c r="S190" s="30"/>
      <x:c r="T190" s="37"/>
      <x:c r="U190" s="59"/>
      <x:c r="V190" s="59"/>
      <x:c r="W190" s="117"/>
      <x:c r="X190" s="59" t="str">
        <x:f>IFERROR(IF(OR($N190="ĐÃ GHÉP - AUTO",$N190="ĐÃ GHÉP - QUY TẮC"),IF($V190="","",IF($T190="THÙNG",$V190/$F190,$V190)),""),"")</x:f>
      </x:c>
      <x:c r="Y190" s="117" t="str">
        <x:f>IF(OR(W190="",F190=""),"",W190*F190)</x:f>
      </x:c>
      <x:c r="Z190" s="59" t="str">
        <x:f>IFERROR(IF(OR($N190="ĐÃ GHÉP - AUTO",$N190="ĐÃ GHÉP - QUY TẮC"),IF($V190="","",IF($T190="THÙNG",$V190,$V190*$F190)),""),"")</x:f>
      </x:c>
      <x:c r="AA190" s="28" t="str">
        <x:f>IFERROR(IF(OR($K190="",$K190=0,$Y190=""),"",($Y190-$K190)/$K190),"")</x:f>
      </x:c>
      <x:c r="AB190" s="37" t="str">
        <x:f>IFERROR(IF($N190="CẦN DUYỆT","DUYỆT MAP",IF($N190="CHƯA CÓ GIÁ LẺ","THIẾU GIÁ",IF(OR($K190="",$K190=0,$Y190=""),"OK",IF(ABS(($Y190-$K190)/$K190)&gt;0.15,"LỆCH GIÁ CŨ","OK")))),"OK")</x:f>
        <x:v>THIẾU GIÁ</x:v>
      </x:c>
      <x:c r="AC190" s="30" t="str">
        <x:v>ứng viên gần nhất=TC đường đen Duoxian 1kg; score=0.468</x:v>
      </x:c>
      <x:c r="AD190" s="37" t="str">
        <x:v>TCDD10</x:v>
      </x:c>
      <x:c r="AE190" s="38" t="str">
        <x:v>TCDD10T</x:v>
      </x:c>
      <x:c r="AF190" s="123" t="n">
        <x:v>0</x:v>
      </x:c>
      <x:c r="AG190" s="112" t="str">
        <x:v>g</x:v>
      </x:c>
      <x:c r="AH190" s="112" t="str">
        <x:v>BỊCH</x:v>
      </x:c>
      <x:c r="AI190" s="112" t="str">
        <x:v>0 g / BỊCH</x:v>
      </x:c>
      <x:c r="AJ190" s="120" t="n">
        <x:v>0</x:v>
      </x:c>
      <x:c r="AK190" s="120"/>
      <x:c r="AL190" s="120"/>
      <x:c r="AM190" s="112" t="str">
        <x:v>DS SP GIÁ 0 - VẪN THIẾU GIÁ</x:v>
      </x:c>
      <x:c r="AN190" s="126" t="n">
        <x:v>416</x:v>
      </x:c>
      <x:c r="AO190" s="126" t="n">
        <x:v>417</x:v>
      </x:c>
      <x:c r="AP190" s="113" t="str">
        <x:v>18 BỊCH / THÙNG</x:v>
      </x:c>
    </x:row>
    <x:row r="191">
      <x:c r="A191" s="71" t="str">
        <x:v>TCBN 3KG 2.2</x:v>
      </x:c>
      <x:c r="B191" s="30" t="str">
        <x:v>TCBN 3KG 2.2 - THÙNG</x:v>
      </x:c>
      <x:c r="C191" s="37" t="str">
        <x:v>TCBN32</x:v>
      </x:c>
      <x:c r="D191" s="37" t="str">
        <x:v>TCBN32T</x:v>
      </x:c>
      <x:c r="E191" s="37" t="str">
        <x:v>TCBN32T</x:v>
      </x:c>
      <x:c r="F191" s="37" t="n">
        <x:v>6</x:v>
      </x:c>
      <x:c r="G191" s="37" t="n">
        <x:v>1</x:v>
      </x:c>
      <x:c r="H191" s="37" t="str">
        <x:v>kg</x:v>
      </x:c>
      <x:c r="I191" s="37" t="str">
        <x:v>THÙNG</x:v>
      </x:c>
      <x:c r="J191" s="59" t="n">
        <x:v>0</x:v>
      </x:c>
      <x:c r="K191" s="59" t="n">
        <x:v>0</x:v>
      </x:c>
      <x:c r="L191" s="59" t="n">
        <x:v>0</x:v>
      </x:c>
      <x:c r="M191" s="37" t="str">
        <x:v>Trân châu</x:v>
      </x:c>
      <x:c r="N191" s="37" t="str">
        <x:v>CHƯA CÓ GIÁ LẺ</x:v>
      </x:c>
      <x:c r="O191" s="61" t="n">
        <x:v>0.436</x:v>
      </x:c>
      <x:c r="P191" s="37"/>
      <x:c r="Q191" s="30"/>
      <x:c r="R191" s="30"/>
      <x:c r="S191" s="30"/>
      <x:c r="T191" s="37"/>
      <x:c r="U191" s="59"/>
      <x:c r="V191" s="59"/>
      <x:c r="W191" s="117"/>
      <x:c r="X191" s="59" t="str">
        <x:f>IFERROR(IF(OR($N191="ĐÃ GHÉP - AUTO",$N191="ĐÃ GHÉP - QUY TẮC"),IF($V191="","",IF($T191="THÙNG",$V191/$F191,$V191)),""),"")</x:f>
      </x:c>
      <x:c r="Y191" s="117" t="str">
        <x:f>IF(OR(W191="",F191=""),"",W191*F191)</x:f>
      </x:c>
      <x:c r="Z191" s="59" t="str">
        <x:f>IFERROR(IF(OR($N191="ĐÃ GHÉP - AUTO",$N191="ĐÃ GHÉP - QUY TẮC"),IF($V191="","",IF($T191="THÙNG",$V191,$V191*$F191)),""),"")</x:f>
      </x:c>
      <x:c r="AA191" s="28" t="str">
        <x:f>IFERROR(IF(OR($K191="",$K191=0,$Y191=""),"",($Y191-$K191)/$K191),"")</x:f>
      </x:c>
      <x:c r="AB191" s="37" t="str">
        <x:f>IFERROR(IF($N191="CẦN DUYỆT","DUYỆT MAP",IF($N191="CHƯA CÓ GIÁ LẺ","THIẾU GIÁ",IF(OR($K191="",$K191=0,$Y191=""),"OK",IF(ABS(($Y191-$K191)/$K191)&gt;0.15,"LỆCH GIÁ CŨ","OK")))),"OK")</x:f>
        <x:v>THIẾU GIÁ</x:v>
      </x:c>
      <x:c r="AC191" s="30" t="str">
        <x:v>ứng viên gần nhất=TC đường đen Duoxian 3kg; score=0.436</x:v>
      </x:c>
      <x:c r="AD191" s="37" t="str">
        <x:v>TCBN32</x:v>
      </x:c>
      <x:c r="AE191" s="38" t="str">
        <x:v>TCBN32T</x:v>
      </x:c>
      <x:c r="AF191" s="123" t="n">
        <x:v>3</x:v>
      </x:c>
      <x:c r="AG191" s="112" t="str">
        <x:v>kg</x:v>
      </x:c>
      <x:c r="AH191" s="112" t="str">
        <x:v>GÓI</x:v>
      </x:c>
      <x:c r="AI191" s="112" t="str">
        <x:v>3 kg / GÓI</x:v>
      </x:c>
      <x:c r="AJ191" s="120" t="n">
        <x:v>0</x:v>
      </x:c>
      <x:c r="AK191" s="120"/>
      <x:c r="AL191" s="120"/>
      <x:c r="AM191" s="112" t="str">
        <x:v>DS SP GIÁ 0 - VẪN THIẾU GIÁ</x:v>
      </x:c>
      <x:c r="AN191" s="126" t="n">
        <x:v>418</x:v>
      </x:c>
      <x:c r="AO191" s="126" t="n">
        <x:v>419</x:v>
      </x:c>
      <x:c r="AP191" s="113" t="str">
        <x:v>6 GÓI / THÙNG</x:v>
      </x:c>
    </x:row>
    <x:row r="192">
      <x:c r="A192" s="71" t="str">
        <x:v>TCBN 1KG 2.5</x:v>
      </x:c>
      <x:c r="B192" s="30" t="str">
        <x:v>TCBN 1KG 2.5 - THÙNG</x:v>
      </x:c>
      <x:c r="C192" s="37" t="str">
        <x:v>TCBN15</x:v>
      </x:c>
      <x:c r="D192" s="37" t="str">
        <x:v>TCBN15T</x:v>
      </x:c>
      <x:c r="E192" s="37" t="str">
        <x:v>TCBN15T</x:v>
      </x:c>
      <x:c r="F192" s="37" t="n">
        <x:v>18</x:v>
      </x:c>
      <x:c r="G192" s="37" t="n">
        <x:v>0</x:v>
      </x:c>
      <x:c r="H192" s="37" t="str">
        <x:v>g</x:v>
      </x:c>
      <x:c r="I192" s="37" t="str">
        <x:v>THÙNG</x:v>
      </x:c>
      <x:c r="J192" s="59" t="n">
        <x:v>0</x:v>
      </x:c>
      <x:c r="K192" s="59" t="n">
        <x:v>530000</x:v>
      </x:c>
      <x:c r="L192" s="59" t="n">
        <x:v>0</x:v>
      </x:c>
      <x:c r="M192" s="37" t="str">
        <x:v>Trân châu</x:v>
      </x:c>
      <x:c r="N192" s="37" t="str">
        <x:v>CHƯA CÓ GIÁ LẺ</x:v>
      </x:c>
      <x:c r="O192" s="61" t="n">
        <x:v>0.466</x:v>
      </x:c>
      <x:c r="P192" s="37"/>
      <x:c r="Q192" s="30"/>
      <x:c r="R192" s="30"/>
      <x:c r="S192" s="30"/>
      <x:c r="T192" s="37"/>
      <x:c r="U192" s="59"/>
      <x:c r="V192" s="59"/>
      <x:c r="W192" s="117" t="n">
        <x:v>30000</x:v>
      </x:c>
      <x:c r="X192" s="59" t="str">
        <x:f>IFERROR(IF(OR($N192="ĐÃ GHÉP - AUTO",$N192="ĐÃ GHÉP - QUY TẮC"),IF($V192="","",IF($T192="THÙNG",$V192/$F192,$V192)),""),"")</x:f>
      </x:c>
      <x:c r="Y192" s="117" t="n">
        <x:f>IF(OR(W192="",F192=""),"",W192*F192)</x:f>
        <x:v>540000</x:v>
      </x:c>
      <x:c r="Z192" s="59" t="str">
        <x:f>IFERROR(IF(OR($N192="ĐÃ GHÉP - AUTO",$N192="ĐÃ GHÉP - QUY TẮC"),IF($V192="","",IF($T192="THÙNG",$V192,$V192*$F192)),""),"")</x:f>
      </x:c>
      <x:c r="AA192" s="28" t="n">
        <x:f>IFERROR(IF(OR($K192="",$K192=0,$Y192=""),"",($Y192-$K192)/$K192),"")</x:f>
        <x:v>0.018867924528301886</x:v>
      </x:c>
      <x:c r="AB192" s="37" t="str">
        <x:f>IFERROR(IF($N192="CẦN DUYỆT","DUYỆT MAP",IF($N192="CHƯA CÓ GIÁ LẺ","THIẾU GIÁ",IF(OR($K192="",$K192=0,$Y192=""),"OK",IF(ABS(($Y192-$K192)/$K192)&gt;0.15,"LỆCH GIÁ CŨ","OK")))),"OK")</x:f>
        <x:v>THIẾU GIÁ</x:v>
      </x:c>
      <x:c r="AC192" s="30" t="str">
        <x:v>ứng viên gần nhất=TC đường đen Duoxian 1kg; score=0.466</x:v>
      </x:c>
      <x:c r="AD192" s="37" t="str">
        <x:v>TCBN15</x:v>
      </x:c>
      <x:c r="AE192" s="38" t="str">
        <x:v>TCBN15T</x:v>
      </x:c>
      <x:c r="AF192" s="123" t="n">
        <x:v>0</x:v>
      </x:c>
      <x:c r="AG192" s="112" t="str">
        <x:v>g</x:v>
      </x:c>
      <x:c r="AH192" s="112" t="str">
        <x:v>GÓI</x:v>
      </x:c>
      <x:c r="AI192" s="112" t="str">
        <x:v>0 g / GÓI</x:v>
      </x:c>
      <x:c r="AJ192" s="120" t="n">
        <x:v>30000</x:v>
      </x:c>
      <x:c r="AK192" s="120"/>
      <x:c r="AL192" s="120" t="n">
        <x:v>30000</x:v>
      </x:c>
      <x:c r="AM192" s="112" t="str">
        <x:v>BỔ SUNG GIÁ</x:v>
      </x:c>
      <x:c r="AN192" s="126" t="n">
        <x:v>420</x:v>
      </x:c>
      <x:c r="AO192" s="126" t="n">
        <x:v>421</x:v>
      </x:c>
      <x:c r="AP192" s="113" t="str">
        <x:v>18 GÓI / THÙNG</x:v>
      </x:c>
    </x:row>
    <x:row r="193">
      <x:c r="A193" s="71" t="str">
        <x:v>TC GIA UY TRẮNG</x:v>
      </x:c>
      <x:c r="B193" s="30" t="str">
        <x:v>TC GIA UY TRẮNG - THÙNG</x:v>
      </x:c>
      <x:c r="C193" s="37" t="str">
        <x:v>TCTRGU</x:v>
      </x:c>
      <x:c r="D193" s="37" t="str">
        <x:v>TCTRGUT</x:v>
      </x:c>
      <x:c r="E193" s="37" t="str">
        <x:v>TCTRGUT</x:v>
      </x:c>
      <x:c r="F193" s="37" t="n">
        <x:v>10</x:v>
      </x:c>
      <x:c r="G193" s="37" t="n">
        <x:v>21000</x:v>
      </x:c>
      <x:c r="H193" s="37" t="str">
        <x:v>g</x:v>
      </x:c>
      <x:c r="I193" s="37" t="str">
        <x:v>THÙNG</x:v>
      </x:c>
      <x:c r="J193" s="59" t="n">
        <x:v>0</x:v>
      </x:c>
      <x:c r="K193" s="59" t="n">
        <x:v>0</x:v>
      </x:c>
      <x:c r="L193" s="59" t="n">
        <x:v>0</x:v>
      </x:c>
      <x:c r="M193" s="37" t="str">
        <x:v>Trân châu</x:v>
      </x:c>
      <x:c r="N193" s="37" t="str">
        <x:v>ĐÃ GHÉP - AUTO</x:v>
      </x:c>
      <x:c r="O193" s="61" t="n">
        <x:v>0.964</x:v>
      </x:c>
      <x:c r="P193" s="37" t="n">
        <x:v>79</x:v>
      </x:c>
      <x:c r="Q193" s="30" t="str">
        <x:v>Tc trắng Gia Uy</x:v>
      </x:c>
      <x:c r="R193" s="30" t="str">
        <x:v>Thùng 10 gói</x:v>
      </x:c>
      <x:c r="S193" s="30" t="str">
        <x:v>bịch</x:v>
      </x:c>
      <x:c r="T193" s="37" t="str">
        <x:v>ĐƠN VỊ</x:v>
      </x:c>
      <x:c r="U193" s="59" t="n">
        <x:v>59000</x:v>
      </x:c>
      <x:c r="V193" s="59"/>
      <x:c r="W193" s="117" t="n">
        <x:v>59000</x:v>
      </x:c>
      <x:c r="X193" s="59" t="str">
        <x:f>IFERROR(IF(OR($N193="ĐÃ GHÉP - AUTO",$N193="ĐÃ GHÉP - QUY TẮC"),IF($V193="","",IF($T193="THÙNG",$V193/$F193,$V193)),""),"")</x:f>
      </x:c>
      <x:c r="Y193" s="117" t="n">
        <x:f>IF(OR(W193="",F193=""),"",W193*F193)</x:f>
        <x:v>590000</x:v>
      </x:c>
      <x:c r="Z193" s="59" t="str">
        <x:f>IFERROR(IF(OR($N193="ĐÃ GHÉP - AUTO",$N193="ĐÃ GHÉP - QUY TẮC"),IF($V193="","",IF($T193="THÙNG",$V193,$V193*$F193)),""),"")</x:f>
      </x:c>
      <x:c r="AA193" s="28" t="str">
        <x:f>IFERROR(IF(OR($K193="",$K193=0,$Y193=""),"",($Y193-$K193)/$K193),"")</x:f>
      </x:c>
      <x:c r="AB193" s="37" t="str">
        <x:f>IFERROR(IF($N193="CẦN DUYỆT","DUYỆT MAP",IF($N193="CHƯA CÓ GIÁ LẺ","THIẾU GIÁ",IF(OR($K193="",$K193=0,$Y193=""),"OK",IF(ABS(($Y193-$K193)/$K193)&gt;0.15,"LỆCH GIÁ CŨ","OK")))),"OK")</x:f>
        <x:v>OK</x:v>
      </x:c>
      <x:c r="AC193" s="30" t="str">
        <x:v>score=0.964; gap=0.331</x:v>
      </x:c>
      <x:c r="AD193" s="37" t="str">
        <x:v>TCTRGU</x:v>
      </x:c>
      <x:c r="AE193" s="38" t="str">
        <x:v>TCTRGUT</x:v>
      </x:c>
      <x:c r="AF193" s="123" t="n">
        <x:v>2</x:v>
      </x:c>
      <x:c r="AG193" s="112" t="str">
        <x:v>kg</x:v>
      </x:c>
      <x:c r="AH193" s="112" t="str">
        <x:v>BỊCH</x:v>
      </x:c>
      <x:c r="AI193" s="112" t="str">
        <x:v>2 kg / BỊCH</x:v>
      </x:c>
      <x:c r="AJ193" s="120" t="n">
        <x:v>59000</x:v>
      </x:c>
      <x:c r="AK193" s="120" t="n">
        <x:v>59000</x:v>
      </x:c>
      <x:c r="AL193" s="120" t="n">
        <x:v>59000</x:v>
      </x:c>
      <x:c r="AM193" s="112" t="str">
        <x:v>GIỮ NGUYÊN - ĐÃ KHỚP</x:v>
      </x:c>
      <x:c r="AN193" s="126" t="n">
        <x:v>423</x:v>
      </x:c>
      <x:c r="AO193" s="126" t="n">
        <x:v>424</x:v>
      </x:c>
      <x:c r="AP193" s="113" t="str">
        <x:v>10 BỊCH / THÙNG</x:v>
      </x:c>
    </x:row>
    <x:row r="194">
      <x:c r="A194" s="71" t="str">
        <x:v>TC GIA UY MINI</x:v>
      </x:c>
      <x:c r="B194" s="30" t="str">
        <x:v>TC GIA UY MINI - THÙNG</x:v>
      </x:c>
      <x:c r="C194" s="37" t="str">
        <x:v>TCMNGU</x:v>
      </x:c>
      <x:c r="D194" s="37" t="str">
        <x:v>TCMNGUT</x:v>
      </x:c>
      <x:c r="E194" s="37" t="str">
        <x:v>TCMNGUT</x:v>
      </x:c>
      <x:c r="F194" s="37" t="n">
        <x:v>10</x:v>
      </x:c>
      <x:c r="G194" s="37" t="n">
        <x:v>21000</x:v>
      </x:c>
      <x:c r="H194" s="37" t="str">
        <x:v>g</x:v>
      </x:c>
      <x:c r="I194" s="37" t="str">
        <x:v>THÙNG</x:v>
      </x:c>
      <x:c r="J194" s="59" t="n">
        <x:v>0</x:v>
      </x:c>
      <x:c r="K194" s="59" t="n">
        <x:v>540000</x:v>
      </x:c>
      <x:c r="L194" s="59" t="n">
        <x:v>0</x:v>
      </x:c>
      <x:c r="M194" s="37" t="str">
        <x:v>Trân châu</x:v>
      </x:c>
      <x:c r="N194" s="37" t="str">
        <x:v>ĐÃ GHÉP - AUTO</x:v>
      </x:c>
      <x:c r="O194" s="61" t="n">
        <x:v>0.852</x:v>
      </x:c>
      <x:c r="P194" s="37" t="n">
        <x:v>77</x:v>
      </x:c>
      <x:c r="Q194" s="30" t="str">
        <x:v>Tc Cafe Gia Uy mini</x:v>
      </x:c>
      <x:c r="R194" s="30" t="str">
        <x:v>Thùng 10 gói</x:v>
      </x:c>
      <x:c r="S194" s="30" t="str">
        <x:v>bịch</x:v>
      </x:c>
      <x:c r="T194" s="37" t="str">
        <x:v>ĐƠN VỊ</x:v>
      </x:c>
      <x:c r="U194" s="59" t="n">
        <x:v>55000</x:v>
      </x:c>
      <x:c r="V194" s="59"/>
      <x:c r="W194" s="117" t="n">
        <x:v>55000</x:v>
      </x:c>
      <x:c r="X194" s="59" t="str">
        <x:f>IFERROR(IF(OR($N194="ĐÃ GHÉP - AUTO",$N194="ĐÃ GHÉP - QUY TẮC"),IF($V194="","",IF($T194="THÙNG",$V194/$F194,$V194)),""),"")</x:f>
      </x:c>
      <x:c r="Y194" s="117" t="n">
        <x:f>IF(OR(W194="",F194=""),"",W194*F194)</x:f>
        <x:v>550000</x:v>
      </x:c>
      <x:c r="Z194" s="59" t="str">
        <x:f>IFERROR(IF(OR($N194="ĐÃ GHÉP - AUTO",$N194="ĐÃ GHÉP - QUY TẮC"),IF($V194="","",IF($T194="THÙNG",$V194,$V194*$F194)),""),"")</x:f>
      </x:c>
      <x:c r="AA194" s="28" t="n">
        <x:f>IFERROR(IF(OR($K194="",$K194=0,$Y194=""),"",($Y194-$K194)/$K194),"")</x:f>
        <x:v>0.018518518518518517</x:v>
      </x:c>
      <x:c r="AB194" s="37" t="str">
        <x:f>IFERROR(IF($N194="CẦN DUYỆT","DUYỆT MAP",IF($N194="CHƯA CÓ GIÁ LẺ","THIẾU GIÁ",IF(OR($K194="",$K194=0,$Y194=""),"OK",IF(ABS(($Y194-$K194)/$K194)&gt;0.15,"LỆCH GIÁ CŨ","OK")))),"OK")</x:f>
        <x:v>OK</x:v>
      </x:c>
      <x:c r="AC194" s="30" t="str">
        <x:v>score=0.852; gap=0.188</x:v>
      </x:c>
      <x:c r="AD194" s="37" t="str">
        <x:v>TCMNGU</x:v>
      </x:c>
      <x:c r="AE194" s="38" t="str">
        <x:v>TCMNGUT</x:v>
      </x:c>
      <x:c r="AF194" s="123" t="n">
        <x:v>2</x:v>
      </x:c>
      <x:c r="AG194" s="112" t="str">
        <x:v>kg</x:v>
      </x:c>
      <x:c r="AH194" s="112" t="str">
        <x:v>BỊCH</x:v>
      </x:c>
      <x:c r="AI194" s="112" t="str">
        <x:v>2 kg / BỊCH</x:v>
      </x:c>
      <x:c r="AJ194" s="120" t="n">
        <x:v>55000</x:v>
      </x:c>
      <x:c r="AK194" s="120" t="n">
        <x:v>55000</x:v>
      </x:c>
      <x:c r="AL194" s="120" t="n">
        <x:v>55000</x:v>
      </x:c>
      <x:c r="AM194" s="112" t="str">
        <x:v>GIỮ NGUYÊN - ĐÃ KHỚP</x:v>
      </x:c>
      <x:c r="AN194" s="126" t="n">
        <x:v>425</x:v>
      </x:c>
      <x:c r="AO194" s="126" t="n">
        <x:v>426</x:v>
      </x:c>
      <x:c r="AP194" s="113" t="str">
        <x:v>10 BỊCH / THÙNG</x:v>
      </x:c>
    </x:row>
    <x:row r="195">
      <x:c r="A195" s="71" t="str">
        <x:v>TC GIA UY CAFE</x:v>
      </x:c>
      <x:c r="B195" s="30" t="str">
        <x:v>TC GIA UY CAFE - THÙNG</x:v>
      </x:c>
      <x:c r="C195" s="37" t="str">
        <x:v>TCCFGU</x:v>
      </x:c>
      <x:c r="D195" s="37" t="str">
        <x:v>TCCFGUT</x:v>
      </x:c>
      <x:c r="E195" s="37" t="str">
        <x:v>TCCFGUT</x:v>
      </x:c>
      <x:c r="F195" s="37" t="n">
        <x:v>10</x:v>
      </x:c>
      <x:c r="G195" s="37" t="n">
        <x:v>21000</x:v>
      </x:c>
      <x:c r="H195" s="37" t="str">
        <x:v>g</x:v>
      </x:c>
      <x:c r="I195" s="37" t="str">
        <x:v>THÙNG</x:v>
      </x:c>
      <x:c r="J195" s="59" t="n">
        <x:v>0</x:v>
      </x:c>
      <x:c r="K195" s="59" t="n">
        <x:v>540000</x:v>
      </x:c>
      <x:c r="L195" s="59" t="n">
        <x:v>0</x:v>
      </x:c>
      <x:c r="M195" s="37" t="str">
        <x:v>Trân châu</x:v>
      </x:c>
      <x:c r="N195" s="37" t="str">
        <x:v>ĐÃ GHÉP - AUTO</x:v>
      </x:c>
      <x:c r="O195" s="61" t="n">
        <x:v>0.994</x:v>
      </x:c>
      <x:c r="P195" s="37" t="n">
        <x:v>80</x:v>
      </x:c>
      <x:c r="Q195" s="30" t="str">
        <x:v>Tc Cafe Gia Uy</x:v>
      </x:c>
      <x:c r="R195" s="30" t="str">
        <x:v>Thùng 10 gói</x:v>
      </x:c>
      <x:c r="S195" s="30" t="str">
        <x:v>bịch</x:v>
      </x:c>
      <x:c r="T195" s="37" t="str">
        <x:v>ĐƠN VỊ</x:v>
      </x:c>
      <x:c r="U195" s="59" t="n">
        <x:v>55000</x:v>
      </x:c>
      <x:c r="V195" s="59"/>
      <x:c r="W195" s="117" t="n">
        <x:v>55000</x:v>
      </x:c>
      <x:c r="X195" s="59" t="str">
        <x:f>IFERROR(IF(OR($N195="ĐÃ GHÉP - AUTO",$N195="ĐÃ GHÉP - QUY TẮC"),IF($V195="","",IF($T195="THÙNG",$V195/$F195,$V195)),""),"")</x:f>
      </x:c>
      <x:c r="Y195" s="117" t="n">
        <x:f>IF(OR(W195="",F195=""),"",W195*F195)</x:f>
        <x:v>550000</x:v>
      </x:c>
      <x:c r="Z195" s="59" t="str">
        <x:f>IFERROR(IF(OR($N195="ĐÃ GHÉP - AUTO",$N195="ĐÃ GHÉP - QUY TẮC"),IF($V195="","",IF($T195="THÙNG",$V195,$V195*$F195)),""),"")</x:f>
      </x:c>
      <x:c r="AA195" s="28" t="n">
        <x:f>IFERROR(IF(OR($K195="",$K195=0,$Y195=""),"",($Y195-$K195)/$K195),"")</x:f>
        <x:v>0.018518518518518517</x:v>
      </x:c>
      <x:c r="AB195" s="37" t="str">
        <x:f>IFERROR(IF($N195="CẦN DUYỆT","DUYỆT MAP",IF($N195="CHƯA CÓ GIÁ LẺ","THIẾU GIÁ",IF(OR($K195="",$K195=0,$Y195=""),"OK",IF(ABS(($Y195-$K195)/$K195)&gt;0.15,"LỆCH GIÁ CŨ","OK")))),"OK")</x:f>
        <x:v>OK</x:v>
      </x:c>
      <x:c r="AC195" s="30" t="str">
        <x:v>score=0.994; gap=0.156</x:v>
      </x:c>
      <x:c r="AD195" s="37" t="str">
        <x:v>TCCFGU</x:v>
      </x:c>
      <x:c r="AE195" s="38" t="str">
        <x:v>TCCFGUT</x:v>
      </x:c>
      <x:c r="AF195" s="123" t="n">
        <x:v>2</x:v>
      </x:c>
      <x:c r="AG195" s="112" t="str">
        <x:v>kg</x:v>
      </x:c>
      <x:c r="AH195" s="112" t="str">
        <x:v>BỊCH</x:v>
      </x:c>
      <x:c r="AI195" s="112" t="str">
        <x:v>2 kg / BỊCH</x:v>
      </x:c>
      <x:c r="AJ195" s="120" t="n">
        <x:v>55000</x:v>
      </x:c>
      <x:c r="AK195" s="120" t="n">
        <x:v>55000</x:v>
      </x:c>
      <x:c r="AL195" s="120" t="n">
        <x:v>55000</x:v>
      </x:c>
      <x:c r="AM195" s="112" t="str">
        <x:v>GIỮ NGUYÊN - ĐÃ KHỚP</x:v>
      </x:c>
      <x:c r="AN195" s="126" t="n">
        <x:v>427</x:v>
      </x:c>
      <x:c r="AO195" s="126" t="n">
        <x:v>428</x:v>
      </x:c>
      <x:c r="AP195" s="113" t="str">
        <x:v>10 BỊCH / THÙNG</x:v>
      </x:c>
    </x:row>
    <x:row r="196">
      <x:c r="A196" s="71" t="str">
        <x:v>TẮC XÍ MUỘI</x:v>
      </x:c>
      <x:c r="B196" s="30" t="str">
        <x:v>TẮC XÍ MUỘI - THÙNG</x:v>
      </x:c>
      <x:c r="C196" s="37" t="str">
        <x:v>TXMUOI</x:v>
      </x:c>
      <x:c r="D196" s="37" t="str">
        <x:v>TXMUOIT</x:v>
      </x:c>
      <x:c r="E196" s="37" t="str">
        <x:v>TXMUOIT</x:v>
      </x:c>
      <x:c r="F196" s="37" t="n">
        <x:v>12</x:v>
      </x:c>
      <x:c r="G196" s="37" t="n">
        <x:v>0</x:v>
      </x:c>
      <x:c r="H196" s="37" t="str">
        <x:v>g</x:v>
      </x:c>
      <x:c r="I196" s="37" t="str">
        <x:v>THÙNG</x:v>
      </x:c>
      <x:c r="J196" s="59" t="n">
        <x:v>0</x:v>
      </x:c>
      <x:c r="K196" s="59" t="n">
        <x:v>0</x:v>
      </x:c>
      <x:c r="L196" s="59" t="n">
        <x:v>0</x:v>
      </x:c>
      <x:c r="M196" s="37" t="str">
        <x:v>Khác</x:v>
      </x:c>
      <x:c r="N196" s="37" t="str">
        <x:v>CHƯA CÓ GIÁ LẺ</x:v>
      </x:c>
      <x:c r="O196" s="61" t="n">
        <x:v>0.389</x:v>
      </x:c>
      <x:c r="P196" s="37"/>
      <x:c r="Q196" s="30"/>
      <x:c r="R196" s="30"/>
      <x:c r="S196" s="30"/>
      <x:c r="T196" s="37"/>
      <x:c r="U196" s="59"/>
      <x:c r="V196" s="59"/>
      <x:c r="W196" s="117" t="n">
        <x:v>45000</x:v>
      </x:c>
      <x:c r="X196" s="59" t="str">
        <x:f>IFERROR(IF(OR($N196="ĐÃ GHÉP - AUTO",$N196="ĐÃ GHÉP - QUY TẮC"),IF($V196="","",IF($T196="THÙNG",$V196/$F196,$V196)),""),"")</x:f>
      </x:c>
      <x:c r="Y196" s="117" t="n">
        <x:f>IF(OR(W196="",F196=""),"",W196*F196)</x:f>
        <x:v>540000</x:v>
      </x:c>
      <x:c r="Z196" s="59" t="str">
        <x:f>IFERROR(IF(OR($N196="ĐÃ GHÉP - AUTO",$N196="ĐÃ GHÉP - QUY TẮC"),IF($V196="","",IF($T196="THÙNG",$V196,$V196*$F196)),""),"")</x:f>
      </x:c>
      <x:c r="AA196" s="28" t="str">
        <x:f>IFERROR(IF(OR($K196="",$K196=0,$Y196=""),"",($Y196-$K196)/$K196),"")</x:f>
      </x:c>
      <x:c r="AB196" s="37" t="str">
        <x:f>IFERROR(IF($N196="CẦN DUYỆT","DUYỆT MAP",IF($N196="CHƯA CÓ GIÁ LẺ","THIẾU GIÁ",IF(OR($K196="",$K196=0,$Y196=""),"OK",IF(ABS(($Y196-$K196)/$K196)&gt;0.15,"LỆCH GIÁ CŨ","OK")))),"OK")</x:f>
        <x:v>THIẾU GIÁ</x:v>
      </x:c>
      <x:c r="AC196" s="30" t="str">
        <x:v>ứng viên gần nhất=Bột milkfoam muối biển; score=0.389</x:v>
      </x:c>
      <x:c r="AD196" s="37" t="str">
        <x:v>TXMUOI</x:v>
      </x:c>
      <x:c r="AE196" s="38" t="str">
        <x:v>TXMUOIT</x:v>
      </x:c>
      <x:c r="AF196" s="123" t="n">
        <x:v>0</x:v>
      </x:c>
      <x:c r="AG196" s="112" t="str">
        <x:v>g</x:v>
      </x:c>
      <x:c r="AH196" s="112" t="str">
        <x:v>HỦ</x:v>
      </x:c>
      <x:c r="AI196" s="112" t="str">
        <x:v>0 g / HỦ</x:v>
      </x:c>
      <x:c r="AJ196" s="120" t="n">
        <x:v>45000</x:v>
      </x:c>
      <x:c r="AK196" s="120"/>
      <x:c r="AL196" s="120" t="n">
        <x:v>45000</x:v>
      </x:c>
      <x:c r="AM196" s="112" t="str">
        <x:v>BỔ SUNG GIÁ</x:v>
      </x:c>
      <x:c r="AN196" s="126" t="n">
        <x:v>431</x:v>
      </x:c>
      <x:c r="AO196" s="126" t="n">
        <x:v>432</x:v>
      </x:c>
      <x:c r="AP196" s="113" t="str">
        <x:v>12 HỦ / THÙNG</x:v>
      </x:c>
    </x:row>
    <x:row r="197">
      <x:c r="A197" s="71" t="str">
        <x:v>GTP TÁO</x:v>
      </x:c>
      <x:c r="B197" s="30" t="str">
        <x:v>GTP TÁO  - THÙNG</x:v>
      </x:c>
      <x:c r="C197" s="37" t="str">
        <x:v>GTPTAO</x:v>
      </x:c>
      <x:c r="D197" s="37" t="str">
        <x:v>GTPTAOT</x:v>
      </x:c>
      <x:c r="E197" s="37" t="str">
        <x:v>GTPTAOT</x:v>
      </x:c>
      <x:c r="F197" s="37" t="n">
        <x:v>6</x:v>
      </x:c>
      <x:c r="G197" s="37" t="n">
        <x:v>16000</x:v>
      </x:c>
      <x:c r="H197" s="37" t="str">
        <x:v>g</x:v>
      </x:c>
      <x:c r="I197" s="37" t="str">
        <x:v>THÙNG</x:v>
      </x:c>
      <x:c r="J197" s="59" t="n">
        <x:v>0</x:v>
      </x:c>
      <x:c r="K197" s="59" t="n">
        <x:v>834000</x:v>
      </x:c>
      <x:c r="L197" s="59" t="n">
        <x:v>0</x:v>
      </x:c>
      <x:c r="M197" s="37" t="str">
        <x:v>Siro</x:v>
      </x:c>
      <x:c r="N197" s="37" t="str">
        <x:v>ĐÃ GHÉP - AUTO</x:v>
      </x:c>
      <x:c r="O197" s="61" t="n">
        <x:v>0.902</x:v>
      </x:c>
      <x:c r="P197" s="37" t="n">
        <x:v>10</x:v>
      </x:c>
      <x:c r="Q197" s="30" t="str">
        <x:v>Siro GTP</x:v>
      </x:c>
      <x:c r="R197" s="30" t="str">
        <x:v>Thùng 6 bình</x:v>
      </x:c>
      <x:c r="S197" s="30" t="str">
        <x:v>Chai</x:v>
      </x:c>
      <x:c r="T197" s="37" t="str">
        <x:v>ĐƠN VỊ</x:v>
      </x:c>
      <x:c r="U197" s="59" t="n">
        <x:v>140000</x:v>
      </x:c>
      <x:c r="V197" s="59"/>
      <x:c r="W197" s="117" t="n">
        <x:v>142000</x:v>
      </x:c>
      <x:c r="X197" s="59" t="str">
        <x:f>IFERROR(IF(OR($N197="ĐÃ GHÉP - AUTO",$N197="ĐÃ GHÉP - QUY TẮC"),IF($V197="","",IF($T197="THÙNG",$V197/$F197,$V197)),""),"")</x:f>
      </x:c>
      <x:c r="Y197" s="117" t="n">
        <x:f>IF(OR(W197="",F197=""),"",W197*F197)</x:f>
        <x:v>852000</x:v>
      </x:c>
      <x:c r="Z197" s="59" t="str">
        <x:f>IFERROR(IF(OR($N197="ĐÃ GHÉP - AUTO",$N197="ĐÃ GHÉP - QUY TẮC"),IF($V197="","",IF($T197="THÙNG",$V197,$V197*$F197)),""),"")</x:f>
      </x:c>
      <x:c r="AA197" s="28" t="n">
        <x:f>IFERROR(IF(OR($K197="",$K197=0,$Y197=""),"",($Y197-$K197)/$K197),"")</x:f>
        <x:v>0.02158273381294964</x:v>
      </x:c>
      <x:c r="AB197" s="37" t="str">
        <x:f>IFERROR(IF($N197="CẦN DUYỆT","DUYỆT MAP",IF($N197="CHƯA CÓ GIÁ LẺ","THIẾU GIÁ",IF(OR($K197="",$K197=0,$Y197=""),"OK",IF(ABS(($Y197-$K197)/$K197)&gt;0.15,"LỆCH GIÁ CŨ","OK")))),"OK")</x:f>
        <x:v>OK</x:v>
      </x:c>
      <x:c r="AC197" s="30" t="str">
        <x:v>score=0.902; gap=0.425</x:v>
      </x:c>
      <x:c r="AD197" s="37" t="str">
        <x:v>GTPTAO</x:v>
      </x:c>
      <x:c r="AE197" s="38" t="str">
        <x:v>GTPTAOT</x:v>
      </x:c>
      <x:c r="AF197" s="123" t="n">
        <x:v>2550</x:v>
      </x:c>
      <x:c r="AG197" s="112" t="str">
        <x:v>g</x:v>
      </x:c>
      <x:c r="AH197" s="112" t="str">
        <x:v>BÌNH</x:v>
      </x:c>
      <x:c r="AI197" s="112" t="str">
        <x:v>2550 g / BÌNH</x:v>
      </x:c>
      <x:c r="AJ197" s="120" t="n">
        <x:v>142000</x:v>
      </x:c>
      <x:c r="AK197" s="120" t="n">
        <x:v>140000</x:v>
      </x:c>
      <x:c r="AL197" s="120" t="n">
        <x:v>142000</x:v>
      </x:c>
      <x:c r="AM197" s="112" t="str">
        <x:v>CẬP NHẬT GIÁ</x:v>
      </x:c>
      <x:c r="AN197" s="126" t="n">
        <x:v>433</x:v>
      </x:c>
      <x:c r="AO197" s="126" t="n">
        <x:v>434</x:v>
      </x:c>
      <x:c r="AP197" s="113" t="str">
        <x:v>6 BÌNH / THÙNG</x:v>
      </x:c>
    </x:row>
    <x:row r="198">
      <x:c r="A198" s="71" t="str">
        <x:v>SƯƠNG SÁO TRẮNG TP</x:v>
      </x:c>
      <x:c r="B198" s="30" t="str">
        <x:v>SƯƠNG SÁO TRẮNG TP - THÙNG</x:v>
      </x:c>
      <x:c r="C198" s="37" t="str">
        <x:v>SSTRTP</x:v>
      </x:c>
      <x:c r="D198" s="37" t="str">
        <x:v>SSTRTPT</x:v>
      </x:c>
      <x:c r="E198" s="37" t="str">
        <x:v>SSTRTPT</x:v>
      </x:c>
      <x:c r="F198" s="37" t="n">
        <x:v>100</x:v>
      </x:c>
      <x:c r="G198" s="37" t="n">
        <x:v>2</x:v>
      </x:c>
      <x:c r="H198" s="37" t="str">
        <x:v>kg</x:v>
      </x:c>
      <x:c r="I198" s="37" t="str">
        <x:v>THÙNG</x:v>
      </x:c>
      <x:c r="J198" s="59" t="n">
        <x:v>1480000</x:v>
      </x:c>
      <x:c r="K198" s="59" t="n">
        <x:v>0</x:v>
      </x:c>
      <x:c r="L198" s="59" t="n">
        <x:v>0</x:v>
      </x:c>
      <x:c r="M198" s="37" t="str">
        <x:v>Khác</x:v>
      </x:c>
      <x:c r="N198" s="37" t="str">
        <x:v>ĐÃ GHÉP - QUY TẮC</x:v>
      </x:c>
      <x:c r="O198" s="61" t="n">
        <x:v>0.99</x:v>
      </x:c>
      <x:c r="P198" s="37" t="n">
        <x:v>212</x:v>
      </x:c>
      <x:c r="Q198" s="30" t="str">
        <x:v>Sương Sáo trắng/đen</x:v>
      </x:c>
      <x:c r="R198" s="30" t="str">
        <x:v>Thùng 100 gói</x:v>
      </x:c>
      <x:c r="S198" s="30" t="str">
        <x:v>gói</x:v>
      </x:c>
      <x:c r="T198" s="37" t="str">
        <x:v>ĐƠN VỊ</x:v>
      </x:c>
      <x:c r="U198" s="59" t="n">
        <x:v>16000</x:v>
      </x:c>
      <x:c r="V198" s="59"/>
      <x:c r="W198" s="117" t="n">
        <x:v>16000</x:v>
      </x:c>
      <x:c r="X198" s="59" t="str">
        <x:f>IFERROR(IF(OR($N198="ĐÃ GHÉP - AUTO",$N198="ĐÃ GHÉP - QUY TẮC"),IF($V198="","",IF($T198="THÙNG",$V198/$F198,$V198)),""),"")</x:f>
      </x:c>
      <x:c r="Y198" s="117" t="n">
        <x:f>IF(OR(W198="",F198=""),"",W198*F198)</x:f>
        <x:v>1600000</x:v>
      </x:c>
      <x:c r="Z198" s="59" t="str">
        <x:f>IFERROR(IF(OR($N198="ĐÃ GHÉP - AUTO",$N198="ĐÃ GHÉP - QUY TẮC"),IF($V198="","",IF($T198="THÙNG",$V198,$V198*$F198)),""),"")</x:f>
      </x:c>
      <x:c r="AA198" s="28" t="str">
        <x:f>IFERROR(IF(OR($K198="",$K198=0,$Y198=""),"",($Y198-$K198)/$K198),"")</x:f>
      </x:c>
      <x:c r="AB198" s="37" t="str">
        <x:f>IFERROR(IF($N198="CẦN DUYỆT","DUYỆT MAP",IF($N198="CHƯA CÓ GIÁ LẺ","THIẾU GIÁ",IF(OR($K198="",$K198=0,$Y198=""),"OK",IF(ABS(($Y198-$K198)/$K198)&gt;0.15,"LỆCH GIÁ CŨ","OK")))),"OK")</x:f>
        <x:v>OK</x:v>
      </x:c>
      <x:c r="AC198" s="30" t="str">
        <x:v>Giá chung sương sáo trắng/đen</x:v>
      </x:c>
      <x:c r="AD198" s="37" t="str">
        <x:v>SSTRTP</x:v>
      </x:c>
      <x:c r="AE198" s="38" t="str">
        <x:v>SSTRTPT</x:v>
      </x:c>
      <x:c r="AF198" s="123" t="n">
        <x:v>0</x:v>
      </x:c>
      <x:c r="AG198" s="112" t="str">
        <x:v>g</x:v>
      </x:c>
      <x:c r="AH198" s="112" t="str">
        <x:v>GÓI</x:v>
      </x:c>
      <x:c r="AI198" s="112" t="str">
        <x:v>0 g / GÓI</x:v>
      </x:c>
      <x:c r="AJ198" s="120" t="n">
        <x:v>16000</x:v>
      </x:c>
      <x:c r="AK198" s="120" t="n">
        <x:v>16000</x:v>
      </x:c>
      <x:c r="AL198" s="120" t="n">
        <x:v>16000</x:v>
      </x:c>
      <x:c r="AM198" s="112" t="str">
        <x:v>GIỮ NGUYÊN - ĐÃ KHỚP</x:v>
      </x:c>
      <x:c r="AN198" s="126" t="n">
        <x:v>435</x:v>
      </x:c>
      <x:c r="AO198" s="126" t="n">
        <x:v>436</x:v>
      </x:c>
      <x:c r="AP198" s="113" t="str">
        <x:v>100 GÓI / THÙNG</x:v>
      </x:c>
    </x:row>
    <x:row r="199">
      <x:c r="A199" s="71" t="str">
        <x:v>SƯƠNG SÁO MOTA</x:v>
      </x:c>
      <x:c r="B199" s="30" t="str">
        <x:v>SƯƠNG SÁO MOTA - THÙNG</x:v>
      </x:c>
      <x:c r="C199" s="37" t="str">
        <x:v>SSMOTA</x:v>
      </x:c>
      <x:c r="D199" s="37" t="str">
        <x:v>SSMOTAT</x:v>
      </x:c>
      <x:c r="E199" s="37" t="str">
        <x:v>SSMOTAT</x:v>
      </x:c>
      <x:c r="F199" s="37" t="n">
        <x:v>100</x:v>
      </x:c>
      <x:c r="G199" s="37" t="n">
        <x:v>2</x:v>
      </x:c>
      <x:c r="H199" s="37" t="str">
        <x:v>kg</x:v>
      </x:c>
      <x:c r="I199" s="37" t="str">
        <x:v>THÙNG</x:v>
      </x:c>
      <x:c r="J199" s="59" t="n">
        <x:v>0</x:v>
      </x:c>
      <x:c r="K199" s="59" t="n">
        <x:v>0</x:v>
      </x:c>
      <x:c r="L199" s="59" t="n">
        <x:v>0</x:v>
      </x:c>
      <x:c r="M199" s="37" t="str">
        <x:v>Khác</x:v>
      </x:c>
      <x:c r="N199" s="37" t="str">
        <x:v>ĐÃ GHÉP - QUY TẮC</x:v>
      </x:c>
      <x:c r="O199" s="61" t="n">
        <x:v>0.99</x:v>
      </x:c>
      <x:c r="P199" s="37" t="n">
        <x:v>213</x:v>
      </x:c>
      <x:c r="Q199" s="30" t="str">
        <x:v>Sương sáo đen mota</x:v>
      </x:c>
      <x:c r="R199" s="30" t="str">
        <x:v>Thùng 100 gói</x:v>
      </x:c>
      <x:c r="S199" s="30" t="str">
        <x:v>gói</x:v>
      </x:c>
      <x:c r="T199" s="37" t="str">
        <x:v>ĐƠN VỊ</x:v>
      </x:c>
      <x:c r="U199" s="59" t="n">
        <x:v>13000</x:v>
      </x:c>
      <x:c r="V199" s="59"/>
      <x:c r="W199" s="117" t="n">
        <x:v>13000</x:v>
      </x:c>
      <x:c r="X199" s="59" t="str">
        <x:f>IFERROR(IF(OR($N199="ĐÃ GHÉP - AUTO",$N199="ĐÃ GHÉP - QUY TẮC"),IF($V199="","",IF($T199="THÙNG",$V199/$F199,$V199)),""),"")</x:f>
      </x:c>
      <x:c r="Y199" s="117" t="n">
        <x:f>IF(OR(W199="",F199=""),"",W199*F199)</x:f>
        <x:v>1300000</x:v>
      </x:c>
      <x:c r="Z199" s="59" t="str">
        <x:f>IFERROR(IF(OR($N199="ĐÃ GHÉP - AUTO",$N199="ĐÃ GHÉP - QUY TẮC"),IF($V199="","",IF($T199="THÙNG",$V199,$V199*$F199)),""),"")</x:f>
      </x:c>
      <x:c r="AA199" s="28" t="str">
        <x:f>IFERROR(IF(OR($K199="",$K199=0,$Y199=""),"",($Y199-$K199)/$K199),"")</x:f>
      </x:c>
      <x:c r="AB199" s="37" t="str">
        <x:f>IFERROR(IF($N199="CẦN DUYỆT","DUYỆT MAP",IF($N199="CHƯA CÓ GIÁ LẺ","THIẾU GIÁ",IF(OR($K199="",$K199=0,$Y199=""),"OK",IF(ABS(($Y199-$K199)/$K199)&gt;0.15,"LỆCH GIÁ CŨ","OK")))),"OK")</x:f>
        <x:v>OK</x:v>
      </x:c>
      <x:c r="AC199" s="30" t="str">
        <x:v>Sương sáo Mota</x:v>
      </x:c>
      <x:c r="AD199" s="37" t="str">
        <x:v>SSMOTA</x:v>
      </x:c>
      <x:c r="AE199" s="38" t="str">
        <x:v>SSMOTAT</x:v>
      </x:c>
      <x:c r="AF199" s="123" t="n">
        <x:v>60</x:v>
      </x:c>
      <x:c r="AG199" s="112" t="str">
        <x:v>g</x:v>
      </x:c>
      <x:c r="AH199" s="112" t="str">
        <x:v>GÓI</x:v>
      </x:c>
      <x:c r="AI199" s="112" t="str">
        <x:v>60 g / GÓI</x:v>
      </x:c>
      <x:c r="AJ199" s="120" t="n">
        <x:v>13000</x:v>
      </x:c>
      <x:c r="AK199" s="120" t="n">
        <x:v>13000</x:v>
      </x:c>
      <x:c r="AL199" s="120" t="n">
        <x:v>13000</x:v>
      </x:c>
      <x:c r="AM199" s="112" t="str">
        <x:v>GIỮ NGUYÊN - ĐÃ KHỚP</x:v>
      </x:c>
      <x:c r="AN199" s="126" t="n">
        <x:v>437</x:v>
      </x:c>
      <x:c r="AO199" s="126" t="n">
        <x:v>438</x:v>
      </x:c>
      <x:c r="AP199" s="113" t="str">
        <x:v>100 GÓI / THÙNG</x:v>
      </x:c>
    </x:row>
    <x:row r="200">
      <x:c r="A200" s="71" t="str">
        <x:v>SƯƠNG SÁO ĐEN TP</x:v>
      </x:c>
      <x:c r="B200" s="30" t="str">
        <x:v>SƯƠNG SÁO ĐEN TP - THÙNG</x:v>
      </x:c>
      <x:c r="C200" s="37" t="str">
        <x:v>SSDETP</x:v>
      </x:c>
      <x:c r="D200" s="37" t="str">
        <x:v>SSDETPT</x:v>
      </x:c>
      <x:c r="E200" s="37" t="str">
        <x:v>SSDETPT</x:v>
      </x:c>
      <x:c r="F200" s="37" t="n">
        <x:v>100</x:v>
      </x:c>
      <x:c r="G200" s="37" t="n">
        <x:v>0</x:v>
      </x:c>
      <x:c r="H200" s="37" t="str">
        <x:v>g</x:v>
      </x:c>
      <x:c r="I200" s="37" t="str">
        <x:v>THÙNG</x:v>
      </x:c>
      <x:c r="J200" s="59" t="n">
        <x:v>1480000</x:v>
      </x:c>
      <x:c r="K200" s="59" t="n">
        <x:v>0</x:v>
      </x:c>
      <x:c r="L200" s="59" t="n">
        <x:v>0</x:v>
      </x:c>
      <x:c r="M200" s="37" t="str">
        <x:v>Khác</x:v>
      </x:c>
      <x:c r="N200" s="37" t="str">
        <x:v>ĐÃ GHÉP - QUY TẮC</x:v>
      </x:c>
      <x:c r="O200" s="61" t="n">
        <x:v>0.99</x:v>
      </x:c>
      <x:c r="P200" s="37" t="n">
        <x:v>212</x:v>
      </x:c>
      <x:c r="Q200" s="30" t="str">
        <x:v>Sương Sáo trắng/đen</x:v>
      </x:c>
      <x:c r="R200" s="30" t="str">
        <x:v>Thùng 100 gói</x:v>
      </x:c>
      <x:c r="S200" s="30" t="str">
        <x:v>gói</x:v>
      </x:c>
      <x:c r="T200" s="37" t="str">
        <x:v>ĐƠN VỊ</x:v>
      </x:c>
      <x:c r="U200" s="59" t="n">
        <x:v>16000</x:v>
      </x:c>
      <x:c r="V200" s="59"/>
      <x:c r="W200" s="117" t="n">
        <x:v>16000</x:v>
      </x:c>
      <x:c r="X200" s="59" t="str">
        <x:f>IFERROR(IF(OR($N200="ĐÃ GHÉP - AUTO",$N200="ĐÃ GHÉP - QUY TẮC"),IF($V200="","",IF($T200="THÙNG",$V200/$F200,$V200)),""),"")</x:f>
      </x:c>
      <x:c r="Y200" s="117" t="n">
        <x:f>IF(OR(W200="",F200=""),"",W200*F200)</x:f>
        <x:v>1600000</x:v>
      </x:c>
      <x:c r="Z200" s="59" t="str">
        <x:f>IFERROR(IF(OR($N200="ĐÃ GHÉP - AUTO",$N200="ĐÃ GHÉP - QUY TẮC"),IF($V200="","",IF($T200="THÙNG",$V200,$V200*$F200)),""),"")</x:f>
      </x:c>
      <x:c r="AA200" s="28" t="str">
        <x:f>IFERROR(IF(OR($K200="",$K200=0,$Y200=""),"",($Y200-$K200)/$K200),"")</x:f>
      </x:c>
      <x:c r="AB200" s="37" t="str">
        <x:f>IFERROR(IF($N200="CẦN DUYỆT","DUYỆT MAP",IF($N200="CHƯA CÓ GIÁ LẺ","THIẾU GIÁ",IF(OR($K200="",$K200=0,$Y200=""),"OK",IF(ABS(($Y200-$K200)/$K200)&gt;0.15,"LỆCH GIÁ CŨ","OK")))),"OK")</x:f>
        <x:v>OK</x:v>
      </x:c>
      <x:c r="AC200" s="30" t="str">
        <x:v>Giá chung sương sáo trắng/đen</x:v>
      </x:c>
      <x:c r="AD200" s="37" t="str">
        <x:v>SSDETP</x:v>
      </x:c>
      <x:c r="AE200" s="38" t="str">
        <x:v>SSDETPT</x:v>
      </x:c>
      <x:c r="AF200" s="123" t="n">
        <x:v>0</x:v>
      </x:c>
      <x:c r="AG200" s="112" t="str">
        <x:v>g</x:v>
      </x:c>
      <x:c r="AH200" s="112" t="str">
        <x:v>GÓI</x:v>
      </x:c>
      <x:c r="AI200" s="112" t="str">
        <x:v>0 g / GÓI</x:v>
      </x:c>
      <x:c r="AJ200" s="120" t="n">
        <x:v>16000</x:v>
      </x:c>
      <x:c r="AK200" s="120" t="n">
        <x:v>16000</x:v>
      </x:c>
      <x:c r="AL200" s="120" t="n">
        <x:v>16000</x:v>
      </x:c>
      <x:c r="AM200" s="112" t="str">
        <x:v>GIỮ NGUYÊN - ĐÃ KHỚP</x:v>
      </x:c>
      <x:c r="AN200" s="126" t="n">
        <x:v>439</x:v>
      </x:c>
      <x:c r="AO200" s="126" t="n">
        <x:v>440</x:v>
      </x:c>
      <x:c r="AP200" s="113" t="str">
        <x:v>100 GÓI / THÙNG</x:v>
      </x:c>
    </x:row>
    <x:row r="201">
      <x:c r="A201" s="71" t="str">
        <x:v>SỮA THÁI HOA HỒNG</x:v>
      </x:c>
      <x:c r="B201" s="30" t="str">
        <x:v>SỮA THÁI HOA HỒNG - THÙNG</x:v>
      </x:c>
      <x:c r="C201" s="37" t="str">
        <x:v>STHHH</x:v>
      </x:c>
      <x:c r="D201" s="37" t="str">
        <x:v>STHHHT</x:v>
      </x:c>
      <x:c r="E201" s="37" t="str">
        <x:v>STHHHT</x:v>
      </x:c>
      <x:c r="F201" s="37" t="n">
        <x:v>48</x:v>
      </x:c>
      <x:c r="G201" s="37" t="n">
        <x:v>28</x:v>
      </x:c>
      <x:c r="H201" s="37" t="str">
        <x:v>kg</x:v>
      </x:c>
      <x:c r="I201" s="37" t="str">
        <x:v>THÙNG</x:v>
      </x:c>
      <x:c r="J201" s="59" t="n">
        <x:v>0</x:v>
      </x:c>
      <x:c r="K201" s="59" t="n">
        <x:v>1010000</x:v>
      </x:c>
      <x:c r="L201" s="59" t="n">
        <x:v>0</x:v>
      </x:c>
      <x:c r="M201" s="37" t="str">
        <x:v>Khác</x:v>
      </x:c>
      <x:c r="N201" s="37" t="str">
        <x:v>CẦN DUYỆT</x:v>
      </x:c>
      <x:c r="O201" s="61" t="n">
        <x:v>0.751</x:v>
      </x:c>
      <x:c r="P201" s="37" t="n">
        <x:v>142</x:v>
      </x:c>
      <x:c r="Q201" s="30" t="str">
        <x:v>Bot Sữa Thái</x:v>
      </x:c>
      <x:c r="R201" s="30" t="str">
        <x:v>bao</x:v>
      </x:c>
      <x:c r="S201" s="30" t="str">
        <x:v>bao 25k</x:v>
      </x:c>
      <x:c r="T201" s="37" t="str">
        <x:v>ĐƠN VỊ</x:v>
      </x:c>
      <x:c r="U201" s="59" t="n">
        <x:v>1540000</x:v>
      </x:c>
      <x:c r="V201" s="59"/>
      <x:c r="W201" s="117" t="n">
        <x:v>22000</x:v>
      </x:c>
      <x:c r="X201" s="59" t="str">
        <x:f>IFERROR(IF(OR($N201="ĐÃ GHÉP - AUTO",$N201="ĐÃ GHÉP - QUY TẮC"),IF($V201="","",IF($T201="THÙNG",$V201/$F201,$V201)),""),"")</x:f>
      </x:c>
      <x:c r="Y201" s="117" t="n">
        <x:f>IF(OR(W201="",F201=""),"",W201*F201)</x:f>
        <x:v>1056000</x:v>
      </x:c>
      <x:c r="Z201" s="59" t="str">
        <x:f>IFERROR(IF(OR($N201="ĐÃ GHÉP - AUTO",$N201="ĐÃ GHÉP - QUY TẮC"),IF($V201="","",IF($T201="THÙNG",$V201,$V201*$F201)),""),"")</x:f>
      </x:c>
      <x:c r="AA201" s="28" t="n">
        <x:f>IFERROR(IF(OR($K201="",$K201=0,$Y201=""),"",($Y201-$K201)/$K201),"")</x:f>
        <x:v>0.04554455445544554</x:v>
      </x:c>
      <x:c r="AB201" s="37" t="str">
        <x:f>IFERROR(IF($N201="CẦN DUYỆT","DUYỆT MAP",IF($N201="CHƯA CÓ GIÁ LẺ","THIẾU GIÁ",IF(OR($K201="",$K201=0,$Y201=""),"OK",IF(ABS(($Y201-$K201)/$K201)&gt;0.15,"LỆCH GIÁ CŨ","OK")))),"OK")</x:f>
        <x:v>DUYỆT MAP</x:v>
      </x:c>
      <x:c r="AC201" s="30" t="str">
        <x:v>score=0.751; gap=0.357; phương án 2=Đào lon Thái</x:v>
      </x:c>
      <x:c r="AD201" s="37" t="str">
        <x:v>STHHH</x:v>
      </x:c>
      <x:c r="AE201" s="38" t="str">
        <x:v>STHHHT</x:v>
      </x:c>
      <x:c r="AF201" s="123" t="n">
        <x:v>0.6</x:v>
      </x:c>
      <x:c r="AG201" s="112" t="str">
        <x:v>kg</x:v>
      </x:c>
      <x:c r="AH201" s="112" t="str">
        <x:v>LON</x:v>
      </x:c>
      <x:c r="AI201" s="112" t="str">
        <x:v>0.6 kg / LON</x:v>
      </x:c>
      <x:c r="AJ201" s="120" t="n">
        <x:v>22000</x:v>
      </x:c>
      <x:c r="AK201" s="120"/>
      <x:c r="AL201" s="120" t="n">
        <x:v>22000</x:v>
      </x:c>
      <x:c r="AM201" s="112" t="str">
        <x:v>BỔ SUNG GIÁ</x:v>
      </x:c>
      <x:c r="AN201" s="126" t="n">
        <x:v>443</x:v>
      </x:c>
      <x:c r="AO201" s="126" t="n">
        <x:v>444</x:v>
      </x:c>
      <x:c r="AP201" s="113" t="str">
        <x:v>48 LON / THÙNG</x:v>
      </x:c>
    </x:row>
    <x:row r="202">
      <x:c r="A202" s="71" t="str">
        <x:v>SỮA TƯƠI BA LAN</x:v>
      </x:c>
      <x:c r="B202" s="30" t="str">
        <x:v>SỮA TƯƠI BA LAN - THÙNG</x:v>
      </x:c>
      <x:c r="C202" s="37" t="str">
        <x:v>SBALAN</x:v>
      </x:c>
      <x:c r="D202" s="37" t="str">
        <x:v>SBALANT</x:v>
      </x:c>
      <x:c r="E202" s="37" t="str">
        <x:v>SBALANT</x:v>
      </x:c>
      <x:c r="F202" s="37" t="n">
        <x:v>12</x:v>
      </x:c>
      <x:c r="G202" s="37" t="n">
        <x:v>13000</x:v>
      </x:c>
      <x:c r="H202" s="37" t="str">
        <x:v>g</x:v>
      </x:c>
      <x:c r="I202" s="37" t="str">
        <x:v>THÙNG</x:v>
      </x:c>
      <x:c r="J202" s="59" t="n">
        <x:v>0</x:v>
      </x:c>
      <x:c r="K202" s="59" t="n">
        <x:v>340000</x:v>
      </x:c>
      <x:c r="L202" s="59" t="n">
        <x:v>0</x:v>
      </x:c>
      <x:c r="M202" s="37" t="str">
        <x:v>Khác</x:v>
      </x:c>
      <x:c r="N202" s="37" t="str">
        <x:v>ĐÃ GHÉP - QUY TẮC</x:v>
      </x:c>
      <x:c r="O202" s="61" t="n">
        <x:v>0.99</x:v>
      </x:c>
      <x:c r="P202" s="37" t="n">
        <x:v>147</x:v>
      </x:c>
      <x:c r="Q202" s="30" t="str">
        <x:v>Sữa tươi Blan</x:v>
      </x:c>
      <x:c r="R202" s="30" t="str">
        <x:v>Thùng 12 hộp</x:v>
      </x:c>
      <x:c r="S202" s="30" t="str">
        <x:v>hộp</x:v>
      </x:c>
      <x:c r="T202" s="37" t="str">
        <x:v>ĐƠN VỊ</x:v>
      </x:c>
      <x:c r="U202" s="59" t="n">
        <x:v>30000</x:v>
      </x:c>
      <x:c r="V202" s="59" t="n">
        <x:v>29000</x:v>
      </x:c>
      <x:c r="W202" s="117" t="n">
        <x:v>30000</x:v>
      </x:c>
      <x:c r="X202" s="59" t="n">
        <x:f>IFERROR(IF(OR($N202="ĐÃ GHÉP - AUTO",$N202="ĐÃ GHÉP - QUY TẮC"),IF($V202="","",IF($T202="THÙNG",$V202/$F202,$V202)),""),"")</x:f>
        <x:v>29000</x:v>
      </x:c>
      <x:c r="Y202" s="117" t="n">
        <x:f>IF(OR(W202="",F202=""),"",W202*F202)</x:f>
        <x:v>360000</x:v>
      </x:c>
      <x:c r="Z202" s="59" t="n">
        <x:f>IFERROR(IF(OR($N202="ĐÃ GHÉP - AUTO",$N202="ĐÃ GHÉP - QUY TẮC"),IF($V202="","",IF($T202="THÙNG",$V202,$V202*$F202)),""),"")</x:f>
        <x:v>348000</x:v>
      </x:c>
      <x:c r="AA202" s="28" t="n">
        <x:f>IFERROR(IF(OR($K202="",$K202=0,$Y202=""),"",($Y202-$K202)/$K202),"")</x:f>
        <x:v>0.058823529411764705</x:v>
      </x:c>
      <x:c r="AB202" s="37" t="str">
        <x:f>IFERROR(IF($N202="CẦN DUYỆT","DUYỆT MAP",IF($N202="CHƯA CÓ GIÁ LẺ","THIẾU GIÁ",IF(OR($K202="",$K202=0,$Y202=""),"OK",IF(ABS(($Y202-$K202)/$K202)&gt;0.15,"LỆCH GIÁ CŨ","OK")))),"OK")</x:f>
        <x:v>OK</x:v>
      </x:c>
      <x:c r="AC202" s="30" t="str">
        <x:v>BLAN/Ba Lan; giá cũ gần khớp</x:v>
      </x:c>
      <x:c r="AD202" s="37" t="str">
        <x:v>SBALAN</x:v>
      </x:c>
      <x:c r="AE202" s="38" t="str">
        <x:v>SBALANT</x:v>
      </x:c>
      <x:c r="AF202" s="123" t="n">
        <x:v>1100</x:v>
      </x:c>
      <x:c r="AG202" s="112" t="str">
        <x:v>g</x:v>
      </x:c>
      <x:c r="AH202" s="112" t="str">
        <x:v>HỘP</x:v>
      </x:c>
      <x:c r="AI202" s="112" t="str">
        <x:v>1100 g / HỘP</x:v>
      </x:c>
      <x:c r="AJ202" s="120" t="n">
        <x:v>30000</x:v>
      </x:c>
      <x:c r="AK202" s="120" t="n">
        <x:v>30000</x:v>
      </x:c>
      <x:c r="AL202" s="120" t="n">
        <x:v>30000</x:v>
      </x:c>
      <x:c r="AM202" s="112" t="str">
        <x:v>GIỮ NGUYÊN - ĐÃ KHỚP</x:v>
      </x:c>
      <x:c r="AN202" s="126" t="n">
        <x:v>446</x:v>
      </x:c>
      <x:c r="AO202" s="126" t="n">
        <x:v>447</x:v>
      </x:c>
      <x:c r="AP202" s="113" t="str">
        <x:v>12 HỘP / THÙNG</x:v>
      </x:c>
    </x:row>
    <x:row r="203">
      <x:c r="A203" s="71" t="str">
        <x:v>SỮA RICH</x:v>
      </x:c>
      <x:c r="B203" s="30" t="str">
        <x:v>SỮA RICH - THÙNG</x:v>
      </x:c>
      <x:c r="C203" s="37" t="str">
        <x:v>RICHLN</x:v>
      </x:c>
      <x:c r="D203" s="37" t="str">
        <x:v>RICHLNT</x:v>
      </x:c>
      <x:c r="E203" s="37" t="str">
        <x:v>RICHLNT</x:v>
      </x:c>
      <x:c r="F203" s="37" t="n">
        <x:v>24</x:v>
      </x:c>
      <x:c r="G203" s="37" t="n">
        <x:v>13000</x:v>
      </x:c>
      <x:c r="H203" s="37" t="str">
        <x:v>g</x:v>
      </x:c>
      <x:c r="I203" s="37" t="str">
        <x:v>THÙNG</x:v>
      </x:c>
      <x:c r="J203" s="59" t="n">
        <x:v>700000</x:v>
      </x:c>
      <x:c r="K203" s="59" t="n">
        <x:v>720000</x:v>
      </x:c>
      <x:c r="L203" s="59" t="n">
        <x:v>0</x:v>
      </x:c>
      <x:c r="M203" s="37" t="str">
        <x:v>Khác</x:v>
      </x:c>
      <x:c r="N203" s="37" t="str">
        <x:v>CHƯA CÓ GIÁ LẺ</x:v>
      </x:c>
      <x:c r="O203" s="61" t="n">
        <x:v>0.619</x:v>
      </x:c>
      <x:c r="P203" s="37"/>
      <x:c r="Q203" s="30"/>
      <x:c r="R203" s="30"/>
      <x:c r="S203" s="30"/>
      <x:c r="T203" s="37"/>
      <x:c r="U203" s="59"/>
      <x:c r="V203" s="59"/>
      <x:c r="W203" s="117" t="n">
        <x:v>32000</x:v>
      </x:c>
      <x:c r="X203" s="59" t="str">
        <x:f>IFERROR(IF(OR($N203="ĐÃ GHÉP - AUTO",$N203="ĐÃ GHÉP - QUY TẮC"),IF($V203="","",IF($T203="THÙNG",$V203/$F203,$V203)),""),"")</x:f>
      </x:c>
      <x:c r="Y203" s="117" t="n">
        <x:f>IF(OR(W203="",F203=""),"",W203*F203)</x:f>
        <x:v>768000</x:v>
      </x:c>
      <x:c r="Z203" s="59" t="str">
        <x:f>IFERROR(IF(OR($N203="ĐÃ GHÉP - AUTO",$N203="ĐÃ GHÉP - QUY TẮC"),IF($V203="","",IF($T203="THÙNG",$V203,$V203*$F203)),""),"")</x:f>
      </x:c>
      <x:c r="AA203" s="28" t="n">
        <x:f>IFERROR(IF(OR($K203="",$K203=0,$Y203=""),"",($Y203-$K203)/$K203),"")</x:f>
        <x:v>0.06666666666666667</x:v>
      </x:c>
      <x:c r="AB203" s="37" t="str">
        <x:f>IFERROR(IF($N203="CẦN DUYỆT","DUYỆT MAP",IF($N203="CHƯA CÓ GIÁ LẺ","THIẾU GIÁ",IF(OR($K203="",$K203=0,$Y203=""),"OK",IF(ABS(($Y203-$K203)/$K203)&gt;0.15,"LỆCH GIÁ CŨ","OK")))),"OK")</x:f>
        <x:v>THIẾU GIÁ</x:v>
      </x:c>
      <x:c r="AC203" s="30" t="str">
        <x:v>ứng viên gần nhất=Rich lun; score=0.619</x:v>
      </x:c>
      <x:c r="AD203" s="37" t="str">
        <x:v>RICHLN</x:v>
      </x:c>
      <x:c r="AE203" s="38" t="str">
        <x:v>RICHLNT</x:v>
      </x:c>
      <x:c r="AF203" s="123" t="n">
        <x:v>500</x:v>
      </x:c>
      <x:c r="AG203" s="112" t="str">
        <x:v>g</x:v>
      </x:c>
      <x:c r="AH203" s="112" t="str">
        <x:v>HỘP</x:v>
      </x:c>
      <x:c r="AI203" s="112" t="str">
        <x:v>500 g / HỘP</x:v>
      </x:c>
      <x:c r="AJ203" s="120" t="n">
        <x:v>32000</x:v>
      </x:c>
      <x:c r="AK203" s="120"/>
      <x:c r="AL203" s="120" t="n">
        <x:v>32000</x:v>
      </x:c>
      <x:c r="AM203" s="112" t="str">
        <x:v>BỔ SUNG GIÁ</x:v>
      </x:c>
      <x:c r="AN203" s="126" t="n">
        <x:v>449</x:v>
      </x:c>
      <x:c r="AO203" s="126" t="n">
        <x:v>450</x:v>
      </x:c>
      <x:c r="AP203" s="113" t="str">
        <x:v>24 HỘP / THÙNG</x:v>
      </x:c>
    </x:row>
    <x:row r="204">
      <x:c r="A204" s="71" t="str">
        <x:v>BỘT SỮA MOTA</x:v>
      </x:c>
      <x:c r="B204" s="30" t="str">
        <x:v>BỘT SỮA MOTA - THÙNG</x:v>
      </x:c>
      <x:c r="C204" s="37" t="str">
        <x:v>BSMOTA</x:v>
      </x:c>
      <x:c r="D204" s="37" t="str">
        <x:v>BSMOTAT</x:v>
      </x:c>
      <x:c r="E204" s="37" t="str">
        <x:v>BSMOTAT</x:v>
      </x:c>
      <x:c r="F204" s="37" t="n">
        <x:v>12</x:v>
      </x:c>
      <x:c r="G204" s="37" t="n">
        <x:v>13</x:v>
      </x:c>
      <x:c r="H204" s="37" t="str">
        <x:v>kg</x:v>
      </x:c>
      <x:c r="I204" s="37" t="str">
        <x:v>THÙNG</x:v>
      </x:c>
      <x:c r="J204" s="59" t="n">
        <x:v>0</x:v>
      </x:c>
      <x:c r="K204" s="59" t="n">
        <x:v>762000</x:v>
      </x:c>
      <x:c r="L204" s="59" t="n">
        <x:v>0</x:v>
      </x:c>
      <x:c r="M204" s="37" t="str">
        <x:v>Bột sữa / milkfoam</x:v>
      </x:c>
      <x:c r="N204" s="37" t="str">
        <x:v>CHƯA CÓ GIÁ LẺ</x:v>
      </x:c>
      <x:c r="O204" s="61" t="n">
        <x:v>0.33</x:v>
      </x:c>
      <x:c r="P204" s="37"/>
      <x:c r="Q204" s="30"/>
      <x:c r="R204" s="30"/>
      <x:c r="S204" s="30"/>
      <x:c r="T204" s="37"/>
      <x:c r="U204" s="59"/>
      <x:c r="V204" s="59"/>
      <x:c r="W204" s="117" t="n">
        <x:v>65000</x:v>
      </x:c>
      <x:c r="X204" s="59" t="str">
        <x:f>IFERROR(IF(OR($N204="ĐÃ GHÉP - AUTO",$N204="ĐÃ GHÉP - QUY TẮC"),IF($V204="","",IF($T204="THÙNG",$V204/$F204,$V204)),""),"")</x:f>
      </x:c>
      <x:c r="Y204" s="117" t="n">
        <x:f>IF(OR(W204="",F204=""),"",W204*F204)</x:f>
        <x:v>780000</x:v>
      </x:c>
      <x:c r="Z204" s="59" t="str">
        <x:f>IFERROR(IF(OR($N204="ĐÃ GHÉP - AUTO",$N204="ĐÃ GHÉP - QUY TẮC"),IF($V204="","",IF($T204="THÙNG",$V204,$V204*$F204)),""),"")</x:f>
      </x:c>
      <x:c r="AA204" s="28" t="n">
        <x:f>IFERROR(IF(OR($K204="",$K204=0,$Y204=""),"",($Y204-$K204)/$K204),"")</x:f>
        <x:v>0.023622047244094488</x:v>
      </x:c>
      <x:c r="AB204" s="37" t="str">
        <x:f>IFERROR(IF($N204="CẦN DUYỆT","DUYỆT MAP",IF($N204="CHƯA CÓ GIÁ LẺ","THIẾU GIÁ",IF(OR($K204="",$K204=0,$Y204=""),"OK",IF(ABS(($Y204-$K204)/$K204)&gt;0.15,"LỆCH GIÁ CŨ","OK")))),"OK")</x:f>
        <x:v>THIẾU GIÁ</x:v>
      </x:c>
      <x:c r="AC204" s="30" t="str">
        <x:v>ứng viên gần nhất=Bot matcha SEOUL; score=0.330</x:v>
      </x:c>
      <x:c r="AD204" s="37" t="str">
        <x:v>BSMOTA</x:v>
      </x:c>
      <x:c r="AE204" s="38" t="str">
        <x:v>BSMOTAT</x:v>
      </x:c>
      <x:c r="AF204" s="123" t="n">
        <x:v>1000</x:v>
      </x:c>
      <x:c r="AG204" s="112" t="str">
        <x:v>g</x:v>
      </x:c>
      <x:c r="AH204" s="112" t="str">
        <x:v>BỊCH</x:v>
      </x:c>
      <x:c r="AI204" s="112" t="str">
        <x:v>1000 g / BỊCH</x:v>
      </x:c>
      <x:c r="AJ204" s="120" t="n">
        <x:v>65000</x:v>
      </x:c>
      <x:c r="AK204" s="120"/>
      <x:c r="AL204" s="120" t="n">
        <x:v>65000</x:v>
      </x:c>
      <x:c r="AM204" s="112" t="str">
        <x:v>BỔ SUNG GIÁ</x:v>
      </x:c>
      <x:c r="AN204" s="126" t="n">
        <x:v>451</x:v>
      </x:c>
      <x:c r="AO204" s="126" t="n">
        <x:v>452</x:v>
      </x:c>
      <x:c r="AP204" s="113" t="str">
        <x:v>12 BỊCH / THÙNG</x:v>
      </x:c>
    </x:row>
    <x:row r="205">
      <x:c r="A205" s="71" t="str">
        <x:v>SỮA LACROSS NGANG</x:v>
      </x:c>
      <x:c r="B205" s="30" t="str">
        <x:v>SỮA LACROSS NGANG - THÙNG</x:v>
      </x:c>
      <x:c r="C205" s="37" t="str">
        <x:v>SLACRN</x:v>
      </x:c>
      <x:c r="D205" s="37" t="str">
        <x:v>SLACRNT</x:v>
      </x:c>
      <x:c r="E205" s="37" t="str">
        <x:v>SLACRNT</x:v>
      </x:c>
      <x:c r="F205" s="37" t="n">
        <x:v>24</x:v>
      </x:c>
      <x:c r="G205" s="37" t="n">
        <x:v>28000</x:v>
      </x:c>
      <x:c r="H205" s="37" t="str">
        <x:v>g</x:v>
      </x:c>
      <x:c r="I205" s="37" t="str">
        <x:v>THÙNG</x:v>
      </x:c>
      <x:c r="J205" s="59" t="n">
        <x:v>0</x:v>
      </x:c>
      <x:c r="K205" s="59" t="n">
        <x:v>922000</x:v>
      </x:c>
      <x:c r="L205" s="59" t="n">
        <x:v>0</x:v>
      </x:c>
      <x:c r="M205" s="37" t="str">
        <x:v>Khác</x:v>
      </x:c>
      <x:c r="N205" s="37" t="str">
        <x:v>ĐÃ GHÉP - QUY TẮC</x:v>
      </x:c>
      <x:c r="O205" s="61" t="n">
        <x:v>0.99</x:v>
      </x:c>
      <x:c r="P205" s="37" t="n">
        <x:v>151</x:v>
      </x:c>
      <x:c r="Q205" s="30" t="str">
        <x:v>Sữa Đặc larose thuong</x:v>
      </x:c>
      <x:c r="R205" s="30" t="str">
        <x:v>Thùng 24 lon</x:v>
      </x:c>
      <x:c r="S205" s="30" t="str">
        <x:v>lon</x:v>
      </x:c>
      <x:c r="T205" s="37" t="str">
        <x:v>ĐƠN VỊ</x:v>
      </x:c>
      <x:c r="U205" s="59" t="n">
        <x:v>41000</x:v>
      </x:c>
      <x:c r="V205" s="59"/>
      <x:c r="W205" s="117" t="n">
        <x:v>41000</x:v>
      </x:c>
      <x:c r="X205" s="59" t="str">
        <x:f>IFERROR(IF(OR($N205="ĐÃ GHÉP - AUTO",$N205="ĐÃ GHÉP - QUY TẮC"),IF($V205="","",IF($T205="THÙNG",$V205/$F205,$V205)),""),"")</x:f>
      </x:c>
      <x:c r="Y205" s="117" t="n">
        <x:f>IF(OR(W205="",F205=""),"",W205*F205)</x:f>
        <x:v>984000</x:v>
      </x:c>
      <x:c r="Z205" s="59" t="str">
        <x:f>IFERROR(IF(OR($N205="ĐÃ GHÉP - AUTO",$N205="ĐÃ GHÉP - QUY TẮC"),IF($V205="","",IF($T205="THÙNG",$V205,$V205*$F205)),""),"")</x:f>
      </x:c>
      <x:c r="AA205" s="28" t="n">
        <x:f>IFERROR(IF(OR($K205="",$K205=0,$Y205=""),"",($Y205-$K205)/$K205),"")</x:f>
        <x:v>0.06724511930585683</x:v>
      </x:c>
      <x:c r="AB205" s="37" t="str">
        <x:f>IFERROR(IF($N205="CẦN DUYỆT","DUYỆT MAP",IF($N205="CHƯA CÓ GIÁ LẺ","THIẾU GIÁ",IF(OR($K205="",$K205=0,$Y205=""),"OK",IF(ABS(($Y205-$K205)/$K205)&gt;0.15,"LỆCH GIÁ CŨ","OK")))),"OK")</x:f>
        <x:v>OK</x:v>
      </x:c>
      <x:c r="AC205" s="30" t="str">
        <x:v>Lacross/Larose loại thường</x:v>
      </x:c>
      <x:c r="AD205" s="37" t="str">
        <x:v>SLACRN</x:v>
      </x:c>
      <x:c r="AE205" s="38" t="str">
        <x:v>SLACRNT</x:v>
      </x:c>
      <x:c r="AF205" s="123" t="n">
        <x:v>1000</x:v>
      </x:c>
      <x:c r="AG205" s="112" t="str">
        <x:v>g</x:v>
      </x:c>
      <x:c r="AH205" s="112" t="str">
        <x:v>LON</x:v>
      </x:c>
      <x:c r="AI205" s="112" t="str">
        <x:v>1000 g / LON</x:v>
      </x:c>
      <x:c r="AJ205" s="120" t="n">
        <x:v>41000</x:v>
      </x:c>
      <x:c r="AK205" s="120" t="n">
        <x:v>41000</x:v>
      </x:c>
      <x:c r="AL205" s="120" t="n">
        <x:v>41000</x:v>
      </x:c>
      <x:c r="AM205" s="112" t="str">
        <x:v>GIỮ NGUYÊN - ĐÃ KHỚP</x:v>
      </x:c>
      <x:c r="AN205" s="126" t="n">
        <x:v>453</x:v>
      </x:c>
      <x:c r="AO205" s="126" t="n">
        <x:v>454</x:v>
      </x:c>
      <x:c r="AP205" s="113" t="str">
        <x:v>24 LON / THÙNG</x:v>
      </x:c>
    </x:row>
    <x:row r="206">
      <x:c r="A206" s="71" t="str">
        <x:v>SỮA LACROSS GIẬT</x:v>
      </x:c>
      <x:c r="B206" s="30" t="str">
        <x:v>SỮA LACROSS GIẬT - THÙNG</x:v>
      </x:c>
      <x:c r="C206" s="37" t="str">
        <x:v>SLACRG</x:v>
      </x:c>
      <x:c r="D206" s="37" t="str">
        <x:v>SLACRGT</x:v>
      </x:c>
      <x:c r="E206" s="37" t="str">
        <x:v>SLACRGT</x:v>
      </x:c>
      <x:c r="F206" s="37" t="n">
        <x:v>24</x:v>
      </x:c>
      <x:c r="G206" s="37" t="n">
        <x:v>28000</x:v>
      </x:c>
      <x:c r="H206" s="37" t="str">
        <x:v>g</x:v>
      </x:c>
      <x:c r="I206" s="37" t="str">
        <x:v>THÙNG</x:v>
      </x:c>
      <x:c r="J206" s="59" t="n">
        <x:v>0</x:v>
      </x:c>
      <x:c r="K206" s="59" t="n">
        <x:v>946000</x:v>
      </x:c>
      <x:c r="L206" s="59" t="n">
        <x:v>0</x:v>
      </x:c>
      <x:c r="M206" s="37" t="str">
        <x:v>Khác</x:v>
      </x:c>
      <x:c r="N206" s="37" t="str">
        <x:v>ĐÃ GHÉP - QUY TẮC</x:v>
      </x:c>
      <x:c r="O206" s="61" t="n">
        <x:v>0.99</x:v>
      </x:c>
      <x:c r="P206" s="37" t="n">
        <x:v>150</x:v>
      </x:c>
      <x:c r="Q206" s="30" t="str">
        <x:v>Sua dac larose nap dut</x:v>
      </x:c>
      <x:c r="R206" s="30" t="str">
        <x:v>Thung 24 lon</x:v>
      </x:c>
      <x:c r="S206" s="30" t="str">
        <x:v>lon</x:v>
      </x:c>
      <x:c r="T206" s="37" t="str">
        <x:v>ĐƠN VỊ</x:v>
      </x:c>
      <x:c r="U206" s="59" t="n">
        <x:v>42000</x:v>
      </x:c>
      <x:c r="V206" s="59"/>
      <x:c r="W206" s="117" t="n">
        <x:v>42000</x:v>
      </x:c>
      <x:c r="X206" s="59" t="str">
        <x:f>IFERROR(IF(OR($N206="ĐÃ GHÉP - AUTO",$N206="ĐÃ GHÉP - QUY TẮC"),IF($V206="","",IF($T206="THÙNG",$V206/$F206,$V206)),""),"")</x:f>
      </x:c>
      <x:c r="Y206" s="117" t="n">
        <x:f>IF(OR(W206="",F206=""),"",W206*F206)</x:f>
        <x:v>1008000</x:v>
      </x:c>
      <x:c r="Z206" s="59" t="str">
        <x:f>IFERROR(IF(OR($N206="ĐÃ GHÉP - AUTO",$N206="ĐÃ GHÉP - QUY TẮC"),IF($V206="","",IF($T206="THÙNG",$V206,$V206*$F206)),""),"")</x:f>
      </x:c>
      <x:c r="AA206" s="28" t="n">
        <x:f>IFERROR(IF(OR($K206="",$K206=0,$Y206=""),"",($Y206-$K206)/$K206),"")</x:f>
        <x:v>0.06553911205073996</x:v>
      </x:c>
      <x:c r="AB206" s="37" t="str">
        <x:f>IFERROR(IF($N206="CẦN DUYỆT","DUYỆT MAP",IF($N206="CHƯA CÓ GIÁ LẺ","THIẾU GIÁ",IF(OR($K206="",$K206=0,$Y206=""),"OK",IF(ABS(($Y206-$K206)/$K206)&gt;0.15,"LỆCH GIÁ CŨ","OK")))),"OK")</x:f>
        <x:v>OK</x:v>
      </x:c>
      <x:c r="AC206" s="30" t="str">
        <x:v>Lacross/Larose loại nắp giật</x:v>
      </x:c>
      <x:c r="AD206" s="37" t="str">
        <x:v>SLACRG</x:v>
      </x:c>
      <x:c r="AE206" s="38" t="str">
        <x:v>SLACRGT</x:v>
      </x:c>
      <x:c r="AF206" s="123" t="n">
        <x:v>1</x:v>
      </x:c>
      <x:c r="AG206" s="112" t="str">
        <x:v>kg</x:v>
      </x:c>
      <x:c r="AH206" s="112" t="str">
        <x:v>LON</x:v>
      </x:c>
      <x:c r="AI206" s="112" t="str">
        <x:v>1 kg / LON</x:v>
      </x:c>
      <x:c r="AJ206" s="120" t="n">
        <x:v>42000</x:v>
      </x:c>
      <x:c r="AK206" s="120" t="n">
        <x:v>42000</x:v>
      </x:c>
      <x:c r="AL206" s="120" t="n">
        <x:v>42000</x:v>
      </x:c>
      <x:c r="AM206" s="112" t="str">
        <x:v>GIỮ NGUYÊN - ĐÃ KHỚP</x:v>
      </x:c>
      <x:c r="AN206" s="126" t="n">
        <x:v>455</x:v>
      </x:c>
      <x:c r="AO206" s="126" t="n">
        <x:v>456</x:v>
      </x:c>
      <x:c r="AP206" s="113" t="str">
        <x:v>24 LON / THÙNG</x:v>
      </x:c>
    </x:row>
    <x:row r="207">
      <x:c r="A207" s="71" t="str">
        <x:v>ICEHOT LÙN (RICH MỚI)</x:v>
      </x:c>
      <x:c r="B207" s="30" t="str">
        <x:v>ICEHOT LÙN (RICH MỚI) - THÙNG</x:v>
      </x:c>
      <x:c r="C207" s="37" t="str">
        <x:v>ICEHLN</x:v>
      </x:c>
      <x:c r="D207" s="37" t="str">
        <x:v>ICEHLNT</x:v>
      </x:c>
      <x:c r="E207" s="37" t="str">
        <x:v>ICEHLNT</x:v>
      </x:c>
      <x:c r="F207" s="37" t="n">
        <x:v>24</x:v>
      </x:c>
      <x:c r="G207" s="37" t="n">
        <x:v>13</x:v>
      </x:c>
      <x:c r="H207" s="37" t="str">
        <x:v>kg</x:v>
      </x:c>
      <x:c r="I207" s="37" t="str">
        <x:v>THÙNG</x:v>
      </x:c>
      <x:c r="J207" s="59" t="n">
        <x:v>700000</x:v>
      </x:c>
      <x:c r="K207" s="59" t="n">
        <x:v>720000</x:v>
      </x:c>
      <x:c r="L207" s="59" t="n">
        <x:v>0</x:v>
      </x:c>
      <x:c r="M207" s="37" t="str">
        <x:v>Khác</x:v>
      </x:c>
      <x:c r="N207" s="37" t="str">
        <x:v>ĐÃ GHÉP - AUTO</x:v>
      </x:c>
      <x:c r="O207" s="61" t="n">
        <x:v>0.923</x:v>
      </x:c>
      <x:c r="P207" s="37" t="n">
        <x:v>215</x:v>
      </x:c>
      <x:c r="Q207" s="30" t="str">
        <x:v>Rich lun</x:v>
      </x:c>
      <x:c r="R207" s="30" t="str">
        <x:v>Thùng 24</x:v>
      </x:c>
      <x:c r="S207" s="30" t="str">
        <x:v>hộp</x:v>
      </x:c>
      <x:c r="T207" s="37" t="str">
        <x:v>ĐƠN VỊ</x:v>
      </x:c>
      <x:c r="U207" s="59" t="n">
        <x:v>32000</x:v>
      </x:c>
      <x:c r="V207" s="59"/>
      <x:c r="W207" s="117" t="n">
        <x:v>31000</x:v>
      </x:c>
      <x:c r="X207" s="59" t="str">
        <x:f>IFERROR(IF(OR($N207="ĐÃ GHÉP - AUTO",$N207="ĐÃ GHÉP - QUY TẮC"),IF($V207="","",IF($T207="THÙNG",$V207/$F207,$V207)),""),"")</x:f>
      </x:c>
      <x:c r="Y207" s="117" t="n">
        <x:f>IF(OR(W207="",F207=""),"",W207*F207)</x:f>
        <x:v>744000</x:v>
      </x:c>
      <x:c r="Z207" s="59" t="str">
        <x:f>IFERROR(IF(OR($N207="ĐÃ GHÉP - AUTO",$N207="ĐÃ GHÉP - QUY TẮC"),IF($V207="","",IF($T207="THÙNG",$V207,$V207*$F207)),""),"")</x:f>
      </x:c>
      <x:c r="AA207" s="28" t="n">
        <x:f>IFERROR(IF(OR($K207="",$K207=0,$Y207=""),"",($Y207-$K207)/$K207),"")</x:f>
        <x:v>0.03333333333333333</x:v>
      </x:c>
      <x:c r="AB207" s="37" t="str">
        <x:f>IFERROR(IF($N207="CẦN DUYỆT","DUYỆT MAP",IF($N207="CHƯA CÓ GIÁ LẺ","THIẾU GIÁ",IF(OR($K207="",$K207=0,$Y207=""),"OK",IF(ABS(($Y207-$K207)/$K207)&gt;0.15,"LỆCH GIÁ CŨ","OK")))),"OK")</x:f>
        <x:v>OK</x:v>
      </x:c>
      <x:c r="AC207" s="30" t="str">
        <x:v>score=0.923; gap=0.378</x:v>
      </x:c>
      <x:c r="AD207" s="37" t="str">
        <x:v>ICEHLN</x:v>
      </x:c>
      <x:c r="AE207" s="38" t="str">
        <x:v>ICEHLNT</x:v>
      </x:c>
      <x:c r="AF207" s="123" t="n">
        <x:v>0</x:v>
      </x:c>
      <x:c r="AG207" s="112" t="str">
        <x:v>kg</x:v>
      </x:c>
      <x:c r="AH207" s="112" t="str">
        <x:v>HỘP</x:v>
      </x:c>
      <x:c r="AI207" s="112" t="str">
        <x:v>0 kg / HỘP</x:v>
      </x:c>
      <x:c r="AJ207" s="120" t="n">
        <x:v>31000</x:v>
      </x:c>
      <x:c r="AK207" s="120" t="n">
        <x:v>32000</x:v>
      </x:c>
      <x:c r="AL207" s="120" t="n">
        <x:v>31000</x:v>
      </x:c>
      <x:c r="AM207" s="112" t="str">
        <x:v>CẬP NHẬT GIÁ</x:v>
      </x:c>
      <x:c r="AN207" s="126" t="n">
        <x:v>458</x:v>
      </x:c>
      <x:c r="AO207" s="126" t="n">
        <x:v>459</x:v>
      </x:c>
      <x:c r="AP207" s="113" t="str">
        <x:v>24 HỘP / THÙNG</x:v>
      </x:c>
    </x:row>
    <x:row r="208">
      <x:c r="A208" s="71" t="str">
        <x:v>SỮA ICE HOT ĐA DỤNG</x:v>
      </x:c>
      <x:c r="B208" s="30" t="str">
        <x:v>SỮA ICE HOT ĐA DỤNG - THÙNG</x:v>
      </x:c>
      <x:c r="C208" s="37" t="str">
        <x:v>ICEHDD</x:v>
      </x:c>
      <x:c r="D208" s="37" t="str">
        <x:v>ICEHDDT</x:v>
      </x:c>
      <x:c r="E208" s="37" t="str">
        <x:v>ICEHDDT</x:v>
      </x:c>
      <x:c r="F208" s="37" t="n">
        <x:v>12</x:v>
      </x:c>
      <x:c r="G208" s="37" t="n">
        <x:v>0</x:v>
      </x:c>
      <x:c r="H208" s="37" t="str">
        <x:v>g</x:v>
      </x:c>
      <x:c r="I208" s="37" t="str">
        <x:v>THÙNG</x:v>
      </x:c>
      <x:c r="J208" s="59" t="n">
        <x:v>0</x:v>
      </x:c>
      <x:c r="K208" s="59" t="n">
        <x:v>0</x:v>
      </x:c>
      <x:c r="L208" s="59" t="n">
        <x:v>0</x:v>
      </x:c>
      <x:c r="M208" s="37" t="str">
        <x:v>Khác</x:v>
      </x:c>
      <x:c r="N208" s="37" t="str">
        <x:v>CHƯA CÓ GIÁ LẺ</x:v>
      </x:c>
      <x:c r="O208" s="61" t="n">
        <x:v>0.608</x:v>
      </x:c>
      <x:c r="P208" s="37"/>
      <x:c r="Q208" s="30"/>
      <x:c r="R208" s="30"/>
      <x:c r="S208" s="30"/>
      <x:c r="T208" s="37"/>
      <x:c r="U208" s="59"/>
      <x:c r="V208" s="59"/>
      <x:c r="W208" s="117"/>
      <x:c r="X208" s="59" t="str">
        <x:f>IFERROR(IF(OR($N208="ĐÃ GHÉP - AUTO",$N208="ĐÃ GHÉP - QUY TẮC"),IF($V208="","",IF($T208="THÙNG",$V208/$F208,$V208)),""),"")</x:f>
      </x:c>
      <x:c r="Y208" s="117" t="str">
        <x:f>IF(OR(W208="",F208=""),"",W208*F208)</x:f>
      </x:c>
      <x:c r="Z208" s="59" t="str">
        <x:f>IFERROR(IF(OR($N208="ĐÃ GHÉP - AUTO",$N208="ĐÃ GHÉP - QUY TẮC"),IF($V208="","",IF($T208="THÙNG",$V208,$V208*$F208)),""),"")</x:f>
      </x:c>
      <x:c r="AA208" s="28" t="str">
        <x:f>IFERROR(IF(OR($K208="",$K208=0,$Y208=""),"",($Y208-$K208)/$K208),"")</x:f>
      </x:c>
      <x:c r="AB208" s="37" t="str">
        <x:f>IFERROR(IF($N208="CẦN DUYỆT","DUYỆT MAP",IF($N208="CHƯA CÓ GIÁ LẺ","THIẾU GIÁ",IF(OR($K208="",$K208=0,$Y208=""),"OK",IF(ABS(($Y208-$K208)/$K208)&gt;0.15,"LỆCH GIÁ CŨ","OK")))),"OK")</x:f>
        <x:v>THIẾU GIÁ</x:v>
      </x:c>
      <x:c r="AC208" s="30" t="str">
        <x:v>ứng viên gần nhất=Ice hot lùn; score=0.608</x:v>
      </x:c>
      <x:c r="AD208" s="37" t="str">
        <x:v>ICEHDD</x:v>
      </x:c>
      <x:c r="AE208" s="38" t="str">
        <x:v>ICEHDDT</x:v>
      </x:c>
      <x:c r="AF208" s="123" t="n">
        <x:v>0</x:v>
      </x:c>
      <x:c r="AG208" s="112" t="str">
        <x:v>g</x:v>
      </x:c>
      <x:c r="AH208" s="112" t="str">
        <x:v>HỘP</x:v>
      </x:c>
      <x:c r="AI208" s="112" t="str">
        <x:v>0 g / HỘP</x:v>
      </x:c>
      <x:c r="AJ208" s="120" t="n">
        <x:v>0</x:v>
      </x:c>
      <x:c r="AK208" s="120"/>
      <x:c r="AL208" s="120"/>
      <x:c r="AM208" s="112" t="str">
        <x:v>DS SP GIÁ 0 - VẪN THIẾU GIÁ</x:v>
      </x:c>
      <x:c r="AN208" s="126" t="n">
        <x:v>460</x:v>
      </x:c>
      <x:c r="AO208" s="126" t="n">
        <x:v>461</x:v>
      </x:c>
      <x:c r="AP208" s="113" t="str">
        <x:v>12 HỘP / THÙNG</x:v>
      </x:c>
    </x:row>
    <x:row r="209">
      <x:c r="A209" s="71" t="str">
        <x:v>ICEHOT CAO</x:v>
      </x:c>
      <x:c r="B209" s="30" t="str">
        <x:v>ICEHOT CAO - THÙNG</x:v>
      </x:c>
      <x:c r="C209" s="37" t="str">
        <x:v>ICEHCA</x:v>
      </x:c>
      <x:c r="D209" s="37" t="str">
        <x:v>ICEHCAT</x:v>
      </x:c>
      <x:c r="E209" s="37" t="str">
        <x:v>ICEHCAT</x:v>
      </x:c>
      <x:c r="F209" s="37" t="n">
        <x:v>12</x:v>
      </x:c>
      <x:c r="G209" s="37" t="n">
        <x:v>1</x:v>
      </x:c>
      <x:c r="H209" s="37" t="str">
        <x:v>kg</x:v>
      </x:c>
      <x:c r="I209" s="37" t="str">
        <x:v>THÙNG</x:v>
      </x:c>
      <x:c r="J209" s="59" t="n">
        <x:v>0</x:v>
      </x:c>
      <x:c r="K209" s="59" t="n">
        <x:v>850000</x:v>
      </x:c>
      <x:c r="L209" s="59" t="n">
        <x:v>0</x:v>
      </x:c>
      <x:c r="M209" s="37" t="str">
        <x:v>Khác</x:v>
      </x:c>
      <x:c r="N209" s="37" t="str">
        <x:v>CHƯA CÓ GIÁ LẺ</x:v>
      </x:c>
      <x:c r="O209" s="61" t="n">
        <x:v>0.087</x:v>
      </x:c>
      <x:c r="P209" s="37"/>
      <x:c r="Q209" s="30"/>
      <x:c r="R209" s="30"/>
      <x:c r="S209" s="30"/>
      <x:c r="T209" s="37"/>
      <x:c r="U209" s="59"/>
      <x:c r="V209" s="59"/>
      <x:c r="W209" s="117" t="n">
        <x:v>72000</x:v>
      </x:c>
      <x:c r="X209" s="59" t="str">
        <x:f>IFERROR(IF(OR($N209="ĐÃ GHÉP - AUTO",$N209="ĐÃ GHÉP - QUY TẮC"),IF($V209="","",IF($T209="THÙNG",$V209/$F209,$V209)),""),"")</x:f>
      </x:c>
      <x:c r="Y209" s="117" t="n">
        <x:f>IF(OR(W209="",F209=""),"",W209*F209)</x:f>
        <x:v>864000</x:v>
      </x:c>
      <x:c r="Z209" s="59" t="str">
        <x:f>IFERROR(IF(OR($N209="ĐÃ GHÉP - AUTO",$N209="ĐÃ GHÉP - QUY TẮC"),IF($V209="","",IF($T209="THÙNG",$V209,$V209*$F209)),""),"")</x:f>
      </x:c>
      <x:c r="AA209" s="28" t="n">
        <x:f>IFERROR(IF(OR($K209="",$K209=0,$Y209=""),"",($Y209-$K209)/$K209),"")</x:f>
        <x:v>0.01647058823529412</x:v>
      </x:c>
      <x:c r="AB209" s="37" t="str">
        <x:f>IFERROR(IF($N209="CẦN DUYỆT","DUYỆT MAP",IF($N209="CHƯA CÓ GIÁ LẺ","THIẾU GIÁ",IF(OR($K209="",$K209=0,$Y209=""),"OK",IF(ABS(($Y209-$K209)/$K209)&gt;0.15,"LỆCH GIÁ CŨ","OK")))),"OK")</x:f>
        <x:v>THIẾU GIÁ</x:v>
      </x:c>
      <x:c r="AC209" s="30" t="str">
        <x:v>ứng viên gần nhất=Ice hot on top; score=0.087</x:v>
      </x:c>
      <x:c r="AD209" s="37" t="str">
        <x:v>ICEHCA</x:v>
      </x:c>
      <x:c r="AE209" s="38" t="str">
        <x:v>ICEHCAT</x:v>
      </x:c>
      <x:c r="AF209" s="123" t="n">
        <x:v>1</x:v>
      </x:c>
      <x:c r="AG209" s="112" t="str">
        <x:v>kg</x:v>
      </x:c>
      <x:c r="AH209" s="112" t="str">
        <x:v>HỘP</x:v>
      </x:c>
      <x:c r="AI209" s="112" t="str">
        <x:v>1 kg / HỘP</x:v>
      </x:c>
      <x:c r="AJ209" s="120" t="n">
        <x:v>72000</x:v>
      </x:c>
      <x:c r="AK209" s="120"/>
      <x:c r="AL209" s="120" t="n">
        <x:v>72000</x:v>
      </x:c>
      <x:c r="AM209" s="112" t="str">
        <x:v>BỔ SUNG GIÁ</x:v>
      </x:c>
      <x:c r="AN209" s="126" t="n">
        <x:v>462</x:v>
      </x:c>
      <x:c r="AO209" s="126" t="n">
        <x:v>463</x:v>
      </x:c>
      <x:c r="AP209" s="113" t="str">
        <x:v>12 HỘP / THÙNG</x:v>
      </x:c>
    </x:row>
    <x:row r="210">
      <x:c r="A210" s="71" t="str">
        <x:v>SỮA GOLD VÀNG</x:v>
      </x:c>
      <x:c r="B210" s="30" t="str">
        <x:v>SỮA GOLD VÀNG - THÙNG</x:v>
      </x:c>
      <x:c r="C210" s="37" t="str">
        <x:v>GOLDVA</x:v>
      </x:c>
      <x:c r="D210" s="37" t="str">
        <x:v>GOLDVAT</x:v>
      </x:c>
      <x:c r="E210" s="37" t="str">
        <x:v>GOLDVAT</x:v>
      </x:c>
      <x:c r="F210" s="37" t="n">
        <x:v>12</x:v>
      </x:c>
      <x:c r="G210" s="37" t="n">
        <x:v>12</x:v>
      </x:c>
      <x:c r="H210" s="37" t="str">
        <x:v>kg</x:v>
      </x:c>
      <x:c r="I210" s="37" t="str">
        <x:v>THÙNG</x:v>
      </x:c>
      <x:c r="J210" s="59" t="n">
        <x:v>0</x:v>
      </x:c>
      <x:c r="K210" s="59" t="n">
        <x:v>0</x:v>
      </x:c>
      <x:c r="L210" s="59" t="n">
        <x:v>0</x:v>
      </x:c>
      <x:c r="M210" s="37" t="str">
        <x:v>Khác</x:v>
      </x:c>
      <x:c r="N210" s="37" t="str">
        <x:v>CHƯA CÓ GIÁ LẺ</x:v>
      </x:c>
      <x:c r="O210" s="61" t="n">
        <x:v>0.468</x:v>
      </x:c>
      <x:c r="P210" s="37"/>
      <x:c r="Q210" s="30"/>
      <x:c r="R210" s="30"/>
      <x:c r="S210" s="30"/>
      <x:c r="T210" s="37"/>
      <x:c r="U210" s="59"/>
      <x:c r="V210" s="59"/>
      <x:c r="W210" s="117" t="n">
        <x:v>72000</x:v>
      </x:c>
      <x:c r="X210" s="59" t="str">
        <x:f>IFERROR(IF(OR($N210="ĐÃ GHÉP - AUTO",$N210="ĐÃ GHÉP - QUY TẮC"),IF($V210="","",IF($T210="THÙNG",$V210/$F210,$V210)),""),"")</x:f>
      </x:c>
      <x:c r="Y210" s="117" t="n">
        <x:f>IF(OR(W210="",F210=""),"",W210*F210)</x:f>
        <x:v>864000</x:v>
      </x:c>
      <x:c r="Z210" s="59" t="str">
        <x:f>IFERROR(IF(OR($N210="ĐÃ GHÉP - AUTO",$N210="ĐÃ GHÉP - QUY TẮC"),IF($V210="","",IF($T210="THÙNG",$V210,$V210*$F210)),""),"")</x:f>
      </x:c>
      <x:c r="AA210" s="28" t="str">
        <x:f>IFERROR(IF(OR($K210="",$K210=0,$Y210=""),"",($Y210-$K210)/$K210),"")</x:f>
      </x:c>
      <x:c r="AB210" s="37" t="str">
        <x:f>IFERROR(IF($N210="CẦN DUYỆT","DUYỆT MAP",IF($N210="CHƯA CÓ GIÁ LẺ","THIẾU GIÁ",IF(OR($K210="",$K210=0,$Y210=""),"OK",IF(ABS(($Y210-$K210)/$K210)&gt;0.15,"LỆCH GIÁ CŨ","OK")))),"OK")</x:f>
        <x:v>THIẾU GIÁ</x:v>
      </x:c>
      <x:c r="AC210" s="30" t="str">
        <x:v>ứng viên gần nhất=Siro Gold 2l; score=0.468</x:v>
      </x:c>
      <x:c r="AD210" s="37" t="str">
        <x:v>GOLDVA</x:v>
      </x:c>
      <x:c r="AE210" s="38" t="str">
        <x:v>GOLDVAT</x:v>
      </x:c>
      <x:c r="AF210" s="123" t="n">
        <x:v>1</x:v>
      </x:c>
      <x:c r="AG210" s="112" t="str">
        <x:v>kg</x:v>
      </x:c>
      <x:c r="AH210" s="112" t="str">
        <x:v>HỘP</x:v>
      </x:c>
      <x:c r="AI210" s="112" t="str">
        <x:v>1 kg / HỘP</x:v>
      </x:c>
      <x:c r="AJ210" s="120" t="n">
        <x:v>72000</x:v>
      </x:c>
      <x:c r="AK210" s="120"/>
      <x:c r="AL210" s="120" t="n">
        <x:v>72000</x:v>
      </x:c>
      <x:c r="AM210" s="112" t="str">
        <x:v>BỔ SUNG GIÁ</x:v>
      </x:c>
      <x:c r="AN210" s="126" t="n">
        <x:v>465</x:v>
      </x:c>
      <x:c r="AO210" s="126" t="n">
        <x:v>466</x:v>
      </x:c>
      <x:c r="AP210" s="113" t="str">
        <x:v>12 HỘP / THÙNG</x:v>
      </x:c>
    </x:row>
    <x:row r="211">
      <x:c r="A211" s="71" t="str">
        <x:v>SỮA ĐẶC NIDO</x:v>
      </x:c>
      <x:c r="B211" s="30" t="str">
        <x:v>SỮA ĐẶC NIDO - THÙNG</x:v>
      </x:c>
      <x:c r="C211" s="37" t="str">
        <x:v>SDNIDO</x:v>
      </x:c>
      <x:c r="D211" s="37" t="str">
        <x:v>SDNIDOT</x:v>
      </x:c>
      <x:c r="E211" s="37" t="str">
        <x:v>SDNIDOT</x:v>
      </x:c>
      <x:c r="F211" s="37" t="n">
        <x:v>24</x:v>
      </x:c>
      <x:c r="G211" s="37" t="n">
        <x:v>28000</x:v>
      </x:c>
      <x:c r="H211" s="37" t="str">
        <x:v>g</x:v>
      </x:c>
      <x:c r="I211" s="37" t="str">
        <x:v>THÙNG</x:v>
      </x:c>
      <x:c r="J211" s="59" t="n">
        <x:v>0</x:v>
      </x:c>
      <x:c r="K211" s="59" t="n">
        <x:v>970000</x:v>
      </x:c>
      <x:c r="L211" s="59" t="n">
        <x:v>0</x:v>
      </x:c>
      <x:c r="M211" s="37" t="str">
        <x:v>Sữa đặc</x:v>
      </x:c>
      <x:c r="N211" s="37" t="str">
        <x:v>CHƯA CÓ GIÁ LẺ</x:v>
      </x:c>
      <x:c r="O211" s="61" t="n">
        <x:v>0.108</x:v>
      </x:c>
      <x:c r="P211" s="37"/>
      <x:c r="Q211" s="30"/>
      <x:c r="R211" s="30"/>
      <x:c r="S211" s="30"/>
      <x:c r="T211" s="37"/>
      <x:c r="U211" s="59"/>
      <x:c r="V211" s="59"/>
      <x:c r="W211" s="117" t="n">
        <x:v>41000</x:v>
      </x:c>
      <x:c r="X211" s="59" t="str">
        <x:f>IFERROR(IF(OR($N211="ĐÃ GHÉP - AUTO",$N211="ĐÃ GHÉP - QUY TẮC"),IF($V211="","",IF($T211="THÙNG",$V211/$F211,$V211)),""),"")</x:f>
      </x:c>
      <x:c r="Y211" s="117" t="n">
        <x:f>IF(OR(W211="",F211=""),"",W211*F211)</x:f>
        <x:v>984000</x:v>
      </x:c>
      <x:c r="Z211" s="59" t="str">
        <x:f>IFERROR(IF(OR($N211="ĐÃ GHÉP - AUTO",$N211="ĐÃ GHÉP - QUY TẮC"),IF($V211="","",IF($T211="THÙNG",$V211,$V211*$F211)),""),"")</x:f>
      </x:c>
      <x:c r="AA211" s="28" t="n">
        <x:f>IFERROR(IF(OR($K211="",$K211=0,$Y211=""),"",($Y211-$K211)/$K211),"")</x:f>
        <x:v>0.01443298969072165</x:v>
      </x:c>
      <x:c r="AB211" s="37" t="str">
        <x:f>IFERROR(IF($N211="CẦN DUYỆT","DUYỆT MAP",IF($N211="CHƯA CÓ GIÁ LẺ","THIẾU GIÁ",IF(OR($K211="",$K211=0,$Y211=""),"OK",IF(ABS(($Y211-$K211)/$K211)&gt;0.15,"LỆCH GIÁ CŨ","OK")))),"OK")</x:f>
        <x:v>THIẾU GIÁ</x:v>
      </x:c>
      <x:c r="AC211" s="30" t="str">
        <x:v>ứng viên gần nhất=Sữa Đặc Nidoo; score=0.108</x:v>
      </x:c>
      <x:c r="AD211" s="37" t="str">
        <x:v>SDNIDO</x:v>
      </x:c>
      <x:c r="AE211" s="38" t="str">
        <x:v>SDNIDOT</x:v>
      </x:c>
      <x:c r="AF211" s="123" t="n">
        <x:v>1</x:v>
      </x:c>
      <x:c r="AG211" s="112" t="str">
        <x:v>kg</x:v>
      </x:c>
      <x:c r="AH211" s="112" t="str">
        <x:v>LON</x:v>
      </x:c>
      <x:c r="AI211" s="112" t="str">
        <x:v>1 kg / LON</x:v>
      </x:c>
      <x:c r="AJ211" s="120" t="n">
        <x:v>41000</x:v>
      </x:c>
      <x:c r="AK211" s="120"/>
      <x:c r="AL211" s="120" t="n">
        <x:v>41000</x:v>
      </x:c>
      <x:c r="AM211" s="112" t="str">
        <x:v>BỔ SUNG GIÁ</x:v>
      </x:c>
      <x:c r="AN211" s="126" t="n">
        <x:v>468</x:v>
      </x:c>
      <x:c r="AO211" s="126" t="n">
        <x:v>469</x:v>
      </x:c>
      <x:c r="AP211" s="113" t="str">
        <x:v>24 LON / THÙNG</x:v>
      </x:c>
    </x:row>
    <x:row r="212">
      <x:c r="A212" s="71" t="str">
        <x:v>SỮA ĐẶC ELLA</x:v>
      </x:c>
      <x:c r="B212" s="30" t="str">
        <x:v>SỮA ĐẶC ELLA - THÙNG</x:v>
      </x:c>
      <x:c r="C212" s="37" t="str">
        <x:v>SDELLA</x:v>
      </x:c>
      <x:c r="D212" s="37" t="str">
        <x:v>SDELLAT</x:v>
      </x:c>
      <x:c r="E212" s="37" t="str">
        <x:v>SDELLAT</x:v>
      </x:c>
      <x:c r="F212" s="37" t="n">
        <x:v>24</x:v>
      </x:c>
      <x:c r="G212" s="37" t="n">
        <x:v>0</x:v>
      </x:c>
      <x:c r="H212" s="37" t="str">
        <x:v>g</x:v>
      </x:c>
      <x:c r="I212" s="37" t="str">
        <x:v>THÙNG</x:v>
      </x:c>
      <x:c r="J212" s="59" t="n">
        <x:v>0</x:v>
      </x:c>
      <x:c r="K212" s="59" t="n">
        <x:v>910000</x:v>
      </x:c>
      <x:c r="L212" s="59" t="n">
        <x:v>0</x:v>
      </x:c>
      <x:c r="M212" s="37" t="str">
        <x:v>Sữa đặc</x:v>
      </x:c>
      <x:c r="N212" s="37" t="str">
        <x:v>ĐÃ GHÉP - AUTO</x:v>
      </x:c>
      <x:c r="O212" s="61" t="n">
        <x:v>0.991</x:v>
      </x:c>
      <x:c r="P212" s="37" t="n">
        <x:v>152</x:v>
      </x:c>
      <x:c r="Q212" s="30" t="str">
        <x:v>SỮA ELLA</x:v>
      </x:c>
      <x:c r="R212" s="30" t="str">
        <x:v>THÙNG 24 LON</x:v>
      </x:c>
      <x:c r="S212" s="30" t="str">
        <x:v>lon</x:v>
      </x:c>
      <x:c r="T212" s="37" t="str">
        <x:v>ĐƠN VỊ</x:v>
      </x:c>
      <x:c r="U212" s="59" t="n">
        <x:v>40000</x:v>
      </x:c>
      <x:c r="V212" s="59"/>
      <x:c r="W212" s="117" t="n">
        <x:v>39000</x:v>
      </x:c>
      <x:c r="X212" s="59" t="str">
        <x:f>IFERROR(IF(OR($N212="ĐÃ GHÉP - AUTO",$N212="ĐÃ GHÉP - QUY TẮC"),IF($V212="","",IF($T212="THÙNG",$V212/$F212,$V212)),""),"")</x:f>
      </x:c>
      <x:c r="Y212" s="117" t="n">
        <x:f>IF(OR(W212="",F212=""),"",W212*F212)</x:f>
        <x:v>936000</x:v>
      </x:c>
      <x:c r="Z212" s="59" t="str">
        <x:f>IFERROR(IF(OR($N212="ĐÃ GHÉP - AUTO",$N212="ĐÃ GHÉP - QUY TẮC"),IF($V212="","",IF($T212="THÙNG",$V212,$V212*$F212)),""),"")</x:f>
      </x:c>
      <x:c r="AA212" s="28" t="n">
        <x:f>IFERROR(IF(OR($K212="",$K212=0,$Y212=""),"",($Y212-$K212)/$K212),"")</x:f>
        <x:v>0.02857142857142857</x:v>
      </x:c>
      <x:c r="AB212" s="37" t="str">
        <x:f>IFERROR(IF($N212="CẦN DUYỆT","DUYỆT MAP",IF($N212="CHƯA CÓ GIÁ LẺ","THIẾU GIÁ",IF(OR($K212="",$K212=0,$Y212=""),"OK",IF(ABS(($Y212-$K212)/$K212)&gt;0.15,"LỆCH GIÁ CŨ","OK")))),"OK")</x:f>
        <x:v>OK</x:v>
      </x:c>
      <x:c r="AC212" s="30" t="str">
        <x:v>score=0.991; gap=0.918</x:v>
      </x:c>
      <x:c r="AD212" s="37" t="str">
        <x:v>SDELLA</x:v>
      </x:c>
      <x:c r="AE212" s="38" t="str">
        <x:v>SDELLAT</x:v>
      </x:c>
      <x:c r="AF212" s="123" t="n">
        <x:v>0</x:v>
      </x:c>
      <x:c r="AG212" s="112" t="str">
        <x:v>g</x:v>
      </x:c>
      <x:c r="AH212" s="112" t="str">
        <x:v>LON</x:v>
      </x:c>
      <x:c r="AI212" s="112" t="str">
        <x:v>0 g / LON</x:v>
      </x:c>
      <x:c r="AJ212" s="120" t="n">
        <x:v>39000</x:v>
      </x:c>
      <x:c r="AK212" s="120" t="n">
        <x:v>40000</x:v>
      </x:c>
      <x:c r="AL212" s="120" t="n">
        <x:v>39000</x:v>
      </x:c>
      <x:c r="AM212" s="112" t="str">
        <x:v>CẬP NHẬT GIÁ</x:v>
      </x:c>
      <x:c r="AN212" s="126" t="n">
        <x:v>470</x:v>
      </x:c>
      <x:c r="AO212" s="126" t="n">
        <x:v>471</x:v>
      </x:c>
      <x:c r="AP212" s="113" t="str">
        <x:v>24 LON / THÙNG</x:v>
      </x:c>
    </x:row>
    <x:row r="213">
      <x:c r="A213" s="71" t="str">
        <x:v>SỮA CHỮ S VÀNG</x:v>
      </x:c>
      <x:c r="B213" s="30" t="str">
        <x:v>SỮA CHỮ S VÀNG - THÙNG</x:v>
      </x:c>
      <x:c r="C213" s="37" t="str">
        <x:v>BSSVA</x:v>
      </x:c>
      <x:c r="D213" s="37" t="str">
        <x:v>BSSVAT</x:v>
      </x:c>
      <x:c r="E213" s="37" t="str">
        <x:v>BSSVAT</x:v>
      </x:c>
      <x:c r="F213" s="37" t="n">
        <x:v>12</x:v>
      </x:c>
      <x:c r="G213" s="37" t="n">
        <x:v>0</x:v>
      </x:c>
      <x:c r="H213" s="37" t="str">
        <x:v>g</x:v>
      </x:c>
      <x:c r="I213" s="37" t="str">
        <x:v>THÙNG</x:v>
      </x:c>
      <x:c r="J213" s="59" t="n">
        <x:v>0</x:v>
      </x:c>
      <x:c r="K213" s="59" t="n">
        <x:v>0</x:v>
      </x:c>
      <x:c r="L213" s="59" t="n">
        <x:v>0</x:v>
      </x:c>
      <x:c r="M213" s="37" t="str">
        <x:v>Khác</x:v>
      </x:c>
      <x:c r="N213" s="37" t="str">
        <x:v>CHƯA CÓ GIÁ LẺ</x:v>
      </x:c>
      <x:c r="O213" s="61" t="n">
        <x:v>0.486</x:v>
      </x:c>
      <x:c r="P213" s="37"/>
      <x:c r="Q213" s="30"/>
      <x:c r="R213" s="30"/>
      <x:c r="S213" s="30"/>
      <x:c r="T213" s="37"/>
      <x:c r="U213" s="59"/>
      <x:c r="V213" s="59"/>
      <x:c r="W213" s="117"/>
      <x:c r="X213" s="59" t="str">
        <x:f>IFERROR(IF(OR($N213="ĐÃ GHÉP - AUTO",$N213="ĐÃ GHÉP - QUY TẮC"),IF($V213="","",IF($T213="THÙNG",$V213/$F213,$V213)),""),"")</x:f>
      </x:c>
      <x:c r="Y213" s="117" t="str">
        <x:f>IF(OR(W213="",F213=""),"",W213*F213)</x:f>
      </x:c>
      <x:c r="Z213" s="59" t="str">
        <x:f>IFERROR(IF(OR($N213="ĐÃ GHÉP - AUTO",$N213="ĐÃ GHÉP - QUY TẮC"),IF($V213="","",IF($T213="THÙNG",$V213,$V213*$F213)),""),"")</x:f>
      </x:c>
      <x:c r="AA213" s="28" t="str">
        <x:f>IFERROR(IF(OR($K213="",$K213=0,$Y213=""),"",($Y213-$K213)/$K213),"")</x:f>
      </x:c>
      <x:c r="AB213" s="37" t="str">
        <x:f>IFERROR(IF($N213="CẦN DUYỆT","DUYỆT MAP",IF($N213="CHƯA CÓ GIÁ LẺ","THIẾU GIÁ",IF(OR($K213="",$K213=0,$Y213=""),"OK",IF(ABS(($Y213-$K213)/$K213)&gt;0.15,"LỆCH GIÁ CŨ","OK")))),"OK")</x:f>
        <x:v>THIẾU GIÁ</x:v>
      </x:c>
      <x:c r="AC213" s="30" t="str">
        <x:v>ứng viên gần nhất=Bịch chữ T; score=0.486</x:v>
      </x:c>
      <x:c r="AD213" s="37" t="str">
        <x:v>BSSVA</x:v>
      </x:c>
      <x:c r="AE213" s="38" t="str">
        <x:v>BSSVAT</x:v>
      </x:c>
      <x:c r="AF213" s="123" t="n">
        <x:v>0</x:v>
      </x:c>
      <x:c r="AG213" s="112" t="str">
        <x:v>g</x:v>
      </x:c>
      <x:c r="AH213" s="112" t="str">
        <x:v>BỊCH</x:v>
      </x:c>
      <x:c r="AI213" s="112" t="str">
        <x:v>0 g / BỊCH</x:v>
      </x:c>
      <x:c r="AJ213" s="120" t="n">
        <x:v>0</x:v>
      </x:c>
      <x:c r="AK213" s="120"/>
      <x:c r="AL213" s="120"/>
      <x:c r="AM213" s="112" t="str">
        <x:v>DS SP GIÁ 0 - VẪN THIẾU GIÁ</x:v>
      </x:c>
      <x:c r="AN213" s="126" t="n">
        <x:v>473</x:v>
      </x:c>
      <x:c r="AO213" s="126" t="n">
        <x:v>474</x:v>
      </x:c>
      <x:c r="AP213" s="113" t="str">
        <x:v>12 BỊCH / THÙNG</x:v>
      </x:c>
    </x:row>
    <x:row r="214">
      <x:c r="A214" s="71" t="str">
        <x:v>SỮA TATTE 3,8</x:v>
      </x:c>
      <x:c r="B214" s="30" t="str">
        <x:v>SỮA TATTE 3,8 - THÙNG</x:v>
      </x:c>
      <x:c r="C214" s="37" t="str">
        <x:v>STATTE</x:v>
      </x:c>
      <x:c r="D214" s="37" t="str">
        <x:v>STATTET</x:v>
      </x:c>
      <x:c r="E214" s="37" t="str">
        <x:v>STATTET</x:v>
      </x:c>
      <x:c r="F214" s="37" t="n">
        <x:v>12</x:v>
      </x:c>
      <x:c r="G214" s="37" t="n">
        <x:v>13000</x:v>
      </x:c>
      <x:c r="H214" s="37" t="str">
        <x:v>g</x:v>
      </x:c>
      <x:c r="I214" s="37" t="str">
        <x:v>THÙNG</x:v>
      </x:c>
      <x:c r="J214" s="59" t="n">
        <x:v>0</x:v>
      </x:c>
      <x:c r="K214" s="59" t="n">
        <x:v>335000</x:v>
      </x:c>
      <x:c r="L214" s="59" t="n">
        <x:v>0</x:v>
      </x:c>
      <x:c r="M214" s="37" t="str">
        <x:v>Bột sữa / milkfoam</x:v>
      </x:c>
      <x:c r="N214" s="37" t="str">
        <x:v>ĐÃ GHÉP - QUY TẮC</x:v>
      </x:c>
      <x:c r="O214" s="61" t="n">
        <x:v>0.99</x:v>
      </x:c>
      <x:c r="P214" s="37" t="n">
        <x:v>146</x:v>
      </x:c>
      <x:c r="Q214" s="30" t="str">
        <x:v>Sữa tươi TATTE</x:v>
      </x:c>
      <x:c r="R214" s="30" t="str">
        <x:v>Thùng 12 hộp</x:v>
      </x:c>
      <x:c r="S214" s="30" t="str">
        <x:v>hộp</x:v>
      </x:c>
      <x:c r="T214" s="37" t="str">
        <x:v>ĐƠN VỊ</x:v>
      </x:c>
      <x:c r="U214" s="59" t="n">
        <x:v>30000</x:v>
      </x:c>
      <x:c r="V214" s="59" t="n">
        <x:v>29000</x:v>
      </x:c>
      <x:c r="W214" s="117" t="n">
        <x:v>30000</x:v>
      </x:c>
      <x:c r="X214" s="59" t="n">
        <x:f>IFERROR(IF(OR($N214="ĐÃ GHÉP - AUTO",$N214="ĐÃ GHÉP - QUY TẮC"),IF($V214="","",IF($T214="THÙNG",$V214/$F214,$V214)),""),"")</x:f>
        <x:v>29000</x:v>
      </x:c>
      <x:c r="Y214" s="117" t="n">
        <x:f>IF(OR(W214="",F214=""),"",W214*F214)</x:f>
        <x:v>360000</x:v>
      </x:c>
      <x:c r="Z214" s="59" t="n">
        <x:f>IFERROR(IF(OR($N214="ĐÃ GHÉP - AUTO",$N214="ĐÃ GHÉP - QUY TẮC"),IF($V214="","",IF($T214="THÙNG",$V214,$V214*$F214)),""),"")</x:f>
        <x:v>348000</x:v>
      </x:c>
      <x:c r="AA214" s="28" t="n">
        <x:f>IFERROR(IF(OR($K214="",$K214=0,$Y214=""),"",($Y214-$K214)/$K214),"")</x:f>
        <x:v>0.07462686567164178</x:v>
      </x:c>
      <x:c r="AB214" s="37" t="str">
        <x:f>IFERROR(IF($N214="CẦN DUYỆT","DUYỆT MAP",IF($N214="CHƯA CÓ GIÁ LẺ","THIẾU GIÁ",IF(OR($K214="",$K214=0,$Y214=""),"OK",IF(ABS(($Y214-$K214)/$K214)&gt;0.15,"LỆCH GIÁ CŨ","OK")))),"OK")</x:f>
        <x:v>OK</x:v>
      </x:c>
      <x:c r="AC214" s="30" t="str">
        <x:v>Khớp đúng tên</x:v>
      </x:c>
      <x:c r="AD214" s="37" t="str">
        <x:v>STATTE</x:v>
      </x:c>
      <x:c r="AE214" s="38" t="str">
        <x:v>STATTET</x:v>
      </x:c>
      <x:c r="AF214" s="123" t="n">
        <x:v>1100</x:v>
      </x:c>
      <x:c r="AG214" s="112" t="str">
        <x:v>g</x:v>
      </x:c>
      <x:c r="AH214" s="112" t="str">
        <x:v>HỘP</x:v>
      </x:c>
      <x:c r="AI214" s="112" t="str">
        <x:v>1100 g / HỘP</x:v>
      </x:c>
      <x:c r="AJ214" s="120" t="n">
        <x:v>30000</x:v>
      </x:c>
      <x:c r="AK214" s="120" t="n">
        <x:v>30000</x:v>
      </x:c>
      <x:c r="AL214" s="120" t="n">
        <x:v>30000</x:v>
      </x:c>
      <x:c r="AM214" s="112" t="str">
        <x:v>GIỮ NGUYÊN - ĐÃ KHỚP</x:v>
      </x:c>
      <x:c r="AN214" s="126" t="n">
        <x:v>478</x:v>
      </x:c>
      <x:c r="AO214" s="126" t="n">
        <x:v>479</x:v>
      </x:c>
      <x:c r="AP214" s="113" t="str">
        <x:v>12 HỘP / THÙNG</x:v>
      </x:c>
    </x:row>
    <x:row r="215">
      <x:c r="A215" s="71" t="str">
        <x:v>SỐT GOLD SOCOLA</x:v>
      </x:c>
      <x:c r="B215" s="30" t="str">
        <x:v>SỐT GOLD SOCOLA - THÙNG</x:v>
      </x:c>
      <x:c r="C215" s="37" t="str">
        <x:v>SSCLGD</x:v>
      </x:c>
      <x:c r="D215" s="37" t="str">
        <x:v>SSCLGDT</x:v>
      </x:c>
      <x:c r="E215" s="37" t="str">
        <x:v>SSCLGDT</x:v>
      </x:c>
      <x:c r="F215" s="37" t="n">
        <x:v>12</x:v>
      </x:c>
      <x:c r="G215" s="37" t="n">
        <x:v>13000</x:v>
      </x:c>
      <x:c r="H215" s="37" t="str">
        <x:v>g</x:v>
      </x:c>
      <x:c r="I215" s="37" t="str">
        <x:v>THÙNG</x:v>
      </x:c>
      <x:c r="J215" s="59" t="n">
        <x:v>731000</x:v>
      </x:c>
      <x:c r="K215" s="59" t="n">
        <x:v>0</x:v>
      </x:c>
      <x:c r="L215" s="59" t="n">
        <x:v>0</x:v>
      </x:c>
      <x:c r="M215" s="37" t="str">
        <x:v>Sốt topping</x:v>
      </x:c>
      <x:c r="N215" s="37" t="str">
        <x:v>ĐÃ GHÉP - QUY TẮC</x:v>
      </x:c>
      <x:c r="O215" s="61" t="n">
        <x:v>0.99</x:v>
      </x:c>
      <x:c r="P215" s="37" t="n">
        <x:v>101</x:v>
      </x:c>
      <x:c r="Q215" s="30" t="str">
        <x:v>Sốt Gold  SÔ</x:v>
      </x:c>
      <x:c r="R215" s="30" t="str">
        <x:v>Thùng 12 chai</x:v>
      </x:c>
      <x:c r="S215" s="30" t="str">
        <x:v>Chai</x:v>
      </x:c>
      <x:c r="T215" s="37" t="str">
        <x:v>ĐƠN VỊ</x:v>
      </x:c>
      <x:c r="U215" s="59" t="n">
        <x:v>71000</x:v>
      </x:c>
      <x:c r="V215" s="59"/>
      <x:c r="W215" s="117" t="n">
        <x:v>66000</x:v>
      </x:c>
      <x:c r="X215" s="59" t="str">
        <x:f>IFERROR(IF(OR($N215="ĐÃ GHÉP - AUTO",$N215="ĐÃ GHÉP - QUY TẮC"),IF($V215="","",IF($T215="THÙNG",$V215/$F215,$V215)),""),"")</x:f>
      </x:c>
      <x:c r="Y215" s="117" t="n">
        <x:f>IF(OR(W215="",F215=""),"",W215*F215)</x:f>
        <x:v>792000</x:v>
      </x:c>
      <x:c r="Z215" s="59" t="str">
        <x:f>IFERROR(IF(OR($N215="ĐÃ GHÉP - AUTO",$N215="ĐÃ GHÉP - QUY TẮC"),IF($V215="","",IF($T215="THÙNG",$V215,$V215*$F215)),""),"")</x:f>
      </x:c>
      <x:c r="AA215" s="28" t="str">
        <x:f>IFERROR(IF(OR($K215="",$K215=0,$Y215=""),"",($Y215-$K215)/$K215),"")</x:f>
      </x:c>
      <x:c r="AB215" s="37" t="str">
        <x:f>IFERROR(IF($N215="CẦN DUYỆT","DUYỆT MAP",IF($N215="CHƯA CÓ GIÁ LẺ","THIẾU GIÁ",IF(OR($K215="",$K215=0,$Y215=""),"OK",IF(ABS(($Y215-$K215)/$K215)&gt;0.15,"LỆCH GIÁ CŨ","OK")))),"OK")</x:f>
        <x:v>OK</x:v>
      </x:c>
      <x:c r="AC215" s="30" t="str">
        <x:v>Sốt Gold Socola</x:v>
      </x:c>
      <x:c r="AD215" s="37" t="str">
        <x:v>SSCLGD</x:v>
      </x:c>
      <x:c r="AE215" s="38" t="str">
        <x:v>SSCLGDT</x:v>
      </x:c>
      <x:c r="AF215" s="123" t="n">
        <x:v>700</x:v>
      </x:c>
      <x:c r="AG215" s="112" t="str">
        <x:v>g</x:v>
      </x:c>
      <x:c r="AH215" s="112" t="str">
        <x:v>CHAI</x:v>
      </x:c>
      <x:c r="AI215" s="112" t="str">
        <x:v>700 g / CHAI</x:v>
      </x:c>
      <x:c r="AJ215" s="120" t="n">
        <x:v>66000</x:v>
      </x:c>
      <x:c r="AK215" s="120" t="n">
        <x:v>71000</x:v>
      </x:c>
      <x:c r="AL215" s="120" t="n">
        <x:v>66000</x:v>
      </x:c>
      <x:c r="AM215" s="112" t="str">
        <x:v>CẬP NHẬT GIÁ</x:v>
      </x:c>
      <x:c r="AN215" s="126" t="n">
        <x:v>480</x:v>
      </x:c>
      <x:c r="AO215" s="126" t="n">
        <x:v>481</x:v>
      </x:c>
      <x:c r="AP215" s="113" t="str">
        <x:v>12 CHAI / THÙNG</x:v>
      </x:c>
    </x:row>
    <x:row r="216">
      <x:c r="A216" s="71" t="str">
        <x:v>SỐT DOUXIAN SOCOLA</x:v>
      </x:c>
      <x:c r="B216" s="30" t="str">
        <x:v>SỐT DOUXIAN SOCOLA - THÙNG</x:v>
      </x:c>
      <x:c r="C216" s="37" t="str">
        <x:v>SSCLDX</x:v>
      </x:c>
      <x:c r="D216" s="37" t="str">
        <x:v>SSCLDXT</x:v>
      </x:c>
      <x:c r="E216" s="37" t="str">
        <x:v>SSCLDXT</x:v>
      </x:c>
      <x:c r="F216" s="37" t="n">
        <x:v>12</x:v>
      </x:c>
      <x:c r="G216" s="37" t="n">
        <x:v>13000</x:v>
      </x:c>
      <x:c r="H216" s="37" t="str">
        <x:v>g</x:v>
      </x:c>
      <x:c r="I216" s="37" t="str">
        <x:v>THÙNG</x:v>
      </x:c>
      <x:c r="J216" s="59" t="n">
        <x:v>0</x:v>
      </x:c>
      <x:c r="K216" s="59" t="n">
        <x:v>0</x:v>
      </x:c>
      <x:c r="L216" s="59" t="n">
        <x:v>0</x:v>
      </x:c>
      <x:c r="M216" s="37" t="str">
        <x:v>Sốt topping</x:v>
      </x:c>
      <x:c r="N216" s="37" t="str">
        <x:v>ĐÃ GHÉP - QUY TẮC</x:v>
      </x:c>
      <x:c r="O216" s="61" t="n">
        <x:v>0.99</x:v>
      </x:c>
      <x:c r="P216" s="37" t="n">
        <x:v>99</x:v>
      </x:c>
      <x:c r="Q216" s="30" t="str">
        <x:v>Sốt Douxian các loại</x:v>
      </x:c>
      <x:c r="R216" s="30" t="str">
        <x:v>Thùng 12 chai</x:v>
      </x:c>
      <x:c r="S216" s="30" t="str">
        <x:v>Chai</x:v>
      </x:c>
      <x:c r="T216" s="37" t="str">
        <x:v>ĐƠN VỊ</x:v>
      </x:c>
      <x:c r="U216" s="59" t="n">
        <x:v>53000</x:v>
      </x:c>
      <x:c r="V216" s="59"/>
      <x:c r="W216" s="117" t="n">
        <x:v>53000</x:v>
      </x:c>
      <x:c r="X216" s="59" t="str">
        <x:f>IFERROR(IF(OR($N216="ĐÃ GHÉP - AUTO",$N216="ĐÃ GHÉP - QUY TẮC"),IF($V216="","",IF($T216="THÙNG",$V216/$F216,$V216)),""),"")</x:f>
      </x:c>
      <x:c r="Y216" s="117" t="n">
        <x:f>IF(OR(W216="",F216=""),"",W216*F216)</x:f>
        <x:v>636000</x:v>
      </x:c>
      <x:c r="Z216" s="59" t="str">
        <x:f>IFERROR(IF(OR($N216="ĐÃ GHÉP - AUTO",$N216="ĐÃ GHÉP - QUY TẮC"),IF($V216="","",IF($T216="THÙNG",$V216,$V216*$F216)),""),"")</x:f>
      </x:c>
      <x:c r="AA216" s="28" t="str">
        <x:f>IFERROR(IF(OR($K216="",$K216=0,$Y216=""),"",($Y216-$K216)/$K216),"")</x:f>
      </x:c>
      <x:c r="AB216" s="37" t="str">
        <x:f>IFERROR(IF($N216="CẦN DUYỆT","DUYỆT MAP",IF($N216="CHƯA CÓ GIÁ LẺ","THIẾU GIÁ",IF(OR($K216="",$K216=0,$Y216=""),"OK",IF(ABS(($Y216-$K216)/$K216)&gt;0.15,"LỆCH GIÁ CŨ","OK")))),"OK")</x:f>
        <x:v>OK</x:v>
      </x:c>
      <x:c r="AC216" s="30" t="str">
        <x:v>Giá chung sốt Douxian</x:v>
      </x:c>
      <x:c r="AD216" s="37" t="str">
        <x:v>SSCLDX</x:v>
      </x:c>
      <x:c r="AE216" s="38" t="str">
        <x:v>SSCLDXT</x:v>
      </x:c>
      <x:c r="AF216" s="123" t="n">
        <x:v>750</x:v>
      </x:c>
      <x:c r="AG216" s="112" t="str">
        <x:v>g</x:v>
      </x:c>
      <x:c r="AH216" s="112" t="str">
        <x:v>CHAI</x:v>
      </x:c>
      <x:c r="AI216" s="112" t="str">
        <x:v>750 g / CHAI</x:v>
      </x:c>
      <x:c r="AJ216" s="120" t="n">
        <x:v>53000</x:v>
      </x:c>
      <x:c r="AK216" s="120" t="n">
        <x:v>53000</x:v>
      </x:c>
      <x:c r="AL216" s="120" t="n">
        <x:v>53000</x:v>
      </x:c>
      <x:c r="AM216" s="112" t="str">
        <x:v>GIỮ NGUYÊN - ĐÃ KHỚP</x:v>
      </x:c>
      <x:c r="AN216" s="126" t="n">
        <x:v>482</x:v>
      </x:c>
      <x:c r="AO216" s="126" t="n">
        <x:v>483</x:v>
      </x:c>
      <x:c r="AP216" s="113" t="str">
        <x:v>12 CHAI / THÙNG</x:v>
      </x:c>
    </x:row>
    <x:row r="217">
      <x:c r="A217" s="71" t="str">
        <x:v>SỐT GOLD MÔN</x:v>
      </x:c>
      <x:c r="B217" s="30" t="str">
        <x:v>SỐT GOLD MÔN - THÙNG</x:v>
      </x:c>
      <x:c r="C217" s="37" t="str">
        <x:v>SMONGD</x:v>
      </x:c>
      <x:c r="D217" s="37" t="str">
        <x:v>SMONGDT</x:v>
      </x:c>
      <x:c r="E217" s="37" t="str">
        <x:v>SMONGDT</x:v>
      </x:c>
      <x:c r="F217" s="37" t="n">
        <x:v>12</x:v>
      </x:c>
      <x:c r="G217" s="37" t="n">
        <x:v>13000</x:v>
      </x:c>
      <x:c r="H217" s="37" t="str">
        <x:v>g</x:v>
      </x:c>
      <x:c r="I217" s="37" t="str">
        <x:v>THÙNG</x:v>
      </x:c>
      <x:c r="J217" s="59" t="n">
        <x:v>797000</x:v>
      </x:c>
      <x:c r="K217" s="59" t="n">
        <x:v>0</x:v>
      </x:c>
      <x:c r="L217" s="59" t="n">
        <x:v>0</x:v>
      </x:c>
      <x:c r="M217" s="37" t="str">
        <x:v>Sốt topping</x:v>
      </x:c>
      <x:c r="N217" s="37" t="str">
        <x:v>ĐÃ GHÉP - QUY TẮC</x:v>
      </x:c>
      <x:c r="O217" s="61" t="n">
        <x:v>0.99</x:v>
      </x:c>
      <x:c r="P217" s="37" t="n">
        <x:v>102</x:v>
      </x:c>
      <x:c r="Q217" s="30" t="str">
        <x:v>Sốt Gold  MÔN</x:v>
      </x:c>
      <x:c r="R217" s="30" t="str">
        <x:v>Thùng 12 chai</x:v>
      </x:c>
      <x:c r="S217" s="30" t="str">
        <x:v>Chai</x:v>
      </x:c>
      <x:c r="T217" s="37" t="str">
        <x:v>ĐƠN VỊ</x:v>
      </x:c>
      <x:c r="U217" s="59" t="n">
        <x:v>66000</x:v>
      </x:c>
      <x:c r="V217" s="59"/>
      <x:c r="W217" s="117" t="n">
        <x:v>71000</x:v>
      </x:c>
      <x:c r="X217" s="59" t="str">
        <x:f>IFERROR(IF(OR($N217="ĐÃ GHÉP - AUTO",$N217="ĐÃ GHÉP - QUY TẮC"),IF($V217="","",IF($T217="THÙNG",$V217/$F217,$V217)),""),"")</x:f>
      </x:c>
      <x:c r="Y217" s="117" t="n">
        <x:f>IF(OR(W217="",F217=""),"",W217*F217)</x:f>
        <x:v>852000</x:v>
      </x:c>
      <x:c r="Z217" s="59" t="str">
        <x:f>IFERROR(IF(OR($N217="ĐÃ GHÉP - AUTO",$N217="ĐÃ GHÉP - QUY TẮC"),IF($V217="","",IF($T217="THÙNG",$V217,$V217*$F217)),""),"")</x:f>
      </x:c>
      <x:c r="AA217" s="28" t="str">
        <x:f>IFERROR(IF(OR($K217="",$K217=0,$Y217=""),"",($Y217-$K217)/$K217),"")</x:f>
      </x:c>
      <x:c r="AB217" s="37" t="str">
        <x:f>IFERROR(IF($N217="CẦN DUYỆT","DUYỆT MAP",IF($N217="CHƯA CÓ GIÁ LẺ","THIẾU GIÁ",IF(OR($K217="",$K217=0,$Y217=""),"OK",IF(ABS(($Y217-$K217)/$K217)&gt;0.15,"LỆCH GIÁ CŨ","OK")))),"OK")</x:f>
        <x:v>OK</x:v>
      </x:c>
      <x:c r="AC217" s="30" t="str">
        <x:v>Sốt Gold Môn</x:v>
      </x:c>
      <x:c r="AD217" s="37" t="str">
        <x:v>SMONGD</x:v>
      </x:c>
      <x:c r="AE217" s="38" t="str">
        <x:v>SMONGDT</x:v>
      </x:c>
      <x:c r="AF217" s="123" t="n">
        <x:v>700</x:v>
      </x:c>
      <x:c r="AG217" s="112" t="str">
        <x:v>g</x:v>
      </x:c>
      <x:c r="AH217" s="112" t="str">
        <x:v>CHAI</x:v>
      </x:c>
      <x:c r="AI217" s="112" t="str">
        <x:v>700 g / CHAI</x:v>
      </x:c>
      <x:c r="AJ217" s="120" t="n">
        <x:v>71000</x:v>
      </x:c>
      <x:c r="AK217" s="120" t="n">
        <x:v>66000</x:v>
      </x:c>
      <x:c r="AL217" s="120" t="n">
        <x:v>71000</x:v>
      </x:c>
      <x:c r="AM217" s="112" t="str">
        <x:v>CẬP NHẬT GIÁ</x:v>
      </x:c>
      <x:c r="AN217" s="126" t="n">
        <x:v>486</x:v>
      </x:c>
      <x:c r="AO217" s="126" t="n">
        <x:v>487</x:v>
      </x:c>
      <x:c r="AP217" s="113" t="str">
        <x:v>12 CHAI / THÙNG</x:v>
      </x:c>
    </x:row>
    <x:row r="218">
      <x:c r="A218" s="71" t="str">
        <x:v>SỐT GOLD MATCHA</x:v>
      </x:c>
      <x:c r="B218" s="30" t="str">
        <x:v>SỐT GOLD MATCHA - THÙNG</x:v>
      </x:c>
      <x:c r="C218" s="37" t="str">
        <x:v>SMATGD</x:v>
      </x:c>
      <x:c r="D218" s="37" t="str">
        <x:v>SMATGDT</x:v>
      </x:c>
      <x:c r="E218" s="37" t="str">
        <x:v>SMATGDT</x:v>
      </x:c>
      <x:c r="F218" s="37" t="n">
        <x:v>12</x:v>
      </x:c>
      <x:c r="G218" s="37" t="n">
        <x:v>13000</x:v>
      </x:c>
      <x:c r="H218" s="37" t="str">
        <x:v>g</x:v>
      </x:c>
      <x:c r="I218" s="37" t="str">
        <x:v>THÙNG</x:v>
      </x:c>
      <x:c r="J218" s="59" t="n">
        <x:v>0</x:v>
      </x:c>
      <x:c r="K218" s="59" t="n">
        <x:v>0</x:v>
      </x:c>
      <x:c r="L218" s="59" t="n">
        <x:v>0</x:v>
      </x:c>
      <x:c r="M218" s="37" t="str">
        <x:v>Sốt topping</x:v>
      </x:c>
      <x:c r="N218" s="37" t="str">
        <x:v>ĐÃ GHÉP - QUY TẮC</x:v>
      </x:c>
      <x:c r="O218" s="61" t="n">
        <x:v>0.99</x:v>
      </x:c>
      <x:c r="P218" s="37" t="n">
        <x:v>100</x:v>
      </x:c>
      <x:c r="Q218" s="30" t="str">
        <x:v>Sốt Gold Matcha</x:v>
      </x:c>
      <x:c r="R218" s="30" t="str">
        <x:v>Thùng 12 chai</x:v>
      </x:c>
      <x:c r="S218" s="30" t="str">
        <x:v>Chai</x:v>
      </x:c>
      <x:c r="T218" s="37" t="str">
        <x:v>ĐƠN VỊ</x:v>
      </x:c>
      <x:c r="U218" s="59" t="n">
        <x:v>74000</x:v>
      </x:c>
      <x:c r="V218" s="59"/>
      <x:c r="W218" s="117" t="n">
        <x:v>74000</x:v>
      </x:c>
      <x:c r="X218" s="59" t="str">
        <x:f>IFERROR(IF(OR($N218="ĐÃ GHÉP - AUTO",$N218="ĐÃ GHÉP - QUY TẮC"),IF($V218="","",IF($T218="THÙNG",$V218/$F218,$V218)),""),"")</x:f>
      </x:c>
      <x:c r="Y218" s="117" t="n">
        <x:f>IF(OR(W218="",F218=""),"",W218*F218)</x:f>
        <x:v>888000</x:v>
      </x:c>
      <x:c r="Z218" s="59" t="str">
        <x:f>IFERROR(IF(OR($N218="ĐÃ GHÉP - AUTO",$N218="ĐÃ GHÉP - QUY TẮC"),IF($V218="","",IF($T218="THÙNG",$V218,$V218*$F218)),""),"")</x:f>
      </x:c>
      <x:c r="AA218" s="28" t="str">
        <x:f>IFERROR(IF(OR($K218="",$K218=0,$Y218=""),"",($Y218-$K218)/$K218),"")</x:f>
      </x:c>
      <x:c r="AB218" s="37" t="str">
        <x:f>IFERROR(IF($N218="CẦN DUYỆT","DUYỆT MAP",IF($N218="CHƯA CÓ GIÁ LẺ","THIẾU GIÁ",IF(OR($K218="",$K218=0,$Y218=""),"OK",IF(ABS(($Y218-$K218)/$K218)&gt;0.15,"LỆCH GIÁ CŨ","OK")))),"OK")</x:f>
        <x:v>OK</x:v>
      </x:c>
      <x:c r="AC218" s="30" t="str">
        <x:v>Sốt Gold Matcha</x:v>
      </x:c>
      <x:c r="AD218" s="37" t="str">
        <x:v>SMATGD</x:v>
      </x:c>
      <x:c r="AE218" s="38" t="str">
        <x:v>SMATGDT</x:v>
      </x:c>
      <x:c r="AF218" s="123" t="n">
        <x:v>700</x:v>
      </x:c>
      <x:c r="AG218" s="112" t="str">
        <x:v>g</x:v>
      </x:c>
      <x:c r="AH218" s="112" t="str">
        <x:v>CHAI</x:v>
      </x:c>
      <x:c r="AI218" s="112" t="str">
        <x:v>700 g / CHAI</x:v>
      </x:c>
      <x:c r="AJ218" s="120" t="n">
        <x:v>74000</x:v>
      </x:c>
      <x:c r="AK218" s="120" t="n">
        <x:v>74000</x:v>
      </x:c>
      <x:c r="AL218" s="120" t="n">
        <x:v>74000</x:v>
      </x:c>
      <x:c r="AM218" s="112" t="str">
        <x:v>GIỮ NGUYÊN - ĐÃ KHỚP</x:v>
      </x:c>
      <x:c r="AN218" s="126" t="n">
        <x:v>488</x:v>
      </x:c>
      <x:c r="AO218" s="126" t="n">
        <x:v>489</x:v>
      </x:c>
      <x:c r="AP218" s="113" t="str">
        <x:v>12 CHAI / THÙNG</x:v>
      </x:c>
    </x:row>
    <x:row r="219">
      <x:c r="A219" s="71" t="str">
        <x:v>SỐT DOUXIAN MATCHA</x:v>
      </x:c>
      <x:c r="B219" s="30" t="str">
        <x:v>SỐT DOUXIAN MATCHA - THÙNG</x:v>
      </x:c>
      <x:c r="C219" s="37" t="str">
        <x:v>SMATDX</x:v>
      </x:c>
      <x:c r="D219" s="37" t="str">
        <x:v>SMATDXT</x:v>
      </x:c>
      <x:c r="E219" s="37" t="str">
        <x:v>SMATDXT</x:v>
      </x:c>
      <x:c r="F219" s="37" t="n">
        <x:v>12</x:v>
      </x:c>
      <x:c r="G219" s="37" t="n">
        <x:v>13000</x:v>
      </x:c>
      <x:c r="H219" s="37" t="str">
        <x:v>g</x:v>
      </x:c>
      <x:c r="I219" s="37" t="str">
        <x:v>THÙNG</x:v>
      </x:c>
      <x:c r="J219" s="59" t="n">
        <x:v>0</x:v>
      </x:c>
      <x:c r="K219" s="59" t="n">
        <x:v>13000</x:v>
      </x:c>
      <x:c r="L219" s="59" t="n">
        <x:v>0</x:v>
      </x:c>
      <x:c r="M219" s="37" t="str">
        <x:v>Sốt topping</x:v>
      </x:c>
      <x:c r="N219" s="37" t="str">
        <x:v>ĐÃ GHÉP - QUY TẮC</x:v>
      </x:c>
      <x:c r="O219" s="61" t="n">
        <x:v>0.99</x:v>
      </x:c>
      <x:c r="P219" s="37" t="n">
        <x:v>99</x:v>
      </x:c>
      <x:c r="Q219" s="30" t="str">
        <x:v>Sốt Douxian các loại</x:v>
      </x:c>
      <x:c r="R219" s="30" t="str">
        <x:v>Thùng 12 chai</x:v>
      </x:c>
      <x:c r="S219" s="30" t="str">
        <x:v>Chai</x:v>
      </x:c>
      <x:c r="T219" s="37" t="str">
        <x:v>ĐƠN VỊ</x:v>
      </x:c>
      <x:c r="U219" s="59" t="n">
        <x:v>53000</x:v>
      </x:c>
      <x:c r="V219" s="59"/>
      <x:c r="W219" s="117" t="n">
        <x:v>53000</x:v>
      </x:c>
      <x:c r="X219" s="59" t="str">
        <x:f>IFERROR(IF(OR($N219="ĐÃ GHÉP - AUTO",$N219="ĐÃ GHÉP - QUY TẮC"),IF($V219="","",IF($T219="THÙNG",$V219/$F219,$V219)),""),"")</x:f>
      </x:c>
      <x:c r="Y219" s="117" t="n">
        <x:f>IF(OR(W219="",F219=""),"",W219*F219)</x:f>
        <x:v>636000</x:v>
      </x:c>
      <x:c r="Z219" s="59" t="str">
        <x:f>IFERROR(IF(OR($N219="ĐÃ GHÉP - AUTO",$N219="ĐÃ GHÉP - QUY TẮC"),IF($V219="","",IF($T219="THÙNG",$V219,$V219*$F219)),""),"")</x:f>
      </x:c>
      <x:c r="AA219" s="28" t="n">
        <x:f>IFERROR(IF(OR($K219="",$K219=0,$Y219=""),"",($Y219-$K219)/$K219),"")</x:f>
        <x:v>47.92307692307692</x:v>
      </x:c>
      <x:c r="AB219" s="37" t="str">
        <x:f>IFERROR(IF($N219="CẦN DUYỆT","DUYỆT MAP",IF($N219="CHƯA CÓ GIÁ LẺ","THIẾU GIÁ",IF(OR($K219="",$K219=0,$Y219=""),"OK",IF(ABS(($Y219-$K219)/$K219)&gt;0.15,"LỆCH GIÁ CŨ","OK")))),"OK")</x:f>
        <x:v>LỆCH GIÁ CŨ</x:v>
      </x:c>
      <x:c r="AC219" s="30" t="str">
        <x:v>Giá chung sốt Douxian</x:v>
      </x:c>
      <x:c r="AD219" s="37" t="str">
        <x:v>SMATDX</x:v>
      </x:c>
      <x:c r="AE219" s="38" t="str">
        <x:v>SMATDXT</x:v>
      </x:c>
      <x:c r="AF219" s="123" t="n">
        <x:v>750</x:v>
      </x:c>
      <x:c r="AG219" s="112" t="str">
        <x:v>g</x:v>
      </x:c>
      <x:c r="AH219" s="112" t="str">
        <x:v>CHAI</x:v>
      </x:c>
      <x:c r="AI219" s="112" t="str">
        <x:v>750 g / CHAI</x:v>
      </x:c>
      <x:c r="AJ219" s="120" t="n">
        <x:v>53000</x:v>
      </x:c>
      <x:c r="AK219" s="120" t="n">
        <x:v>53000</x:v>
      </x:c>
      <x:c r="AL219" s="120" t="n">
        <x:v>53000</x:v>
      </x:c>
      <x:c r="AM219" s="112" t="str">
        <x:v>GIỮ NGUYÊN - ĐÃ KHỚP</x:v>
      </x:c>
      <x:c r="AN219" s="126" t="n">
        <x:v>490</x:v>
      </x:c>
      <x:c r="AO219" s="126" t="n">
        <x:v>491</x:v>
      </x:c>
      <x:c r="AP219" s="113" t="str">
        <x:v>12 CHAI / THÙNG</x:v>
      </x:c>
    </x:row>
    <x:row r="220">
      <x:c r="A220" s="71" t="str">
        <x:v>SỐT GOLD ĐƯỜNG ĐEN</x:v>
      </x:c>
      <x:c r="B220" s="30" t="str">
        <x:v>SỐT GOLD ĐƯỜNG ĐEN - THÙNG</x:v>
      </x:c>
      <x:c r="C220" s="37" t="str">
        <x:v>SDDEGD</x:v>
      </x:c>
      <x:c r="D220" s="37" t="str">
        <x:v>SDDEGDT</x:v>
      </x:c>
      <x:c r="E220" s="37" t="str">
        <x:v>SDDEGDT</x:v>
      </x:c>
      <x:c r="F220" s="37" t="n">
        <x:v>12</x:v>
      </x:c>
      <x:c r="G220" s="37" t="n">
        <x:v>13000</x:v>
      </x:c>
      <x:c r="H220" s="37" t="str">
        <x:v>g</x:v>
      </x:c>
      <x:c r="I220" s="37" t="str">
        <x:v>THÙNG</x:v>
      </x:c>
      <x:c r="J220" s="59" t="n">
        <x:v>0</x:v>
      </x:c>
      <x:c r="K220" s="59" t="n">
        <x:v>0</x:v>
      </x:c>
      <x:c r="L220" s="59" t="n">
        <x:v>0</x:v>
      </x:c>
      <x:c r="M220" s="37" t="str">
        <x:v>Sốt topping</x:v>
      </x:c>
      <x:c r="N220" s="37" t="str">
        <x:v>ĐÃ GHÉP - QUY TẮC</x:v>
      </x:c>
      <x:c r="O220" s="61" t="n">
        <x:v>0.99</x:v>
      </x:c>
      <x:c r="P220" s="37" t="n">
        <x:v>103</x:v>
      </x:c>
      <x:c r="Q220" s="30" t="str">
        <x:v>Sốt Gold khác</x:v>
      </x:c>
      <x:c r="R220" s="30" t="str">
        <x:v>Thùng 12 chai</x:v>
      </x:c>
      <x:c r="S220" s="30" t="str">
        <x:v>Chai</x:v>
      </x:c>
      <x:c r="T220" s="37" t="str">
        <x:v>ĐƠN VỊ</x:v>
      </x:c>
      <x:c r="U220" s="59" t="n">
        <x:v>62000</x:v>
      </x:c>
      <x:c r="V220" s="59"/>
      <x:c r="W220" s="117" t="n">
        <x:v>62000</x:v>
      </x:c>
      <x:c r="X220" s="59" t="str">
        <x:f>IFERROR(IF(OR($N220="ĐÃ GHÉP - AUTO",$N220="ĐÃ GHÉP - QUY TẮC"),IF($V220="","",IF($T220="THÙNG",$V220/$F220,$V220)),""),"")</x:f>
      </x:c>
      <x:c r="Y220" s="117" t="n">
        <x:f>IF(OR(W220="",F220=""),"",W220*F220)</x:f>
        <x:v>744000</x:v>
      </x:c>
      <x:c r="Z220" s="59" t="str">
        <x:f>IFERROR(IF(OR($N220="ĐÃ GHÉP - AUTO",$N220="ĐÃ GHÉP - QUY TẮC"),IF($V220="","",IF($T220="THÙNG",$V220,$V220*$F220)),""),"")</x:f>
      </x:c>
      <x:c r="AA220" s="28" t="str">
        <x:f>IFERROR(IF(OR($K220="",$K220=0,$Y220=""),"",($Y220-$K220)/$K220),"")</x:f>
      </x:c>
      <x:c r="AB220" s="37" t="str">
        <x:f>IFERROR(IF($N220="CẦN DUYỆT","DUYỆT MAP",IF($N220="CHƯA CÓ GIÁ LẺ","THIẾU GIÁ",IF(OR($K220="",$K220=0,$Y220=""),"OK",IF(ABS(($Y220-$K220)/$K220)&gt;0.15,"LỆCH GIÁ CŨ","OK")))),"OK")</x:f>
        <x:v>OK</x:v>
      </x:c>
      <x:c r="AC220" s="30" t="str">
        <x:v>Giá nhóm Sốt Gold khác</x:v>
      </x:c>
      <x:c r="AD220" s="37" t="str">
        <x:v>SDDEGD</x:v>
      </x:c>
      <x:c r="AE220" s="38" t="str">
        <x:v>SDDEGDT</x:v>
      </x:c>
      <x:c r="AF220" s="123" t="n">
        <x:v>700</x:v>
      </x:c>
      <x:c r="AG220" s="112" t="str">
        <x:v>g</x:v>
      </x:c>
      <x:c r="AH220" s="112" t="str">
        <x:v>CHAI</x:v>
      </x:c>
      <x:c r="AI220" s="112" t="str">
        <x:v>700 g / CHAI</x:v>
      </x:c>
      <x:c r="AJ220" s="120" t="n">
        <x:v>62000</x:v>
      </x:c>
      <x:c r="AK220" s="120" t="n">
        <x:v>62000</x:v>
      </x:c>
      <x:c r="AL220" s="120" t="n">
        <x:v>62000</x:v>
      </x:c>
      <x:c r="AM220" s="112" t="str">
        <x:v>GIỮ NGUYÊN - ĐÃ KHỚP</x:v>
      </x:c>
      <x:c r="AN220" s="126" t="n">
        <x:v>492</x:v>
      </x:c>
      <x:c r="AO220" s="126" t="n">
        <x:v>493</x:v>
      </x:c>
      <x:c r="AP220" s="113" t="str">
        <x:v>12 CHAI / THÙNG</x:v>
      </x:c>
    </x:row>
    <x:row r="221">
      <x:c r="A221" s="71" t="str">
        <x:v>SỐT GOLD DÂU</x:v>
      </x:c>
      <x:c r="B221" s="30" t="str">
        <x:v>SỐT GOLD DÂU - THÙNG</x:v>
      </x:c>
      <x:c r="C221" s="37" t="str">
        <x:v>SDAUGD</x:v>
      </x:c>
      <x:c r="D221" s="37" t="str">
        <x:v>SDAUGDT</x:v>
      </x:c>
      <x:c r="E221" s="37" t="str">
        <x:v>SDAUGDT</x:v>
      </x:c>
      <x:c r="F221" s="37" t="n">
        <x:v>12</x:v>
      </x:c>
      <x:c r="G221" s="37" t="n">
        <x:v>13000</x:v>
      </x:c>
      <x:c r="H221" s="37" t="str">
        <x:v>g</x:v>
      </x:c>
      <x:c r="I221" s="37" t="str">
        <x:v>THÙNG</x:v>
      </x:c>
      <x:c r="J221" s="59" t="n">
        <x:v>0</x:v>
      </x:c>
      <x:c r="K221" s="59" t="n">
        <x:v>0</x:v>
      </x:c>
      <x:c r="L221" s="59" t="n">
        <x:v>0</x:v>
      </x:c>
      <x:c r="M221" s="37" t="str">
        <x:v>Sốt topping</x:v>
      </x:c>
      <x:c r="N221" s="37" t="str">
        <x:v>ĐÃ GHÉP - QUY TẮC</x:v>
      </x:c>
      <x:c r="O221" s="61" t="n">
        <x:v>0.99</x:v>
      </x:c>
      <x:c r="P221" s="37" t="n">
        <x:v>103</x:v>
      </x:c>
      <x:c r="Q221" s="30" t="str">
        <x:v>Sốt Gold khác</x:v>
      </x:c>
      <x:c r="R221" s="30" t="str">
        <x:v>Thùng 12 chai</x:v>
      </x:c>
      <x:c r="S221" s="30" t="str">
        <x:v>Chai</x:v>
      </x:c>
      <x:c r="T221" s="37" t="str">
        <x:v>ĐƠN VỊ</x:v>
      </x:c>
      <x:c r="U221" s="59" t="n">
        <x:v>62000</x:v>
      </x:c>
      <x:c r="V221" s="59"/>
      <x:c r="W221" s="117" t="n">
        <x:v>62000</x:v>
      </x:c>
      <x:c r="X221" s="59" t="str">
        <x:f>IFERROR(IF(OR($N221="ĐÃ GHÉP - AUTO",$N221="ĐÃ GHÉP - QUY TẮC"),IF($V221="","",IF($T221="THÙNG",$V221/$F221,$V221)),""),"")</x:f>
      </x:c>
      <x:c r="Y221" s="117" t="n">
        <x:f>IF(OR(W221="",F221=""),"",W221*F221)</x:f>
        <x:v>744000</x:v>
      </x:c>
      <x:c r="Z221" s="59" t="str">
        <x:f>IFERROR(IF(OR($N221="ĐÃ GHÉP - AUTO",$N221="ĐÃ GHÉP - QUY TẮC"),IF($V221="","",IF($T221="THÙNG",$V221,$V221*$F221)),""),"")</x:f>
      </x:c>
      <x:c r="AA221" s="28" t="str">
        <x:f>IFERROR(IF(OR($K221="",$K221=0,$Y221=""),"",($Y221-$K221)/$K221),"")</x:f>
      </x:c>
      <x:c r="AB221" s="37" t="str">
        <x:f>IFERROR(IF($N221="CẦN DUYỆT","DUYỆT MAP",IF($N221="CHƯA CÓ GIÁ LẺ","THIẾU GIÁ",IF(OR($K221="",$K221=0,$Y221=""),"OK",IF(ABS(($Y221-$K221)/$K221)&gt;0.15,"LỆCH GIÁ CŨ","OK")))),"OK")</x:f>
        <x:v>OK</x:v>
      </x:c>
      <x:c r="AC221" s="30" t="str">
        <x:v>Giá nhóm Sốt Gold khác</x:v>
      </x:c>
      <x:c r="AD221" s="37" t="str">
        <x:v>SDAUGD</x:v>
      </x:c>
      <x:c r="AE221" s="38" t="str">
        <x:v>SDAUGDT</x:v>
      </x:c>
      <x:c r="AF221" s="123" t="n">
        <x:v>700</x:v>
      </x:c>
      <x:c r="AG221" s="112" t="str">
        <x:v>g</x:v>
      </x:c>
      <x:c r="AH221" s="112" t="str">
        <x:v>CHAI</x:v>
      </x:c>
      <x:c r="AI221" s="112" t="str">
        <x:v>700 g / CHAI</x:v>
      </x:c>
      <x:c r="AJ221" s="120" t="n">
        <x:v>62000</x:v>
      </x:c>
      <x:c r="AK221" s="120" t="n">
        <x:v>62000</x:v>
      </x:c>
      <x:c r="AL221" s="120" t="n">
        <x:v>62000</x:v>
      </x:c>
      <x:c r="AM221" s="112" t="str">
        <x:v>GIỮ NGUYÊN - ĐÃ KHỚP</x:v>
      </x:c>
      <x:c r="AN221" s="126" t="n">
        <x:v>494</x:v>
      </x:c>
      <x:c r="AO221" s="126" t="n">
        <x:v>495</x:v>
      </x:c>
      <x:c r="AP221" s="113" t="str">
        <x:v>12 CHAI / THÙNG</x:v>
      </x:c>
    </x:row>
    <x:row r="222">
      <x:c r="A222" s="71" t="str">
        <x:v>SỐT DOUXIAN DÂU</x:v>
      </x:c>
      <x:c r="B222" s="30" t="str">
        <x:v>SỐT DOUXIAN DÂU - THÙNG</x:v>
      </x:c>
      <x:c r="C222" s="37" t="str">
        <x:v>SDAUDX</x:v>
      </x:c>
      <x:c r="D222" s="37" t="str">
        <x:v>SDAUDXT</x:v>
      </x:c>
      <x:c r="E222" s="37" t="str">
        <x:v>SDAUDXT</x:v>
      </x:c>
      <x:c r="F222" s="37" t="n">
        <x:v>12</x:v>
      </x:c>
      <x:c r="G222" s="37" t="n">
        <x:v>13000</x:v>
      </x:c>
      <x:c r="H222" s="37" t="str">
        <x:v>g</x:v>
      </x:c>
      <x:c r="I222" s="37" t="str">
        <x:v>THÙNG</x:v>
      </x:c>
      <x:c r="J222" s="59" t="n">
        <x:v>0</x:v>
      </x:c>
      <x:c r="K222" s="59" t="n">
        <x:v>0</x:v>
      </x:c>
      <x:c r="L222" s="59" t="n">
        <x:v>0</x:v>
      </x:c>
      <x:c r="M222" s="37" t="str">
        <x:v>Sốt topping</x:v>
      </x:c>
      <x:c r="N222" s="37" t="str">
        <x:v>ĐÃ GHÉP - QUY TẮC</x:v>
      </x:c>
      <x:c r="O222" s="61" t="n">
        <x:v>0.99</x:v>
      </x:c>
      <x:c r="P222" s="37" t="n">
        <x:v>99</x:v>
      </x:c>
      <x:c r="Q222" s="30" t="str">
        <x:v>Sốt Douxian các loại</x:v>
      </x:c>
      <x:c r="R222" s="30" t="str">
        <x:v>Thùng 12 chai</x:v>
      </x:c>
      <x:c r="S222" s="30" t="str">
        <x:v>Chai</x:v>
      </x:c>
      <x:c r="T222" s="37" t="str">
        <x:v>ĐƠN VỊ</x:v>
      </x:c>
      <x:c r="U222" s="59" t="n">
        <x:v>53000</x:v>
      </x:c>
      <x:c r="V222" s="59"/>
      <x:c r="W222" s="117" t="n">
        <x:v>53000</x:v>
      </x:c>
      <x:c r="X222" s="59" t="str">
        <x:f>IFERROR(IF(OR($N222="ĐÃ GHÉP - AUTO",$N222="ĐÃ GHÉP - QUY TẮC"),IF($V222="","",IF($T222="THÙNG",$V222/$F222,$V222)),""),"")</x:f>
      </x:c>
      <x:c r="Y222" s="117" t="n">
        <x:f>IF(OR(W222="",F222=""),"",W222*F222)</x:f>
        <x:v>636000</x:v>
      </x:c>
      <x:c r="Z222" s="59" t="str">
        <x:f>IFERROR(IF(OR($N222="ĐÃ GHÉP - AUTO",$N222="ĐÃ GHÉP - QUY TẮC"),IF($V222="","",IF($T222="THÙNG",$V222,$V222*$F222)),""),"")</x:f>
      </x:c>
      <x:c r="AA222" s="28" t="str">
        <x:f>IFERROR(IF(OR($K222="",$K222=0,$Y222=""),"",($Y222-$K222)/$K222),"")</x:f>
      </x:c>
      <x:c r="AB222" s="37" t="str">
        <x:f>IFERROR(IF($N222="CẦN DUYỆT","DUYỆT MAP",IF($N222="CHƯA CÓ GIÁ LẺ","THIẾU GIÁ",IF(OR($K222="",$K222=0,$Y222=""),"OK",IF(ABS(($Y222-$K222)/$K222)&gt;0.15,"LỆCH GIÁ CŨ","OK")))),"OK")</x:f>
        <x:v>OK</x:v>
      </x:c>
      <x:c r="AC222" s="30" t="str">
        <x:v>Giá chung sốt Douxian</x:v>
      </x:c>
      <x:c r="AD222" s="37" t="str">
        <x:v>SDAUDX</x:v>
      </x:c>
      <x:c r="AE222" s="38" t="str">
        <x:v>SDAUDXT</x:v>
      </x:c>
      <x:c r="AF222" s="123" t="n">
        <x:v>750</x:v>
      </x:c>
      <x:c r="AG222" s="112" t="str">
        <x:v>g</x:v>
      </x:c>
      <x:c r="AH222" s="112" t="str">
        <x:v>CHAI</x:v>
      </x:c>
      <x:c r="AI222" s="112" t="str">
        <x:v>750 g / CHAI</x:v>
      </x:c>
      <x:c r="AJ222" s="120" t="n">
        <x:v>53000</x:v>
      </x:c>
      <x:c r="AK222" s="120" t="n">
        <x:v>53000</x:v>
      </x:c>
      <x:c r="AL222" s="120" t="n">
        <x:v>53000</x:v>
      </x:c>
      <x:c r="AM222" s="112" t="str">
        <x:v>GIỮ NGUYÊN - ĐÃ KHỚP</x:v>
      </x:c>
      <x:c r="AN222" s="126" t="n">
        <x:v>496</x:v>
      </x:c>
      <x:c r="AO222" s="126" t="n">
        <x:v>497</x:v>
      </x:c>
      <x:c r="AP222" s="113" t="str">
        <x:v>12 CHAI / THÙNG</x:v>
      </x:c>
    </x:row>
    <x:row r="223">
      <x:c r="A223" s="71" t="str">
        <x:v>SỐT GOLD CARAMEN</x:v>
      </x:c>
      <x:c r="B223" s="30" t="str">
        <x:v>SỐT GOLD CARAMEN - THÙNG</x:v>
      </x:c>
      <x:c r="C223" s="37" t="str">
        <x:v>SCARGD</x:v>
      </x:c>
      <x:c r="D223" s="37" t="str">
        <x:v>SCARGDT</x:v>
      </x:c>
      <x:c r="E223" s="37" t="str">
        <x:v>SCARGDT</x:v>
      </x:c>
      <x:c r="F223" s="37" t="n">
        <x:v>12</x:v>
      </x:c>
      <x:c r="G223" s="37" t="n">
        <x:v>13000</x:v>
      </x:c>
      <x:c r="H223" s="37" t="str">
        <x:v>g</x:v>
      </x:c>
      <x:c r="I223" s="37" t="str">
        <x:v>THÙNG</x:v>
      </x:c>
      <x:c r="J223" s="59" t="n">
        <x:v>0</x:v>
      </x:c>
      <x:c r="K223" s="59" t="n">
        <x:v>730000</x:v>
      </x:c>
      <x:c r="L223" s="59" t="n">
        <x:v>0</x:v>
      </x:c>
      <x:c r="M223" s="37" t="str">
        <x:v>Sốt topping</x:v>
      </x:c>
      <x:c r="N223" s="37" t="str">
        <x:v>ĐÃ GHÉP - QUY TẮC</x:v>
      </x:c>
      <x:c r="O223" s="61" t="n">
        <x:v>0.99</x:v>
      </x:c>
      <x:c r="P223" s="37" t="n">
        <x:v>103</x:v>
      </x:c>
      <x:c r="Q223" s="30" t="str">
        <x:v>Sốt Gold khác</x:v>
      </x:c>
      <x:c r="R223" s="30" t="str">
        <x:v>Thùng 12 chai</x:v>
      </x:c>
      <x:c r="S223" s="30" t="str">
        <x:v>Chai</x:v>
      </x:c>
      <x:c r="T223" s="37" t="str">
        <x:v>ĐƠN VỊ</x:v>
      </x:c>
      <x:c r="U223" s="59" t="n">
        <x:v>62000</x:v>
      </x:c>
      <x:c r="V223" s="59"/>
      <x:c r="W223" s="117" t="n">
        <x:v>62000</x:v>
      </x:c>
      <x:c r="X223" s="59" t="str">
        <x:f>IFERROR(IF(OR($N223="ĐÃ GHÉP - AUTO",$N223="ĐÃ GHÉP - QUY TẮC"),IF($V223="","",IF($T223="THÙNG",$V223/$F223,$V223)),""),"")</x:f>
      </x:c>
      <x:c r="Y223" s="117" t="n">
        <x:f>IF(OR(W223="",F223=""),"",W223*F223)</x:f>
        <x:v>744000</x:v>
      </x:c>
      <x:c r="Z223" s="59" t="str">
        <x:f>IFERROR(IF(OR($N223="ĐÃ GHÉP - AUTO",$N223="ĐÃ GHÉP - QUY TẮC"),IF($V223="","",IF($T223="THÙNG",$V223,$V223*$F223)),""),"")</x:f>
      </x:c>
      <x:c r="AA223" s="28" t="n">
        <x:f>IFERROR(IF(OR($K223="",$K223=0,$Y223=""),"",($Y223-$K223)/$K223),"")</x:f>
        <x:v>0.019178082191780823</x:v>
      </x:c>
      <x:c r="AB223" s="37" t="str">
        <x:f>IFERROR(IF($N223="CẦN DUYỆT","DUYỆT MAP",IF($N223="CHƯA CÓ GIÁ LẺ","THIẾU GIÁ",IF(OR($K223="",$K223=0,$Y223=""),"OK",IF(ABS(($Y223-$K223)/$K223)&gt;0.15,"LỆCH GIÁ CŨ","OK")))),"OK")</x:f>
        <x:v>OK</x:v>
      </x:c>
      <x:c r="AC223" s="30" t="str">
        <x:v>Giá nhóm Sốt Gold khác</x:v>
      </x:c>
      <x:c r="AD223" s="37" t="str">
        <x:v>SCARGD</x:v>
      </x:c>
      <x:c r="AE223" s="38" t="str">
        <x:v>SCARGDT</x:v>
      </x:c>
      <x:c r="AF223" s="123" t="n">
        <x:v>700</x:v>
      </x:c>
      <x:c r="AG223" s="112" t="str">
        <x:v>g</x:v>
      </x:c>
      <x:c r="AH223" s="112" t="str">
        <x:v>CHAI</x:v>
      </x:c>
      <x:c r="AI223" s="112" t="str">
        <x:v>700 g / CHAI</x:v>
      </x:c>
      <x:c r="AJ223" s="120" t="n">
        <x:v>62000</x:v>
      </x:c>
      <x:c r="AK223" s="120" t="n">
        <x:v>62000</x:v>
      </x:c>
      <x:c r="AL223" s="120" t="n">
        <x:v>62000</x:v>
      </x:c>
      <x:c r="AM223" s="112" t="str">
        <x:v>GIỮ NGUYÊN - ĐÃ KHỚP</x:v>
      </x:c>
      <x:c r="AN223" s="126" t="n">
        <x:v>498</x:v>
      </x:c>
      <x:c r="AO223" s="126" t="n">
        <x:v>499</x:v>
      </x:c>
      <x:c r="AP223" s="113" t="str">
        <x:v>12 CHAI / THÙNG</x:v>
      </x:c>
    </x:row>
    <x:row r="224">
      <x:c r="A224" s="71" t="str">
        <x:v>SOCOLA HESHEY</x:v>
      </x:c>
      <x:c r="B224" s="30" t="str">
        <x:v>SOCOLA HESHEY - THÙNG</x:v>
      </x:c>
      <x:c r="C224" s="37" t="str">
        <x:v>SCLHES</x:v>
      </x:c>
      <x:c r="D224" s="37" t="str">
        <x:v>SCLHEST</x:v>
      </x:c>
      <x:c r="E224" s="37" t="str">
        <x:v>SCLHEST</x:v>
      </x:c>
      <x:c r="F224" s="37" t="n">
        <x:v>12</x:v>
      </x:c>
      <x:c r="G224" s="37" t="n">
        <x:v>16</x:v>
      </x:c>
      <x:c r="H224" s="37" t="str">
        <x:v>kg</x:v>
      </x:c>
      <x:c r="I224" s="37" t="str">
        <x:v>THÙNG</x:v>
      </x:c>
      <x:c r="J224" s="59" t="n">
        <x:v>0</x:v>
      </x:c>
      <x:c r="K224" s="59" t="n">
        <x:v>1836000</x:v>
      </x:c>
      <x:c r="L224" s="59" t="n">
        <x:v>0</x:v>
      </x:c>
      <x:c r="M224" s="37" t="str">
        <x:v>Khác</x:v>
      </x:c>
      <x:c r="N224" s="37" t="str">
        <x:v>CHƯA CÓ GIÁ LẺ</x:v>
      </x:c>
      <x:c r="O224" s="61" t="n">
        <x:v>0.594</x:v>
      </x:c>
      <x:c r="P224" s="37"/>
      <x:c r="Q224" s="30"/>
      <x:c r="R224" s="30"/>
      <x:c r="S224" s="30"/>
      <x:c r="T224" s="37"/>
      <x:c r="U224" s="59"/>
      <x:c r="V224" s="59"/>
      <x:c r="W224" s="117" t="n">
        <x:v>155000</x:v>
      </x:c>
      <x:c r="X224" s="59" t="str">
        <x:f>IFERROR(IF(OR($N224="ĐÃ GHÉP - AUTO",$N224="ĐÃ GHÉP - QUY TẮC"),IF($V224="","",IF($T224="THÙNG",$V224/$F224,$V224)),""),"")</x:f>
      </x:c>
      <x:c r="Y224" s="117" t="n">
        <x:f>IF(OR(W224="",F224=""),"",W224*F224)</x:f>
        <x:v>1860000</x:v>
      </x:c>
      <x:c r="Z224" s="59" t="str">
        <x:f>IFERROR(IF(OR($N224="ĐÃ GHÉP - AUTO",$N224="ĐÃ GHÉP - QUY TẮC"),IF($V224="","",IF($T224="THÙNG",$V224,$V224*$F224)),""),"")</x:f>
      </x:c>
      <x:c r="AA224" s="28" t="n">
        <x:f>IFERROR(IF(OR($K224="",$K224=0,$Y224=""),"",($Y224-$K224)/$K224),"")</x:f>
        <x:v>0.013071895424836602</x:v>
      </x:c>
      <x:c r="AB224" s="37" t="str">
        <x:f>IFERROR(IF($N224="CẦN DUYỆT","DUYỆT MAP",IF($N224="CHƯA CÓ GIÁ LẺ","THIẾU GIÁ",IF(OR($K224="",$K224=0,$Y224=""),"OK",IF(ABS(($Y224-$K224)/$K224)&gt;0.15,"LỆCH GIÁ CŨ","OK")))),"OK")</x:f>
        <x:v>THIẾU GIÁ</x:v>
      </x:c>
      <x:c r="AC224" s="30" t="str">
        <x:v>ứng viên gần nhất=Sốt Socola Hershey; score=0.594</x:v>
      </x:c>
      <x:c r="AD224" s="37" t="str">
        <x:v>SCLHES</x:v>
      </x:c>
      <x:c r="AE224" s="38" t="str">
        <x:v>SCLHEST</x:v>
      </x:c>
      <x:c r="AF224" s="123" t="n">
        <x:v>1450</x:v>
      </x:c>
      <x:c r="AG224" s="112" t="str">
        <x:v>g</x:v>
      </x:c>
      <x:c r="AH224" s="112" t="str">
        <x:v>CHAI</x:v>
      </x:c>
      <x:c r="AI224" s="112" t="str">
        <x:v>1450 g / CHAI</x:v>
      </x:c>
      <x:c r="AJ224" s="120" t="n">
        <x:v>155000</x:v>
      </x:c>
      <x:c r="AK224" s="120"/>
      <x:c r="AL224" s="120" t="n">
        <x:v>155000</x:v>
      </x:c>
      <x:c r="AM224" s="112" t="str">
        <x:v>BỔ SUNG GIÁ</x:v>
      </x:c>
      <x:c r="AN224" s="126" t="n">
        <x:v>500</x:v>
      </x:c>
      <x:c r="AO224" s="126" t="n">
        <x:v>501</x:v>
      </x:c>
      <x:c r="AP224" s="113" t="str">
        <x:v>12 CHAI / THÙNG</x:v>
      </x:c>
    </x:row>
    <x:row r="225">
      <x:c r="A225" s="71" t="str">
        <x:v>SIRO VINA XOÀI</x:v>
      </x:c>
      <x:c r="B225" s="30" t="str">
        <x:v>SIRO VINA XOÀI - THÙNG</x:v>
      </x:c>
      <x:c r="C225" s="37" t="str">
        <x:v>SRVNXO</x:v>
      </x:c>
      <x:c r="D225" s="37" t="str">
        <x:v>SRVNXOT</x:v>
      </x:c>
      <x:c r="E225" s="37" t="str">
        <x:v>SRVNXOT</x:v>
      </x:c>
      <x:c r="F225" s="37" t="n">
        <x:v>12</x:v>
      </x:c>
      <x:c r="G225" s="37" t="n">
        <x:v>13000</x:v>
      </x:c>
      <x:c r="H225" s="37" t="str">
        <x:v>g</x:v>
      </x:c>
      <x:c r="I225" s="37" t="str">
        <x:v>THÙNG</x:v>
      </x:c>
      <x:c r="J225" s="59" t="n">
        <x:v>0</x:v>
      </x:c>
      <x:c r="K225" s="59" t="n">
        <x:v>0</x:v>
      </x:c>
      <x:c r="L225" s="59" t="n">
        <x:v>0</x:v>
      </x:c>
      <x:c r="M225" s="37" t="str">
        <x:v>Siro</x:v>
      </x:c>
      <x:c r="N225" s="37" t="str">
        <x:v>ĐÃ GHÉP - AUTO</x:v>
      </x:c>
      <x:c r="O225" s="61" t="n">
        <x:v>0.861</x:v>
      </x:c>
      <x:c r="P225" s="37" t="n">
        <x:v>12</x:v>
      </x:c>
      <x:c r="Q225" s="30" t="str">
        <x:v>Siro Vina</x:v>
      </x:c>
      <x:c r="R225" s="30" t="str">
        <x:v>Thùng 12 chai</x:v>
      </x:c>
      <x:c r="S225" s="30" t="str">
        <x:v>Chai</x:v>
      </x:c>
      <x:c r="T225" s="37" t="str">
        <x:v>ĐƠN VỊ</x:v>
      </x:c>
      <x:c r="U225" s="59" t="n">
        <x:v>40000</x:v>
      </x:c>
      <x:c r="V225" s="59"/>
      <x:c r="W225" s="117" t="n">
        <x:v>40000</x:v>
      </x:c>
      <x:c r="X225" s="59" t="str">
        <x:f>IFERROR(IF(OR($N225="ĐÃ GHÉP - AUTO",$N225="ĐÃ GHÉP - QUY TẮC"),IF($V225="","",IF($T225="THÙNG",$V225/$F225,$V225)),""),"")</x:f>
      </x:c>
      <x:c r="Y225" s="117" t="n">
        <x:f>IF(OR(W225="",F225=""),"",W225*F225)</x:f>
        <x:v>480000</x:v>
      </x:c>
      <x:c r="Z225" s="59" t="str">
        <x:f>IFERROR(IF(OR($N225="ĐÃ GHÉP - AUTO",$N225="ĐÃ GHÉP - QUY TẮC"),IF($V225="","",IF($T225="THÙNG",$V225,$V225*$F225)),""),"")</x:f>
      </x:c>
      <x:c r="AA225" s="28" t="str">
        <x:f>IFERROR(IF(OR($K225="",$K225=0,$Y225=""),"",($Y225-$K225)/$K225),"")</x:f>
      </x:c>
      <x:c r="AB225" s="37" t="str">
        <x:f>IFERROR(IF($N225="CẦN DUYỆT","DUYỆT MAP",IF($N225="CHƯA CÓ GIÁ LẺ","THIẾU GIÁ",IF(OR($K225="",$K225=0,$Y225=""),"OK",IF(ABS(($Y225-$K225)/$K225)&gt;0.15,"LỆCH GIÁ CŨ","OK")))),"OK")</x:f>
        <x:v>OK</x:v>
      </x:c>
      <x:c r="AC225" s="30" t="str">
        <x:v>score=0.861; gap=0.407</x:v>
      </x:c>
      <x:c r="AD225" s="37" t="str">
        <x:v>SRVNXO</x:v>
      </x:c>
      <x:c r="AE225" s="38" t="str">
        <x:v>SRVNXOT</x:v>
      </x:c>
      <x:c r="AF225" s="123" t="n">
        <x:v>1000</x:v>
      </x:c>
      <x:c r="AG225" s="112" t="str">
        <x:v>g</x:v>
      </x:c>
      <x:c r="AH225" s="112" t="str">
        <x:v>CHAI</x:v>
      </x:c>
      <x:c r="AI225" s="112" t="str">
        <x:v>1000 g / CHAI</x:v>
      </x:c>
      <x:c r="AJ225" s="120" t="n">
        <x:v>40000</x:v>
      </x:c>
      <x:c r="AK225" s="120" t="n">
        <x:v>40000</x:v>
      </x:c>
      <x:c r="AL225" s="120" t="n">
        <x:v>40000</x:v>
      </x:c>
      <x:c r="AM225" s="112" t="str">
        <x:v>GIỮ NGUYÊN - ĐÃ KHỚP</x:v>
      </x:c>
      <x:c r="AN225" s="126" t="n">
        <x:v>503</x:v>
      </x:c>
      <x:c r="AO225" s="126" t="n">
        <x:v>504</x:v>
      </x:c>
      <x:c r="AP225" s="113" t="str">
        <x:v>12 CHAI / THÙNG</x:v>
      </x:c>
    </x:row>
    <x:row r="226">
      <x:c r="A226" s="71" t="str">
        <x:v>SIRO VINA VIỆT QUỐC</x:v>
      </x:c>
      <x:c r="B226" s="30" t="str">
        <x:v>SIRO VINA VIỆT QUỐC - THÙNG</x:v>
      </x:c>
      <x:c r="C226" s="37" t="str">
        <x:v>SRVNVQ</x:v>
      </x:c>
      <x:c r="D226" s="37" t="str">
        <x:v>SRVNVQT</x:v>
      </x:c>
      <x:c r="E226" s="37" t="str">
        <x:v>SRVNVQT</x:v>
      </x:c>
      <x:c r="F226" s="37" t="n">
        <x:v>12</x:v>
      </x:c>
      <x:c r="G226" s="37" t="n">
        <x:v>13000</x:v>
      </x:c>
      <x:c r="H226" s="37" t="str">
        <x:v>g</x:v>
      </x:c>
      <x:c r="I226" s="37" t="str">
        <x:v>THÙNG</x:v>
      </x:c>
      <x:c r="J226" s="59" t="n">
        <x:v>0</x:v>
      </x:c>
      <x:c r="K226" s="59" t="n">
        <x:v>0</x:v>
      </x:c>
      <x:c r="L226" s="59" t="n">
        <x:v>0</x:v>
      </x:c>
      <x:c r="M226" s="37" t="str">
        <x:v>Siro</x:v>
      </x:c>
      <x:c r="N226" s="37" t="str">
        <x:v>ĐÃ GHÉP - AUTO</x:v>
      </x:c>
      <x:c r="O226" s="61" t="n">
        <x:v>0.845</x:v>
      </x:c>
      <x:c r="P226" s="37" t="n">
        <x:v>12</x:v>
      </x:c>
      <x:c r="Q226" s="30" t="str">
        <x:v>Siro Vina</x:v>
      </x:c>
      <x:c r="R226" s="30" t="str">
        <x:v>Thùng 12 chai</x:v>
      </x:c>
      <x:c r="S226" s="30" t="str">
        <x:v>Chai</x:v>
      </x:c>
      <x:c r="T226" s="37" t="str">
        <x:v>ĐƠN VỊ</x:v>
      </x:c>
      <x:c r="U226" s="59" t="n">
        <x:v>40000</x:v>
      </x:c>
      <x:c r="V226" s="59"/>
      <x:c r="W226" s="117" t="n">
        <x:v>40000</x:v>
      </x:c>
      <x:c r="X226" s="59" t="str">
        <x:f>IFERROR(IF(OR($N226="ĐÃ GHÉP - AUTO",$N226="ĐÃ GHÉP - QUY TẮC"),IF($V226="","",IF($T226="THÙNG",$V226/$F226,$V226)),""),"")</x:f>
      </x:c>
      <x:c r="Y226" s="117" t="n">
        <x:f>IF(OR(W226="",F226=""),"",W226*F226)</x:f>
        <x:v>480000</x:v>
      </x:c>
      <x:c r="Z226" s="59" t="str">
        <x:f>IFERROR(IF(OR($N226="ĐÃ GHÉP - AUTO",$N226="ĐÃ GHÉP - QUY TẮC"),IF($V226="","",IF($T226="THÙNG",$V226,$V226*$F226)),""),"")</x:f>
      </x:c>
      <x:c r="AA226" s="28" t="str">
        <x:f>IFERROR(IF(OR($K226="",$K226=0,$Y226=""),"",($Y226-$K226)/$K226),"")</x:f>
      </x:c>
      <x:c r="AB226" s="37" t="str">
        <x:f>IFERROR(IF($N226="CẦN DUYỆT","DUYỆT MAP",IF($N226="CHƯA CÓ GIÁ LẺ","THIẾU GIÁ",IF(OR($K226="",$K226=0,$Y226=""),"OK",IF(ABS(($Y226-$K226)/$K226)&gt;0.15,"LỆCH GIÁ CŨ","OK")))),"OK")</x:f>
        <x:v>OK</x:v>
      </x:c>
      <x:c r="AC226" s="30" t="str">
        <x:v>score=0.845; gap=0.421</x:v>
      </x:c>
      <x:c r="AD226" s="37" t="str">
        <x:v>SRVNVQ</x:v>
      </x:c>
      <x:c r="AE226" s="38" t="str">
        <x:v>SRVNVQT</x:v>
      </x:c>
      <x:c r="AF226" s="123" t="n">
        <x:v>1000</x:v>
      </x:c>
      <x:c r="AG226" s="112" t="str">
        <x:v>g</x:v>
      </x:c>
      <x:c r="AH226" s="112" t="str">
        <x:v>CHAI</x:v>
      </x:c>
      <x:c r="AI226" s="112" t="str">
        <x:v>1000 g / CHAI</x:v>
      </x:c>
      <x:c r="AJ226" s="120" t="n">
        <x:v>40000</x:v>
      </x:c>
      <x:c r="AK226" s="120" t="n">
        <x:v>40000</x:v>
      </x:c>
      <x:c r="AL226" s="120" t="n">
        <x:v>40000</x:v>
      </x:c>
      <x:c r="AM226" s="112" t="str">
        <x:v>GIỮ NGUYÊN - ĐÃ KHỚP</x:v>
      </x:c>
      <x:c r="AN226" s="126" t="n">
        <x:v>505</x:v>
      </x:c>
      <x:c r="AO226" s="126" t="n">
        <x:v>506</x:v>
      </x:c>
      <x:c r="AP226" s="113" t="str">
        <x:v>12 CHAI / THÙNG</x:v>
      </x:c>
    </x:row>
    <x:row r="227">
      <x:c r="A227" s="71" t="str">
        <x:v>SIRO VINA VẢI</x:v>
      </x:c>
      <x:c r="B227" s="30" t="str">
        <x:v>SIRO VINA VẢI - THÙNG</x:v>
      </x:c>
      <x:c r="C227" s="37" t="str">
        <x:v>SRVNVA</x:v>
      </x:c>
      <x:c r="D227" s="37" t="str">
        <x:v>SRVNVAT</x:v>
      </x:c>
      <x:c r="E227" s="37" t="str">
        <x:v>SRVNVAT</x:v>
      </x:c>
      <x:c r="F227" s="37" t="n">
        <x:v>12</x:v>
      </x:c>
      <x:c r="G227" s="37" t="n">
        <x:v>13000</x:v>
      </x:c>
      <x:c r="H227" s="37" t="str">
        <x:v>g</x:v>
      </x:c>
      <x:c r="I227" s="37" t="str">
        <x:v>THÙNG</x:v>
      </x:c>
      <x:c r="J227" s="59" t="n">
        <x:v>0</x:v>
      </x:c>
      <x:c r="K227" s="59" t="n">
        <x:v>0</x:v>
      </x:c>
      <x:c r="L227" s="59" t="n">
        <x:v>0</x:v>
      </x:c>
      <x:c r="M227" s="37" t="str">
        <x:v>Siro</x:v>
      </x:c>
      <x:c r="N227" s="37" t="str">
        <x:v>ĐÃ GHÉP - AUTO</x:v>
      </x:c>
      <x:c r="O227" s="61" t="n">
        <x:v>0.873</x:v>
      </x:c>
      <x:c r="P227" s="37" t="n">
        <x:v>12</x:v>
      </x:c>
      <x:c r="Q227" s="30" t="str">
        <x:v>Siro Vina</x:v>
      </x:c>
      <x:c r="R227" s="30" t="str">
        <x:v>Thùng 12 chai</x:v>
      </x:c>
      <x:c r="S227" s="30" t="str">
        <x:v>Chai</x:v>
      </x:c>
      <x:c r="T227" s="37" t="str">
        <x:v>ĐƠN VỊ</x:v>
      </x:c>
      <x:c r="U227" s="59" t="n">
        <x:v>40000</x:v>
      </x:c>
      <x:c r="V227" s="59"/>
      <x:c r="W227" s="117" t="n">
        <x:v>40000</x:v>
      </x:c>
      <x:c r="X227" s="59" t="str">
        <x:f>IFERROR(IF(OR($N227="ĐÃ GHÉP - AUTO",$N227="ĐÃ GHÉP - QUY TẮC"),IF($V227="","",IF($T227="THÙNG",$V227/$F227,$V227)),""),"")</x:f>
      </x:c>
      <x:c r="Y227" s="117" t="n">
        <x:f>IF(OR(W227="",F227=""),"",W227*F227)</x:f>
        <x:v>480000</x:v>
      </x:c>
      <x:c r="Z227" s="59" t="str">
        <x:f>IFERROR(IF(OR($N227="ĐÃ GHÉP - AUTO",$N227="ĐÃ GHÉP - QUY TẮC"),IF($V227="","",IF($T227="THÙNG",$V227,$V227*$F227)),""),"")</x:f>
      </x:c>
      <x:c r="AA227" s="28" t="str">
        <x:f>IFERROR(IF(OR($K227="",$K227=0,$Y227=""),"",($Y227-$K227)/$K227),"")</x:f>
      </x:c>
      <x:c r="AB227" s="37" t="str">
        <x:f>IFERROR(IF($N227="CẦN DUYỆT","DUYỆT MAP",IF($N227="CHƯA CÓ GIÁ LẺ","THIẾU GIÁ",IF(OR($K227="",$K227=0,$Y227=""),"OK",IF(ABS(($Y227-$K227)/$K227)&gt;0.15,"LỆCH GIÁ CŨ","OK")))),"OK")</x:f>
        <x:v>OK</x:v>
      </x:c>
      <x:c r="AC227" s="30" t="str">
        <x:v>score=0.873; gap=0.372</x:v>
      </x:c>
      <x:c r="AD227" s="37" t="str">
        <x:v>SRVNVA</x:v>
      </x:c>
      <x:c r="AE227" s="38" t="str">
        <x:v>SRVNVAT</x:v>
      </x:c>
      <x:c r="AF227" s="123" t="n">
        <x:v>1000</x:v>
      </x:c>
      <x:c r="AG227" s="112" t="str">
        <x:v>g</x:v>
      </x:c>
      <x:c r="AH227" s="112" t="str">
        <x:v>CHAI</x:v>
      </x:c>
      <x:c r="AI227" s="112" t="str">
        <x:v>1000 g / CHAI</x:v>
      </x:c>
      <x:c r="AJ227" s="120" t="n">
        <x:v>40000</x:v>
      </x:c>
      <x:c r="AK227" s="120" t="n">
        <x:v>40000</x:v>
      </x:c>
      <x:c r="AL227" s="120" t="n">
        <x:v>40000</x:v>
      </x:c>
      <x:c r="AM227" s="112" t="str">
        <x:v>GIỮ NGUYÊN - ĐÃ KHỚP</x:v>
      </x:c>
      <x:c r="AN227" s="126" t="n">
        <x:v>507</x:v>
      </x:c>
      <x:c r="AO227" s="126" t="n">
        <x:v>508</x:v>
      </x:c>
      <x:c r="AP227" s="113" t="str">
        <x:v>12 CHAI / THÙNG</x:v>
      </x:c>
    </x:row>
    <x:row r="228">
      <x:c r="A228" s="71" t="str">
        <x:v>SIRO VINA SOCOLA</x:v>
      </x:c>
      <x:c r="B228" s="30" t="str">
        <x:v>SIRO VINA SOCOLA - THÙNG</x:v>
      </x:c>
      <x:c r="C228" s="37" t="str">
        <x:v>SRVNSO</x:v>
      </x:c>
      <x:c r="D228" s="37" t="str">
        <x:v>SRVNSOT</x:v>
      </x:c>
      <x:c r="E228" s="37" t="str">
        <x:v>SRVNSOT</x:v>
      </x:c>
      <x:c r="F228" s="37" t="n">
        <x:v>12</x:v>
      </x:c>
      <x:c r="G228" s="37" t="n">
        <x:v>13000</x:v>
      </x:c>
      <x:c r="H228" s="37" t="str">
        <x:v>g</x:v>
      </x:c>
      <x:c r="I228" s="37" t="str">
        <x:v>THÙNG</x:v>
      </x:c>
      <x:c r="J228" s="59" t="n">
        <x:v>0</x:v>
      </x:c>
      <x:c r="K228" s="59" t="n">
        <x:v>0</x:v>
      </x:c>
      <x:c r="L228" s="59" t="n">
        <x:v>0</x:v>
      </x:c>
      <x:c r="M228" s="37" t="str">
        <x:v>Siro</x:v>
      </x:c>
      <x:c r="N228" s="37" t="str">
        <x:v>ĐÃ GHÉP - AUTO</x:v>
      </x:c>
      <x:c r="O228" s="61" t="n">
        <x:v>0.867</x:v>
      </x:c>
      <x:c r="P228" s="37" t="n">
        <x:v>12</x:v>
      </x:c>
      <x:c r="Q228" s="30" t="str">
        <x:v>Siro Vina</x:v>
      </x:c>
      <x:c r="R228" s="30" t="str">
        <x:v>Thùng 12 chai</x:v>
      </x:c>
      <x:c r="S228" s="30" t="str">
        <x:v>Chai</x:v>
      </x:c>
      <x:c r="T228" s="37" t="str">
        <x:v>ĐƠN VỊ</x:v>
      </x:c>
      <x:c r="U228" s="59" t="n">
        <x:v>40000</x:v>
      </x:c>
      <x:c r="V228" s="59"/>
      <x:c r="W228" s="117" t="n">
        <x:v>40000</x:v>
      </x:c>
      <x:c r="X228" s="59" t="str">
        <x:f>IFERROR(IF(OR($N228="ĐÃ GHÉP - AUTO",$N228="ĐÃ GHÉP - QUY TẮC"),IF($V228="","",IF($T228="THÙNG",$V228/$F228,$V228)),""),"")</x:f>
      </x:c>
      <x:c r="Y228" s="117" t="n">
        <x:f>IF(OR(W228="",F228=""),"",W228*F228)</x:f>
        <x:v>480000</x:v>
      </x:c>
      <x:c r="Z228" s="59" t="str">
        <x:f>IFERROR(IF(OR($N228="ĐÃ GHÉP - AUTO",$N228="ĐÃ GHÉP - QUY TẮC"),IF($V228="","",IF($T228="THÙNG",$V228,$V228*$F228)),""),"")</x:f>
      </x:c>
      <x:c r="AA228" s="28" t="str">
        <x:f>IFERROR(IF(OR($K228="",$K228=0,$Y228=""),"",($Y228-$K228)/$K228),"")</x:f>
      </x:c>
      <x:c r="AB228" s="37" t="str">
        <x:f>IFERROR(IF($N228="CẦN DUYỆT","DUYỆT MAP",IF($N228="CHƯA CÓ GIÁ LẺ","THIẾU GIÁ",IF(OR($K228="",$K228=0,$Y228=""),"OK",IF(ABS(($Y228-$K228)/$K228)&gt;0.15,"LỆCH GIÁ CŨ","OK")))),"OK")</x:f>
        <x:v>OK</x:v>
      </x:c>
      <x:c r="AC228" s="30" t="str">
        <x:v>score=0.867; gap=0.413</x:v>
      </x:c>
      <x:c r="AD228" s="37" t="str">
        <x:v>SRVNSO</x:v>
      </x:c>
      <x:c r="AE228" s="38" t="str">
        <x:v>SRVNSOT</x:v>
      </x:c>
      <x:c r="AF228" s="123" t="n">
        <x:v>1000</x:v>
      </x:c>
      <x:c r="AG228" s="112" t="str">
        <x:v>g</x:v>
      </x:c>
      <x:c r="AH228" s="112" t="str">
        <x:v>CHAI</x:v>
      </x:c>
      <x:c r="AI228" s="112" t="str">
        <x:v>1000 g / CHAI</x:v>
      </x:c>
      <x:c r="AJ228" s="120" t="n">
        <x:v>40000</x:v>
      </x:c>
      <x:c r="AK228" s="120" t="n">
        <x:v>40000</x:v>
      </x:c>
      <x:c r="AL228" s="120" t="n">
        <x:v>40000</x:v>
      </x:c>
      <x:c r="AM228" s="112" t="str">
        <x:v>GIỮ NGUYÊN - ĐÃ KHỚP</x:v>
      </x:c>
      <x:c r="AN228" s="126" t="n">
        <x:v>509</x:v>
      </x:c>
      <x:c r="AO228" s="126" t="n">
        <x:v>510</x:v>
      </x:c>
      <x:c r="AP228" s="113" t="str">
        <x:v>12 CHAI / THÙNG</x:v>
      </x:c>
    </x:row>
    <x:row r="229">
      <x:c r="A229" s="71" t="str">
        <x:v>SIRO VINA SÂM DỨA</x:v>
      </x:c>
      <x:c r="B229" s="30" t="str">
        <x:v>SIRO VINA SÂM DỨA - THÙNG</x:v>
      </x:c>
      <x:c r="C229" s="37" t="str">
        <x:v>SRVNSD</x:v>
      </x:c>
      <x:c r="D229" s="37" t="str">
        <x:v>SRVNSDT</x:v>
      </x:c>
      <x:c r="E229" s="37" t="str">
        <x:v>SRVNSDT</x:v>
      </x:c>
      <x:c r="F229" s="37" t="n">
        <x:v>12</x:v>
      </x:c>
      <x:c r="G229" s="37" t="n">
        <x:v>13000</x:v>
      </x:c>
      <x:c r="H229" s="37" t="str">
        <x:v>g</x:v>
      </x:c>
      <x:c r="I229" s="37" t="str">
        <x:v>THÙNG</x:v>
      </x:c>
      <x:c r="J229" s="59" t="n">
        <x:v>0</x:v>
      </x:c>
      <x:c r="K229" s="59" t="n">
        <x:v>0</x:v>
      </x:c>
      <x:c r="L229" s="59" t="n">
        <x:v>0</x:v>
      </x:c>
      <x:c r="M229" s="37" t="str">
        <x:v>Siro</x:v>
      </x:c>
      <x:c r="N229" s="37" t="str">
        <x:v>ĐÃ GHÉP - AUTO</x:v>
      </x:c>
      <x:c r="O229" s="61" t="n">
        <x:v>0.964</x:v>
      </x:c>
      <x:c r="P229" s="37" t="n">
        <x:v>13</x:v>
      </x:c>
      <x:c r="Q229" s="30" t="str">
        <x:v>Siro Sâm Dứa Vina</x:v>
      </x:c>
      <x:c r="R229" s="30" t="str">
        <x:v>Thùng 12 chai</x:v>
      </x:c>
      <x:c r="S229" s="30" t="str">
        <x:v>Chai</x:v>
      </x:c>
      <x:c r="T229" s="37" t="str">
        <x:v>ĐƠN VỊ</x:v>
      </x:c>
      <x:c r="U229" s="59" t="n">
        <x:v>25000</x:v>
      </x:c>
      <x:c r="V229" s="59"/>
      <x:c r="W229" s="117" t="n">
        <x:v>25000</x:v>
      </x:c>
      <x:c r="X229" s="59" t="str">
        <x:f>IFERROR(IF(OR($N229="ĐÃ GHÉP - AUTO",$N229="ĐÃ GHÉP - QUY TẮC"),IF($V229="","",IF($T229="THÙNG",$V229/$F229,$V229)),""),"")</x:f>
      </x:c>
      <x:c r="Y229" s="117" t="n">
        <x:f>IF(OR(W229="",F229=""),"",W229*F229)</x:f>
        <x:v>300000</x:v>
      </x:c>
      <x:c r="Z229" s="59" t="str">
        <x:f>IFERROR(IF(OR($N229="ĐÃ GHÉP - AUTO",$N229="ĐÃ GHÉP - QUY TẮC"),IF($V229="","",IF($T229="THÙNG",$V229,$V229*$F229)),""),"")</x:f>
      </x:c>
      <x:c r="AA229" s="28" t="str">
        <x:f>IFERROR(IF(OR($K229="",$K229=0,$Y229=""),"",($Y229-$K229)/$K229),"")</x:f>
      </x:c>
      <x:c r="AB229" s="37" t="str">
        <x:f>IFERROR(IF($N229="CẦN DUYỆT","DUYỆT MAP",IF($N229="CHƯA CÓ GIÁ LẺ","THIẾU GIÁ",IF(OR($K229="",$K229=0,$Y229=""),"OK",IF(ABS(($Y229-$K229)/$K229)&gt;0.15,"LỆCH GIÁ CŨ","OK")))),"OK")</x:f>
        <x:v>OK</x:v>
      </x:c>
      <x:c r="AC229" s="30" t="str">
        <x:v>score=0.964; gap=0.119</x:v>
      </x:c>
      <x:c r="AD229" s="37" t="str">
        <x:v>SRVNSD</x:v>
      </x:c>
      <x:c r="AE229" s="38" t="str">
        <x:v>SRVNSDT</x:v>
      </x:c>
      <x:c r="AF229" s="123" t="n">
        <x:v>1000</x:v>
      </x:c>
      <x:c r="AG229" s="112" t="str">
        <x:v>g</x:v>
      </x:c>
      <x:c r="AH229" s="112" t="str">
        <x:v>CHAI</x:v>
      </x:c>
      <x:c r="AI229" s="112" t="str">
        <x:v>1000 g / CHAI</x:v>
      </x:c>
      <x:c r="AJ229" s="120" t="n">
        <x:v>25000</x:v>
      </x:c>
      <x:c r="AK229" s="120" t="n">
        <x:v>25000</x:v>
      </x:c>
      <x:c r="AL229" s="120" t="n">
        <x:v>25000</x:v>
      </x:c>
      <x:c r="AM229" s="112" t="str">
        <x:v>GIỮ NGUYÊN - ĐÃ KHỚP</x:v>
      </x:c>
      <x:c r="AN229" s="126" t="n">
        <x:v>511</x:v>
      </x:c>
      <x:c r="AO229" s="126" t="n">
        <x:v>512</x:v>
      </x:c>
      <x:c r="AP229" s="113" t="str">
        <x:v>12 CHAI / THÙNG</x:v>
      </x:c>
    </x:row>
    <x:row r="230">
      <x:c r="A230" s="71" t="str">
        <x:v>SIRO VINA ỔI</x:v>
      </x:c>
      <x:c r="B230" s="30" t="str">
        <x:v>SIRO VINA ỔI - THÙNG</x:v>
      </x:c>
      <x:c r="C230" s="37" t="str">
        <x:v>SRVNOI</x:v>
      </x:c>
      <x:c r="D230" s="37" t="str">
        <x:v>SRVNOIT</x:v>
      </x:c>
      <x:c r="E230" s="37" t="str">
        <x:v>SRVNOIT</x:v>
      </x:c>
      <x:c r="F230" s="37" t="n">
        <x:v>12</x:v>
      </x:c>
      <x:c r="G230" s="37" t="n">
        <x:v>13000</x:v>
      </x:c>
      <x:c r="H230" s="37" t="str">
        <x:v>g</x:v>
      </x:c>
      <x:c r="I230" s="37" t="str">
        <x:v>THÙNG</x:v>
      </x:c>
      <x:c r="J230" s="59" t="n">
        <x:v>0</x:v>
      </x:c>
      <x:c r="K230" s="59" t="n">
        <x:v>0</x:v>
      </x:c>
      <x:c r="L230" s="59" t="n">
        <x:v>0</x:v>
      </x:c>
      <x:c r="M230" s="37" t="str">
        <x:v>Siro</x:v>
      </x:c>
      <x:c r="N230" s="37" t="str">
        <x:v>ĐÃ GHÉP - AUTO</x:v>
      </x:c>
      <x:c r="O230" s="61" t="n">
        <x:v>0.868</x:v>
      </x:c>
      <x:c r="P230" s="37" t="n">
        <x:v>12</x:v>
      </x:c>
      <x:c r="Q230" s="30" t="str">
        <x:v>Siro Vina</x:v>
      </x:c>
      <x:c r="R230" s="30" t="str">
        <x:v>Thùng 12 chai</x:v>
      </x:c>
      <x:c r="S230" s="30" t="str">
        <x:v>Chai</x:v>
      </x:c>
      <x:c r="T230" s="37" t="str">
        <x:v>ĐƠN VỊ</x:v>
      </x:c>
      <x:c r="U230" s="59" t="n">
        <x:v>40000</x:v>
      </x:c>
      <x:c r="V230" s="59"/>
      <x:c r="W230" s="117" t="n">
        <x:v>40000</x:v>
      </x:c>
      <x:c r="X230" s="59" t="str">
        <x:f>IFERROR(IF(OR($N230="ĐÃ GHÉP - AUTO",$N230="ĐÃ GHÉP - QUY TẮC"),IF($V230="","",IF($T230="THÙNG",$V230/$F230,$V230)),""),"")</x:f>
      </x:c>
      <x:c r="Y230" s="117" t="n">
        <x:f>IF(OR(W230="",F230=""),"",W230*F230)</x:f>
        <x:v>480000</x:v>
      </x:c>
      <x:c r="Z230" s="59" t="str">
        <x:f>IFERROR(IF(OR($N230="ĐÃ GHÉP - AUTO",$N230="ĐÃ GHÉP - QUY TẮC"),IF($V230="","",IF($T230="THÙNG",$V230,$V230*$F230)),""),"")</x:f>
      </x:c>
      <x:c r="AA230" s="28" t="str">
        <x:f>IFERROR(IF(OR($K230="",$K230=0,$Y230=""),"",($Y230-$K230)/$K230),"")</x:f>
      </x:c>
      <x:c r="AB230" s="37" t="str">
        <x:f>IFERROR(IF($N230="CẦN DUYỆT","DUYỆT MAP",IF($N230="CHƯA CÓ GIÁ LẺ","THIẾU GIÁ",IF(OR($K230="",$K230=0,$Y230=""),"OK",IF(ABS(($Y230-$K230)/$K230)&gt;0.15,"LỆCH GIÁ CŨ","OK")))),"OK")</x:f>
        <x:v>OK</x:v>
      </x:c>
      <x:c r="AC230" s="30" t="str">
        <x:v>score=0.868; gap=0.355</x:v>
      </x:c>
      <x:c r="AD230" s="37" t="str">
        <x:v>SRVNOI</x:v>
      </x:c>
      <x:c r="AE230" s="38" t="str">
        <x:v>SRVNOIT</x:v>
      </x:c>
      <x:c r="AF230" s="123" t="n">
        <x:v>1000</x:v>
      </x:c>
      <x:c r="AG230" s="112" t="str">
        <x:v>g</x:v>
      </x:c>
      <x:c r="AH230" s="112" t="str">
        <x:v>CHAI</x:v>
      </x:c>
      <x:c r="AI230" s="112" t="str">
        <x:v>1000 g / CHAI</x:v>
      </x:c>
      <x:c r="AJ230" s="120" t="n">
        <x:v>40000</x:v>
      </x:c>
      <x:c r="AK230" s="120" t="n">
        <x:v>40000</x:v>
      </x:c>
      <x:c r="AL230" s="120" t="n">
        <x:v>40000</x:v>
      </x:c>
      <x:c r="AM230" s="112" t="str">
        <x:v>GIỮ NGUYÊN - ĐÃ KHỚP</x:v>
      </x:c>
      <x:c r="AN230" s="126" t="n">
        <x:v>513</x:v>
      </x:c>
      <x:c r="AO230" s="126" t="n">
        <x:v>514</x:v>
      </x:c>
      <x:c r="AP230" s="113" t="str">
        <x:v>12 CHAI / THÙNG</x:v>
      </x:c>
    </x:row>
    <x:row r="231">
      <x:c r="A231" s="71" t="str">
        <x:v>SIRO VINA NHO</x:v>
      </x:c>
      <x:c r="B231" s="30" t="str">
        <x:v>SIRO VINA NHO - THÙNG</x:v>
      </x:c>
      <x:c r="C231" s="37" t="str">
        <x:v>SRVNNH</x:v>
      </x:c>
      <x:c r="D231" s="37" t="str">
        <x:v>SRVNNHT</x:v>
      </x:c>
      <x:c r="E231" s="37" t="str">
        <x:v>SRVNNHT</x:v>
      </x:c>
      <x:c r="F231" s="37" t="n">
        <x:v>12</x:v>
      </x:c>
      <x:c r="G231" s="37" t="n">
        <x:v>13000</x:v>
      </x:c>
      <x:c r="H231" s="37" t="str">
        <x:v>g</x:v>
      </x:c>
      <x:c r="I231" s="37" t="str">
        <x:v>THÙNG</x:v>
      </x:c>
      <x:c r="J231" s="59" t="n">
        <x:v>0</x:v>
      </x:c>
      <x:c r="K231" s="59" t="n">
        <x:v>0</x:v>
      </x:c>
      <x:c r="L231" s="59" t="n">
        <x:v>0</x:v>
      </x:c>
      <x:c r="M231" s="37" t="str">
        <x:v>Siro</x:v>
      </x:c>
      <x:c r="N231" s="37" t="str">
        <x:v>ĐÃ GHÉP - AUTO</x:v>
      </x:c>
      <x:c r="O231" s="61" t="n">
        <x:v>0.867</x:v>
      </x:c>
      <x:c r="P231" s="37" t="n">
        <x:v>12</x:v>
      </x:c>
      <x:c r="Q231" s="30" t="str">
        <x:v>Siro Vina</x:v>
      </x:c>
      <x:c r="R231" s="30" t="str">
        <x:v>Thùng 12 chai</x:v>
      </x:c>
      <x:c r="S231" s="30" t="str">
        <x:v>Chai</x:v>
      </x:c>
      <x:c r="T231" s="37" t="str">
        <x:v>ĐƠN VỊ</x:v>
      </x:c>
      <x:c r="U231" s="59" t="n">
        <x:v>40000</x:v>
      </x:c>
      <x:c r="V231" s="59"/>
      <x:c r="W231" s="117" t="n">
        <x:v>40000</x:v>
      </x:c>
      <x:c r="X231" s="59" t="str">
        <x:f>IFERROR(IF(OR($N231="ĐÃ GHÉP - AUTO",$N231="ĐÃ GHÉP - QUY TẮC"),IF($V231="","",IF($T231="THÙNG",$V231/$F231,$V231)),""),"")</x:f>
      </x:c>
      <x:c r="Y231" s="117" t="n">
        <x:f>IF(OR(W231="",F231=""),"",W231*F231)</x:f>
        <x:v>480000</x:v>
      </x:c>
      <x:c r="Z231" s="59" t="str">
        <x:f>IFERROR(IF(OR($N231="ĐÃ GHÉP - AUTO",$N231="ĐÃ GHÉP - QUY TẮC"),IF($V231="","",IF($T231="THÙNG",$V231,$V231*$F231)),""),"")</x:f>
      </x:c>
      <x:c r="AA231" s="28" t="str">
        <x:f>IFERROR(IF(OR($K231="",$K231=0,$Y231=""),"",($Y231-$K231)/$K231),"")</x:f>
      </x:c>
      <x:c r="AB231" s="37" t="str">
        <x:f>IFERROR(IF($N231="CẦN DUYỆT","DUYỆT MAP",IF($N231="CHƯA CÓ GIÁ LẺ","THIẾU GIÁ",IF(OR($K231="",$K231=0,$Y231=""),"OK",IF(ABS(($Y231-$K231)/$K231)&gt;0.15,"LỆCH GIÁ CŨ","OK")))),"OK")</x:f>
        <x:v>OK</x:v>
      </x:c>
      <x:c r="AC231" s="30" t="str">
        <x:v>score=0.867; gap=0.367</x:v>
      </x:c>
      <x:c r="AD231" s="37" t="str">
        <x:v>SRVNNH</x:v>
      </x:c>
      <x:c r="AE231" s="38" t="str">
        <x:v>SRVNNHT</x:v>
      </x:c>
      <x:c r="AF231" s="123" t="n">
        <x:v>1000</x:v>
      </x:c>
      <x:c r="AG231" s="112" t="str">
        <x:v>g</x:v>
      </x:c>
      <x:c r="AH231" s="112" t="str">
        <x:v>CHAI</x:v>
      </x:c>
      <x:c r="AI231" s="112" t="str">
        <x:v>1000 g / CHAI</x:v>
      </x:c>
      <x:c r="AJ231" s="120" t="n">
        <x:v>40000</x:v>
      </x:c>
      <x:c r="AK231" s="120" t="n">
        <x:v>40000</x:v>
      </x:c>
      <x:c r="AL231" s="120" t="n">
        <x:v>40000</x:v>
      </x:c>
      <x:c r="AM231" s="112" t="str">
        <x:v>GIỮ NGUYÊN - ĐÃ KHỚP</x:v>
      </x:c>
      <x:c r="AN231" s="126" t="n">
        <x:v>515</x:v>
      </x:c>
      <x:c r="AO231" s="126" t="n">
        <x:v>516</x:v>
      </x:c>
      <x:c r="AP231" s="113" t="str">
        <x:v>12 CHAI / THÙNG</x:v>
      </x:c>
    </x:row>
    <x:row r="232">
      <x:c r="A232" s="71" t="str">
        <x:v>SIRO VINA MÃNG CẦU</x:v>
      </x:c>
      <x:c r="B232" s="30" t="str">
        <x:v>SIRO VINA MÃNG CẦU - THÙNG</x:v>
      </x:c>
      <x:c r="C232" s="37" t="str">
        <x:v>SRVNMC</x:v>
      </x:c>
      <x:c r="D232" s="37" t="str">
        <x:v>SRVNMCT</x:v>
      </x:c>
      <x:c r="E232" s="37" t="str">
        <x:v>SRVNMCT</x:v>
      </x:c>
      <x:c r="F232" s="37" t="n">
        <x:v>12</x:v>
      </x:c>
      <x:c r="G232" s="37" t="n">
        <x:v>13000</x:v>
      </x:c>
      <x:c r="H232" s="37" t="str">
        <x:v>g</x:v>
      </x:c>
      <x:c r="I232" s="37" t="str">
        <x:v>THÙNG</x:v>
      </x:c>
      <x:c r="J232" s="59" t="n">
        <x:v>0</x:v>
      </x:c>
      <x:c r="K232" s="59" t="n">
        <x:v>0</x:v>
      </x:c>
      <x:c r="L232" s="59" t="n">
        <x:v>0</x:v>
      </x:c>
      <x:c r="M232" s="37" t="str">
        <x:v>Siro</x:v>
      </x:c>
      <x:c r="N232" s="37" t="str">
        <x:v>ĐÃ GHÉP - AUTO</x:v>
      </x:c>
      <x:c r="O232" s="61" t="n">
        <x:v>0.839</x:v>
      </x:c>
      <x:c r="P232" s="37" t="n">
        <x:v>12</x:v>
      </x:c>
      <x:c r="Q232" s="30" t="str">
        <x:v>Siro Vina</x:v>
      </x:c>
      <x:c r="R232" s="30" t="str">
        <x:v>Thùng 12 chai</x:v>
      </x:c>
      <x:c r="S232" s="30" t="str">
        <x:v>Chai</x:v>
      </x:c>
      <x:c r="T232" s="37" t="str">
        <x:v>ĐƠN VỊ</x:v>
      </x:c>
      <x:c r="U232" s="59" t="n">
        <x:v>40000</x:v>
      </x:c>
      <x:c r="V232" s="59"/>
      <x:c r="W232" s="117" t="n">
        <x:v>40000</x:v>
      </x:c>
      <x:c r="X232" s="59" t="str">
        <x:f>IFERROR(IF(OR($N232="ĐÃ GHÉP - AUTO",$N232="ĐÃ GHÉP - QUY TẮC"),IF($V232="","",IF($T232="THÙNG",$V232/$F232,$V232)),""),"")</x:f>
      </x:c>
      <x:c r="Y232" s="117" t="n">
        <x:f>IF(OR(W232="",F232=""),"",W232*F232)</x:f>
        <x:v>480000</x:v>
      </x:c>
      <x:c r="Z232" s="59" t="str">
        <x:f>IFERROR(IF(OR($N232="ĐÃ GHÉP - AUTO",$N232="ĐÃ GHÉP - QUY TẮC"),IF($V232="","",IF($T232="THÙNG",$V232,$V232*$F232)),""),"")</x:f>
      </x:c>
      <x:c r="AA232" s="28" t="str">
        <x:f>IFERROR(IF(OR($K232="",$K232=0,$Y232=""),"",($Y232-$K232)/$K232),"")</x:f>
      </x:c>
      <x:c r="AB232" s="37" t="str">
        <x:f>IFERROR(IF($N232="CẦN DUYỆT","DUYỆT MAP",IF($N232="CHƯA CÓ GIÁ LẺ","THIẾU GIÁ",IF(OR($K232="",$K232=0,$Y232=""),"OK",IF(ABS(($Y232-$K232)/$K232)&gt;0.15,"LỆCH GIÁ CŨ","OK")))),"OK")</x:f>
        <x:v>OK</x:v>
      </x:c>
      <x:c r="AC232" s="30" t="str">
        <x:v>score=0.839; gap=0.384</x:v>
      </x:c>
      <x:c r="AD232" s="37" t="str">
        <x:v>SRVNMC</x:v>
      </x:c>
      <x:c r="AE232" s="38" t="str">
        <x:v>SRVNMCT</x:v>
      </x:c>
      <x:c r="AF232" s="123" t="n">
        <x:v>0</x:v>
      </x:c>
      <x:c r="AG232" s="112" t="str">
        <x:v>g</x:v>
      </x:c>
      <x:c r="AH232" s="112" t="str">
        <x:v>CHAI</x:v>
      </x:c>
      <x:c r="AI232" s="112" t="str">
        <x:v>0 g / CHAI</x:v>
      </x:c>
      <x:c r="AJ232" s="120" t="n">
        <x:v>40000</x:v>
      </x:c>
      <x:c r="AK232" s="120" t="n">
        <x:v>40000</x:v>
      </x:c>
      <x:c r="AL232" s="120" t="n">
        <x:v>40000</x:v>
      </x:c>
      <x:c r="AM232" s="112" t="str">
        <x:v>GIỮ NGUYÊN - ĐÃ KHỚP</x:v>
      </x:c>
      <x:c r="AN232" s="126" t="n">
        <x:v>517</x:v>
      </x:c>
      <x:c r="AO232" s="126" t="n">
        <x:v>518</x:v>
      </x:c>
      <x:c r="AP232" s="113" t="str">
        <x:v>12 CHAI / THÙNG</x:v>
      </x:c>
    </x:row>
    <x:row r="233">
      <x:c r="A233" s="71" t="str">
        <x:v>SIRO VINA ĐÀO</x:v>
      </x:c>
      <x:c r="B233" s="30" t="str">
        <x:v>SIRO VINA ĐÀO - THÙNG</x:v>
      </x:c>
      <x:c r="C233" s="37" t="str">
        <x:v>SRVNDO</x:v>
      </x:c>
      <x:c r="D233" s="37" t="str">
        <x:v>SRVNDOT</x:v>
      </x:c>
      <x:c r="E233" s="37" t="str">
        <x:v>SRVNDOT</x:v>
      </x:c>
      <x:c r="F233" s="37" t="n">
        <x:v>12</x:v>
      </x:c>
      <x:c r="G233" s="37" t="n">
        <x:v>13000</x:v>
      </x:c>
      <x:c r="H233" s="37" t="str">
        <x:v>g</x:v>
      </x:c>
      <x:c r="I233" s="37" t="str">
        <x:v>THÙNG</x:v>
      </x:c>
      <x:c r="J233" s="59" t="n">
        <x:v>0</x:v>
      </x:c>
      <x:c r="K233" s="59" t="n">
        <x:v>468000</x:v>
      </x:c>
      <x:c r="L233" s="59" t="n">
        <x:v>0</x:v>
      </x:c>
      <x:c r="M233" s="37" t="str">
        <x:v>Siro</x:v>
      </x:c>
      <x:c r="N233" s="37" t="str">
        <x:v>ĐÃ GHÉP - AUTO</x:v>
      </x:c>
      <x:c r="O233" s="61" t="n">
        <x:v>0.904</x:v>
      </x:c>
      <x:c r="P233" s="37" t="n">
        <x:v>12</x:v>
      </x:c>
      <x:c r="Q233" s="30" t="str">
        <x:v>Siro Vina</x:v>
      </x:c>
      <x:c r="R233" s="30" t="str">
        <x:v>Thùng 12 chai</x:v>
      </x:c>
      <x:c r="S233" s="30" t="str">
        <x:v>Chai</x:v>
      </x:c>
      <x:c r="T233" s="37" t="str">
        <x:v>ĐƠN VỊ</x:v>
      </x:c>
      <x:c r="U233" s="59" t="n">
        <x:v>40000</x:v>
      </x:c>
      <x:c r="V233" s="59"/>
      <x:c r="W233" s="117" t="n">
        <x:v>40000</x:v>
      </x:c>
      <x:c r="X233" s="59" t="str">
        <x:f>IFERROR(IF(OR($N233="ĐÃ GHÉP - AUTO",$N233="ĐÃ GHÉP - QUY TẮC"),IF($V233="","",IF($T233="THÙNG",$V233/$F233,$V233)),""),"")</x:f>
      </x:c>
      <x:c r="Y233" s="117" t="n">
        <x:f>IF(OR(W233="",F233=""),"",W233*F233)</x:f>
        <x:v>480000</x:v>
      </x:c>
      <x:c r="Z233" s="59" t="str">
        <x:f>IFERROR(IF(OR($N233="ĐÃ GHÉP - AUTO",$N233="ĐÃ GHÉP - QUY TẮC"),IF($V233="","",IF($T233="THÙNG",$V233,$V233*$F233)),""),"")</x:f>
      </x:c>
      <x:c r="AA233" s="28" t="n">
        <x:f>IFERROR(IF(OR($K233="",$K233=0,$Y233=""),"",($Y233-$K233)/$K233),"")</x:f>
        <x:v>0.02564102564102564</x:v>
      </x:c>
      <x:c r="AB233" s="37" t="str">
        <x:f>IFERROR(IF($N233="CẦN DUYỆT","DUYỆT MAP",IF($N233="CHƯA CÓ GIÁ LẺ","THIẾU GIÁ",IF(OR($K233="",$K233=0,$Y233=""),"OK",IF(ABS(($Y233-$K233)/$K233)&gt;0.15,"LỆCH GIÁ CŨ","OK")))),"OK")</x:f>
        <x:v>OK</x:v>
      </x:c>
      <x:c r="AC233" s="30" t="str">
        <x:v>score=0.904; gap=0.426</x:v>
      </x:c>
      <x:c r="AD233" s="37" t="str">
        <x:v>SRVNDO</x:v>
      </x:c>
      <x:c r="AE233" s="38" t="str">
        <x:v>SRVNDOT</x:v>
      </x:c>
      <x:c r="AF233" s="123" t="n">
        <x:v>1000</x:v>
      </x:c>
      <x:c r="AG233" s="112" t="str">
        <x:v>g</x:v>
      </x:c>
      <x:c r="AH233" s="112" t="str">
        <x:v>CHAI</x:v>
      </x:c>
      <x:c r="AI233" s="112" t="str">
        <x:v>1000 g / CHAI</x:v>
      </x:c>
      <x:c r="AJ233" s="120" t="n">
        <x:v>40000</x:v>
      </x:c>
      <x:c r="AK233" s="120" t="n">
        <x:v>40000</x:v>
      </x:c>
      <x:c r="AL233" s="120" t="n">
        <x:v>40000</x:v>
      </x:c>
      <x:c r="AM233" s="112" t="str">
        <x:v>GIỮ NGUYÊN - ĐÃ KHỚP</x:v>
      </x:c>
      <x:c r="AN233" s="126" t="n">
        <x:v>519</x:v>
      </x:c>
      <x:c r="AO233" s="126" t="n">
        <x:v>520</x:v>
      </x:c>
      <x:c r="AP233" s="113" t="str">
        <x:v>12 CHAI / THÙNG</x:v>
      </x:c>
    </x:row>
    <x:row r="234">
      <x:c r="A234" s="71" t="str">
        <x:v>SIRO VINA DÂU</x:v>
      </x:c>
      <x:c r="B234" s="30" t="str">
        <x:v>SIRO VINA DÂU - THÙNG</x:v>
      </x:c>
      <x:c r="C234" s="37" t="str">
        <x:v>SRVNDA</x:v>
      </x:c>
      <x:c r="D234" s="37" t="str">
        <x:v>SRVNDAT</x:v>
      </x:c>
      <x:c r="E234" s="37" t="str">
        <x:v>SRVNDAT</x:v>
      </x:c>
      <x:c r="F234" s="37" t="n">
        <x:v>12</x:v>
      </x:c>
      <x:c r="G234" s="37" t="n">
        <x:v>13000</x:v>
      </x:c>
      <x:c r="H234" s="37" t="str">
        <x:v>g</x:v>
      </x:c>
      <x:c r="I234" s="37" t="str">
        <x:v>THÙNG</x:v>
      </x:c>
      <x:c r="J234" s="59" t="n">
        <x:v>0</x:v>
      </x:c>
      <x:c r="K234" s="59" t="n">
        <x:v>0</x:v>
      </x:c>
      <x:c r="L234" s="59" t="n">
        <x:v>0</x:v>
      </x:c>
      <x:c r="M234" s="37" t="str">
        <x:v>Siro</x:v>
      </x:c>
      <x:c r="N234" s="37" t="str">
        <x:v>ĐÃ GHÉP - AUTO</x:v>
      </x:c>
      <x:c r="O234" s="61" t="n">
        <x:v>0.874</x:v>
      </x:c>
      <x:c r="P234" s="37" t="n">
        <x:v>12</x:v>
      </x:c>
      <x:c r="Q234" s="30" t="str">
        <x:v>Siro Vina</x:v>
      </x:c>
      <x:c r="R234" s="30" t="str">
        <x:v>Thùng 12 chai</x:v>
      </x:c>
      <x:c r="S234" s="30" t="str">
        <x:v>Chai</x:v>
      </x:c>
      <x:c r="T234" s="37" t="str">
        <x:v>ĐƠN VỊ</x:v>
      </x:c>
      <x:c r="U234" s="59" t="n">
        <x:v>40000</x:v>
      </x:c>
      <x:c r="V234" s="59"/>
      <x:c r="W234" s="117" t="n">
        <x:v>40000</x:v>
      </x:c>
      <x:c r="X234" s="59" t="str">
        <x:f>IFERROR(IF(OR($N234="ĐÃ GHÉP - AUTO",$N234="ĐÃ GHÉP - QUY TẮC"),IF($V234="","",IF($T234="THÙNG",$V234/$F234,$V234)),""),"")</x:f>
      </x:c>
      <x:c r="Y234" s="117" t="n">
        <x:f>IF(OR(W234="",F234=""),"",W234*F234)</x:f>
        <x:v>480000</x:v>
      </x:c>
      <x:c r="Z234" s="59" t="str">
        <x:f>IFERROR(IF(OR($N234="ĐÃ GHÉP - AUTO",$N234="ĐÃ GHÉP - QUY TẮC"),IF($V234="","",IF($T234="THÙNG",$V234,$V234*$F234)),""),"")</x:f>
      </x:c>
      <x:c r="AA234" s="28" t="str">
        <x:f>IFERROR(IF(OR($K234="",$K234=0,$Y234=""),"",($Y234-$K234)/$K234),"")</x:f>
      </x:c>
      <x:c r="AB234" s="37" t="str">
        <x:f>IFERROR(IF($N234="CẦN DUYỆT","DUYỆT MAP",IF($N234="CHƯA CÓ GIÁ LẺ","THIẾU GIÁ",IF(OR($K234="",$K234=0,$Y234=""),"OK",IF(ABS(($Y234-$K234)/$K234)&gt;0.15,"LỆCH GIÁ CŨ","OK")))),"OK")</x:f>
        <x:v>OK</x:v>
      </x:c>
      <x:c r="AC234" s="30" t="str">
        <x:v>score=0.874; gap=0.365</x:v>
      </x:c>
      <x:c r="AD234" s="37" t="str">
        <x:v>SRVNDA</x:v>
      </x:c>
      <x:c r="AE234" s="38" t="str">
        <x:v>SRVNDAT</x:v>
      </x:c>
      <x:c r="AF234" s="123" t="n">
        <x:v>1000</x:v>
      </x:c>
      <x:c r="AG234" s="112" t="str">
        <x:v>g</x:v>
      </x:c>
      <x:c r="AH234" s="112" t="str">
        <x:v>CHAI</x:v>
      </x:c>
      <x:c r="AI234" s="112" t="str">
        <x:v>1000 g / CHAI</x:v>
      </x:c>
      <x:c r="AJ234" s="120" t="n">
        <x:v>40000</x:v>
      </x:c>
      <x:c r="AK234" s="120" t="n">
        <x:v>40000</x:v>
      </x:c>
      <x:c r="AL234" s="120" t="n">
        <x:v>40000</x:v>
      </x:c>
      <x:c r="AM234" s="112" t="str">
        <x:v>GIỮ NGUYÊN - ĐÃ KHỚP</x:v>
      </x:c>
      <x:c r="AN234" s="126" t="n">
        <x:v>521</x:v>
      </x:c>
      <x:c r="AO234" s="126" t="n">
        <x:v>522</x:v>
      </x:c>
      <x:c r="AP234" s="113" t="str">
        <x:v>12 CHAI / THÙNG</x:v>
      </x:c>
    </x:row>
    <x:row r="235">
      <x:c r="A235" s="71" t="str">
        <x:v>SIRO VINA CAM</x:v>
      </x:c>
      <x:c r="B235" s="30" t="str">
        <x:v>SIRO VINA CAM - THÙNG</x:v>
      </x:c>
      <x:c r="C235" s="37" t="str">
        <x:v>SRVNCA</x:v>
      </x:c>
      <x:c r="D235" s="37" t="str">
        <x:v>SRVNCAT</x:v>
      </x:c>
      <x:c r="E235" s="37" t="str">
        <x:v>SRVNCAT</x:v>
      </x:c>
      <x:c r="F235" s="37" t="n">
        <x:v>12</x:v>
      </x:c>
      <x:c r="G235" s="37" t="n">
        <x:v>13000</x:v>
      </x:c>
      <x:c r="H235" s="37" t="str">
        <x:v>g</x:v>
      </x:c>
      <x:c r="I235" s="37" t="str">
        <x:v>THÙNG</x:v>
      </x:c>
      <x:c r="J235" s="59" t="n">
        <x:v>0</x:v>
      </x:c>
      <x:c r="K235" s="59" t="n">
        <x:v>0</x:v>
      </x:c>
      <x:c r="L235" s="59" t="n">
        <x:v>0</x:v>
      </x:c>
      <x:c r="M235" s="37" t="str">
        <x:v>Siro</x:v>
      </x:c>
      <x:c r="N235" s="37" t="str">
        <x:v>ĐÃ GHÉP - AUTO</x:v>
      </x:c>
      <x:c r="O235" s="61" t="n">
        <x:v>0.867</x:v>
      </x:c>
      <x:c r="P235" s="37" t="n">
        <x:v>12</x:v>
      </x:c>
      <x:c r="Q235" s="30" t="str">
        <x:v>Siro Vina</x:v>
      </x:c>
      <x:c r="R235" s="30" t="str">
        <x:v>Thùng 12 chai</x:v>
      </x:c>
      <x:c r="S235" s="30" t="str">
        <x:v>Chai</x:v>
      </x:c>
      <x:c r="T235" s="37" t="str">
        <x:v>ĐƠN VỊ</x:v>
      </x:c>
      <x:c r="U235" s="59" t="n">
        <x:v>40000</x:v>
      </x:c>
      <x:c r="V235" s="59"/>
      <x:c r="W235" s="117" t="n">
        <x:v>40000</x:v>
      </x:c>
      <x:c r="X235" s="59" t="str">
        <x:f>IFERROR(IF(OR($N235="ĐÃ GHÉP - AUTO",$N235="ĐÃ GHÉP - QUY TẮC"),IF($V235="","",IF($T235="THÙNG",$V235/$F235,$V235)),""),"")</x:f>
      </x:c>
      <x:c r="Y235" s="117" t="n">
        <x:f>IF(OR(W235="",F235=""),"",W235*F235)</x:f>
        <x:v>480000</x:v>
      </x:c>
      <x:c r="Z235" s="59" t="str">
        <x:f>IFERROR(IF(OR($N235="ĐÃ GHÉP - AUTO",$N235="ĐÃ GHÉP - QUY TẮC"),IF($V235="","",IF($T235="THÙNG",$V235,$V235*$F235)),""),"")</x:f>
      </x:c>
      <x:c r="AA235" s="28" t="str">
        <x:f>IFERROR(IF(OR($K235="",$K235=0,$Y235=""),"",($Y235-$K235)/$K235),"")</x:f>
      </x:c>
      <x:c r="AB235" s="37" t="str">
        <x:f>IFERROR(IF($N235="CẦN DUYỆT","DUYỆT MAP",IF($N235="CHƯA CÓ GIÁ LẺ","THIẾU GIÁ",IF(OR($K235="",$K235=0,$Y235=""),"OK",IF(ABS(($Y235-$K235)/$K235)&gt;0.15,"LỆCH GIÁ CŨ","OK")))),"OK")</x:f>
        <x:v>OK</x:v>
      </x:c>
      <x:c r="AC235" s="30" t="str">
        <x:v>score=0.867; gap=0.360</x:v>
      </x:c>
      <x:c r="AD235" s="37" t="str">
        <x:v>SRVNCA</x:v>
      </x:c>
      <x:c r="AE235" s="38" t="str">
        <x:v>SRVNCAT</x:v>
      </x:c>
      <x:c r="AF235" s="123" t="n">
        <x:v>1000</x:v>
      </x:c>
      <x:c r="AG235" s="112" t="str">
        <x:v>g</x:v>
      </x:c>
      <x:c r="AH235" s="112" t="str">
        <x:v>CHAI</x:v>
      </x:c>
      <x:c r="AI235" s="112" t="str">
        <x:v>1000 g / CHAI</x:v>
      </x:c>
      <x:c r="AJ235" s="120" t="n">
        <x:v>40000</x:v>
      </x:c>
      <x:c r="AK235" s="120" t="n">
        <x:v>40000</x:v>
      </x:c>
      <x:c r="AL235" s="120" t="n">
        <x:v>40000</x:v>
      </x:c>
      <x:c r="AM235" s="112" t="str">
        <x:v>GIỮ NGUYÊN - ĐÃ KHỚP</x:v>
      </x:c>
      <x:c r="AN235" s="126" t="n">
        <x:v>523</x:v>
      </x:c>
      <x:c r="AO235" s="126" t="n">
        <x:v>524</x:v>
      </x:c>
      <x:c r="AP235" s="113" t="str">
        <x:v>12 CHAI / THÙNG</x:v>
      </x:c>
    </x:row>
    <x:row r="236">
      <x:c r="A236" s="71" t="str">
        <x:v>SIRO VINA BẠC HÀ</x:v>
      </x:c>
      <x:c r="B236" s="30" t="str">
        <x:v>SIRO VINA BẠC HÀ - THÙNG</x:v>
      </x:c>
      <x:c r="C236" s="37" t="str">
        <x:v>SRVNBH</x:v>
      </x:c>
      <x:c r="D236" s="37" t="str">
        <x:v>SRVNBHT</x:v>
      </x:c>
      <x:c r="E236" s="37" t="str">
        <x:v>SRVNBHT</x:v>
      </x:c>
      <x:c r="F236" s="37" t="n">
        <x:v>12</x:v>
      </x:c>
      <x:c r="G236" s="37" t="n">
        <x:v>13000</x:v>
      </x:c>
      <x:c r="H236" s="37" t="str">
        <x:v>g</x:v>
      </x:c>
      <x:c r="I236" s="37" t="str">
        <x:v>THÙNG</x:v>
      </x:c>
      <x:c r="J236" s="59" t="n">
        <x:v>0</x:v>
      </x:c>
      <x:c r="K236" s="59" t="n">
        <x:v>0</x:v>
      </x:c>
      <x:c r="L236" s="59" t="n">
        <x:v>0</x:v>
      </x:c>
      <x:c r="M236" s="37" t="str">
        <x:v>Siro</x:v>
      </x:c>
      <x:c r="N236" s="37" t="str">
        <x:v>ĐÃ GHÉP - AUTO</x:v>
      </x:c>
      <x:c r="O236" s="61" t="n">
        <x:v>0.843</x:v>
      </x:c>
      <x:c r="P236" s="37" t="n">
        <x:v>12</x:v>
      </x:c>
      <x:c r="Q236" s="30" t="str">
        <x:v>Siro Vina</x:v>
      </x:c>
      <x:c r="R236" s="30" t="str">
        <x:v>Thùng 12 chai</x:v>
      </x:c>
      <x:c r="S236" s="30" t="str">
        <x:v>Chai</x:v>
      </x:c>
      <x:c r="T236" s="37" t="str">
        <x:v>ĐƠN VỊ</x:v>
      </x:c>
      <x:c r="U236" s="59" t="n">
        <x:v>40000</x:v>
      </x:c>
      <x:c r="V236" s="59"/>
      <x:c r="W236" s="117" t="n">
        <x:v>40000</x:v>
      </x:c>
      <x:c r="X236" s="59" t="str">
        <x:f>IFERROR(IF(OR($N236="ĐÃ GHÉP - AUTO",$N236="ĐÃ GHÉP - QUY TẮC"),IF($V236="","",IF($T236="THÙNG",$V236/$F236,$V236)),""),"")</x:f>
      </x:c>
      <x:c r="Y236" s="117" t="n">
        <x:f>IF(OR(W236="",F236=""),"",W236*F236)</x:f>
        <x:v>480000</x:v>
      </x:c>
      <x:c r="Z236" s="59" t="str">
        <x:f>IFERROR(IF(OR($N236="ĐÃ GHÉP - AUTO",$N236="ĐÃ GHÉP - QUY TẮC"),IF($V236="","",IF($T236="THÙNG",$V236,$V236*$F236)),""),"")</x:f>
      </x:c>
      <x:c r="AA236" s="28" t="str">
        <x:f>IFERROR(IF(OR($K236="",$K236=0,$Y236=""),"",($Y236-$K236)/$K236),"")</x:f>
      </x:c>
      <x:c r="AB236" s="37" t="str">
        <x:f>IFERROR(IF($N236="CẦN DUYỆT","DUYỆT MAP",IF($N236="CHƯA CÓ GIÁ LẺ","THIẾU GIÁ",IF(OR($K236="",$K236=0,$Y236=""),"OK",IF(ABS(($Y236-$K236)/$K236)&gt;0.15,"LỆCH GIÁ CŨ","OK")))),"OK")</x:f>
        <x:v>OK</x:v>
      </x:c>
      <x:c r="AC236" s="30" t="str">
        <x:v>score=0.843; gap=0.367</x:v>
      </x:c>
      <x:c r="AD236" s="37" t="str">
        <x:v>SRVNBH</x:v>
      </x:c>
      <x:c r="AE236" s="38" t="str">
        <x:v>SRVNBHT</x:v>
      </x:c>
      <x:c r="AF236" s="123" t="n">
        <x:v>1000</x:v>
      </x:c>
      <x:c r="AG236" s="112" t="str">
        <x:v>g</x:v>
      </x:c>
      <x:c r="AH236" s="112" t="str">
        <x:v>CHAI</x:v>
      </x:c>
      <x:c r="AI236" s="112" t="str">
        <x:v>1000 g / CHAI</x:v>
      </x:c>
      <x:c r="AJ236" s="120" t="n">
        <x:v>40000</x:v>
      </x:c>
      <x:c r="AK236" s="120" t="n">
        <x:v>40000</x:v>
      </x:c>
      <x:c r="AL236" s="120" t="n">
        <x:v>40000</x:v>
      </x:c>
      <x:c r="AM236" s="112" t="str">
        <x:v>GIỮ NGUYÊN - ĐÃ KHỚP</x:v>
      </x:c>
      <x:c r="AN236" s="126" t="n">
        <x:v>525</x:v>
      </x:c>
      <x:c r="AO236" s="126" t="n">
        <x:v>526</x:v>
      </x:c>
      <x:c r="AP236" s="113" t="str">
        <x:v>12 CHAI / THÙNG</x:v>
      </x:c>
    </x:row>
    <x:row r="237">
      <x:c r="A237" s="71" t="str">
        <x:v>SIRO A+ VIỆT QUỐC</x:v>
      </x:c>
      <x:c r="B237" s="30" t="str">
        <x:v>SIRO A+ VIỆT QUỐC - THÙNG</x:v>
      </x:c>
      <x:c r="C237" s="37" t="str">
        <x:v>SRAVQU</x:v>
      </x:c>
      <x:c r="D237" s="37" t="str">
        <x:v>SRAVQUT</x:v>
      </x:c>
      <x:c r="E237" s="37" t="str">
        <x:v>SRAVQUT</x:v>
      </x:c>
      <x:c r="F237" s="37" t="n">
        <x:v>24</x:v>
      </x:c>
      <x:c r="G237" s="37" t="n">
        <x:v>16000</x:v>
      </x:c>
      <x:c r="H237" s="37" t="str">
        <x:v>g</x:v>
      </x:c>
      <x:c r="I237" s="37" t="str">
        <x:v>THÙNG</x:v>
      </x:c>
      <x:c r="J237" s="59" t="n">
        <x:v>612000</x:v>
      </x:c>
      <x:c r="K237" s="59" t="n">
        <x:v>0</x:v>
      </x:c>
      <x:c r="L237" s="59" t="n">
        <x:v>0</x:v>
      </x:c>
      <x:c r="M237" s="37" t="str">
        <x:v>Siro</x:v>
      </x:c>
      <x:c r="N237" s="37" t="str">
        <x:v>CHƯA CÓ GIÁ LẺ</x:v>
      </x:c>
      <x:c r="O237" s="61" t="n">
        <x:v>0.051</x:v>
      </x:c>
      <x:c r="P237" s="37"/>
      <x:c r="Q237" s="30"/>
      <x:c r="R237" s="30"/>
      <x:c r="S237" s="30"/>
      <x:c r="T237" s="37"/>
      <x:c r="U237" s="59"/>
      <x:c r="V237" s="59"/>
      <x:c r="W237" s="117" t="n">
        <x:v>27000</x:v>
      </x:c>
      <x:c r="X237" s="59" t="str">
        <x:f>IFERROR(IF(OR($N237="ĐÃ GHÉP - AUTO",$N237="ĐÃ GHÉP - QUY TẮC"),IF($V237="","",IF($T237="THÙNG",$V237/$F237,$V237)),""),"")</x:f>
      </x:c>
      <x:c r="Y237" s="117" t="n">
        <x:f>IF(OR(W237="",F237=""),"",W237*F237)</x:f>
        <x:v>648000</x:v>
      </x:c>
      <x:c r="Z237" s="59" t="str">
        <x:f>IFERROR(IF(OR($N237="ĐÃ GHÉP - AUTO",$N237="ĐÃ GHÉP - QUY TẮC"),IF($V237="","",IF($T237="THÙNG",$V237,$V237*$F237)),""),"")</x:f>
      </x:c>
      <x:c r="AA237" s="28" t="str">
        <x:f>IFERROR(IF(OR($K237="",$K237=0,$Y237=""),"",($Y237-$K237)/$K237),"")</x:f>
      </x:c>
      <x:c r="AB237" s="37" t="str">
        <x:f>IFERROR(IF($N237="CẦN DUYỆT","DUYỆT MAP",IF($N237="CHƯA CÓ GIÁ LẺ","THIẾU GIÁ",IF(OR($K237="",$K237=0,$Y237=""),"OK",IF(ABS(($Y237-$K237)/$K237)&gt;0.15,"LỆCH GIÁ CŨ","OK")))),"OK")</x:f>
        <x:v>THIẾU GIÁ</x:v>
      </x:c>
      <x:c r="AC237" s="30" t="str">
        <x:v>ứng viên gần nhất=Siro Carisa; score=0.051</x:v>
      </x:c>
      <x:c r="AD237" s="37" t="str">
        <x:v>SRAVQU</x:v>
      </x:c>
      <x:c r="AE237" s="38" t="str">
        <x:v>SRAVQUT</x:v>
      </x:c>
      <x:c r="AF237" s="123" t="n">
        <x:v>0</x:v>
      </x:c>
      <x:c r="AG237" s="112" t="str">
        <x:v>g</x:v>
      </x:c>
      <x:c r="AH237" s="112" t="str">
        <x:v>CHAI</x:v>
      </x:c>
      <x:c r="AI237" s="112" t="str">
        <x:v>0 g / CHAI</x:v>
      </x:c>
      <x:c r="AJ237" s="120" t="n">
        <x:v>27000</x:v>
      </x:c>
      <x:c r="AK237" s="120"/>
      <x:c r="AL237" s="120" t="n">
        <x:v>27000</x:v>
      </x:c>
      <x:c r="AM237" s="112" t="str">
        <x:v>BỔ SUNG GIÁ</x:v>
      </x:c>
      <x:c r="AN237" s="126" t="n">
        <x:v>527</x:v>
      </x:c>
      <x:c r="AO237" s="126" t="n">
        <x:v>528</x:v>
      </x:c>
      <x:c r="AP237" s="113" t="str">
        <x:v>24 CHAI / THÙNG</x:v>
      </x:c>
    </x:row>
    <x:row r="238">
      <x:c r="A238" s="71" t="str">
        <x:v>SIRO VUÔNG VẢI</x:v>
      </x:c>
      <x:c r="B238" s="30" t="str">
        <x:v>SIRO VUÔNG VẢI - THÙNG</x:v>
      </x:c>
      <x:c r="C238" s="37" t="str">
        <x:v>SRVAIV</x:v>
      </x:c>
      <x:c r="D238" s="37" t="str">
        <x:v>SRVAIVT</x:v>
      </x:c>
      <x:c r="E238" s="37" t="str">
        <x:v>SRVAIVT</x:v>
      </x:c>
      <x:c r="F238" s="37" t="n">
        <x:v>6</x:v>
      </x:c>
      <x:c r="G238" s="37" t="n">
        <x:v>16000</x:v>
      </x:c>
      <x:c r="H238" s="37" t="str">
        <x:v>g</x:v>
      </x:c>
      <x:c r="I238" s="37" t="str">
        <x:v>THÙNG</x:v>
      </x:c>
      <x:c r="J238" s="59" t="n">
        <x:v>0</x:v>
      </x:c>
      <x:c r="K238" s="59" t="n">
        <x:v>0</x:v>
      </x:c>
      <x:c r="L238" s="59" t="n">
        <x:v>0</x:v>
      </x:c>
      <x:c r="M238" s="37" t="str">
        <x:v>Siro</x:v>
      </x:c>
      <x:c r="N238" s="37" t="str">
        <x:v>CHƯA CÓ GIÁ LẺ</x:v>
      </x:c>
      <x:c r="O238" s="61" t="n">
        <x:v>0.069</x:v>
      </x:c>
      <x:c r="P238" s="37"/>
      <x:c r="Q238" s="30"/>
      <x:c r="R238" s="30"/>
      <x:c r="S238" s="30"/>
      <x:c r="T238" s="37"/>
      <x:c r="U238" s="59"/>
      <x:c r="V238" s="59"/>
      <x:c r="W238" s="117" t="n">
        <x:v>85000</x:v>
      </x:c>
      <x:c r="X238" s="59" t="str">
        <x:f>IFERROR(IF(OR($N238="ĐÃ GHÉP - AUTO",$N238="ĐÃ GHÉP - QUY TẮC"),IF($V238="","",IF($T238="THÙNG",$V238/$F238,$V238)),""),"")</x:f>
      </x:c>
      <x:c r="Y238" s="117" t="n">
        <x:f>IF(OR(W238="",F238=""),"",W238*F238)</x:f>
        <x:v>510000</x:v>
      </x:c>
      <x:c r="Z238" s="59" t="str">
        <x:f>IFERROR(IF(OR($N238="ĐÃ GHÉP - AUTO",$N238="ĐÃ GHÉP - QUY TẮC"),IF($V238="","",IF($T238="THÙNG",$V238,$V238*$F238)),""),"")</x:f>
      </x:c>
      <x:c r="AA238" s="28" t="str">
        <x:f>IFERROR(IF(OR($K238="",$K238=0,$Y238=""),"",($Y238-$K238)/$K238),"")</x:f>
      </x:c>
      <x:c r="AB238" s="37" t="str">
        <x:f>IFERROR(IF($N238="CẦN DUYỆT","DUYỆT MAP",IF($N238="CHƯA CÓ GIÁ LẺ","THIẾU GIÁ",IF(OR($K238="",$K238=0,$Y238=""),"OK",IF(ABS(($Y238-$K238)/$K238)&gt;0.15,"LỆCH GIÁ CŨ","OK")))),"OK")</x:f>
        <x:v>THIẾU GIÁ</x:v>
      </x:c>
      <x:c r="AC238" s="30" t="str">
        <x:v>ứng viên gần nhất=Siro GTP dâu , duong den; score=0.069</x:v>
      </x:c>
      <x:c r="AD238" s="37" t="str">
        <x:v>SRVAIV</x:v>
      </x:c>
      <x:c r="AE238" s="38" t="str">
        <x:v>SRVAIVT</x:v>
      </x:c>
      <x:c r="AF238" s="123" t="n">
        <x:v>2650</x:v>
      </x:c>
      <x:c r="AG238" s="112" t="str">
        <x:v>g</x:v>
      </x:c>
      <x:c r="AH238" s="112" t="str">
        <x:v>BÌNH</x:v>
      </x:c>
      <x:c r="AI238" s="112" t="str">
        <x:v>2650 g / BÌNH</x:v>
      </x:c>
      <x:c r="AJ238" s="120" t="n">
        <x:v>85000</x:v>
      </x:c>
      <x:c r="AK238" s="120"/>
      <x:c r="AL238" s="120" t="n">
        <x:v>85000</x:v>
      </x:c>
      <x:c r="AM238" s="112" t="str">
        <x:v>BỔ SUNG GIÁ</x:v>
      </x:c>
      <x:c r="AN238" s="126" t="n">
        <x:v>529</x:v>
      </x:c>
      <x:c r="AO238" s="126" t="n">
        <x:v>530</x:v>
      </x:c>
      <x:c r="AP238" s="113" t="str">
        <x:v>6 BÌNH / THÙNG</x:v>
      </x:c>
    </x:row>
    <x:row r="239">
      <x:c r="A239" s="71" t="str">
        <x:v>SIRO TRÒN VẢI</x:v>
      </x:c>
      <x:c r="B239" s="30" t="str">
        <x:v>SIRO TRÒN VẢI - THÙNG</x:v>
      </x:c>
      <x:c r="C239" s="37" t="str">
        <x:v>SRVAIT</x:v>
      </x:c>
      <x:c r="D239" s="37" t="str">
        <x:v>SRVAITT</x:v>
      </x:c>
      <x:c r="E239" s="37" t="str">
        <x:v>SRVAITT</x:v>
      </x:c>
      <x:c r="F239" s="37" t="n">
        <x:v>6</x:v>
      </x:c>
      <x:c r="G239" s="37" t="n">
        <x:v>16000</x:v>
      </x:c>
      <x:c r="H239" s="37" t="str">
        <x:v>g</x:v>
      </x:c>
      <x:c r="I239" s="37" t="str">
        <x:v>THÙNG</x:v>
      </x:c>
      <x:c r="J239" s="59" t="n">
        <x:v>0</x:v>
      </x:c>
      <x:c r="K239" s="59" t="n">
        <x:v>0</x:v>
      </x:c>
      <x:c r="L239" s="59" t="n">
        <x:v>0</x:v>
      </x:c>
      <x:c r="M239" s="37" t="str">
        <x:v>Siro</x:v>
      </x:c>
      <x:c r="N239" s="37" t="str">
        <x:v>CHƯA CÓ GIÁ LẺ</x:v>
      </x:c>
      <x:c r="O239" s="61" t="n">
        <x:v>0.509</x:v>
      </x:c>
      <x:c r="P239" s="37"/>
      <x:c r="Q239" s="30"/>
      <x:c r="R239" s="30"/>
      <x:c r="S239" s="30"/>
      <x:c r="T239" s="37"/>
      <x:c r="U239" s="59"/>
      <x:c r="V239" s="59"/>
      <x:c r="W239" s="117" t="n">
        <x:v>125000</x:v>
      </x:c>
      <x:c r="X239" s="59" t="str">
        <x:f>IFERROR(IF(OR($N239="ĐÃ GHÉP - AUTO",$N239="ĐÃ GHÉP - QUY TẮC"),IF($V239="","",IF($T239="THÙNG",$V239/$F239,$V239)),""),"")</x:f>
      </x:c>
      <x:c r="Y239" s="117" t="n">
        <x:f>IF(OR(W239="",F239=""),"",W239*F239)</x:f>
        <x:v>750000</x:v>
      </x:c>
      <x:c r="Z239" s="59" t="str">
        <x:f>IFERROR(IF(OR($N239="ĐÃ GHÉP - AUTO",$N239="ĐÃ GHÉP - QUY TẮC"),IF($V239="","",IF($T239="THÙNG",$V239,$V239*$F239)),""),"")</x:f>
      </x:c>
      <x:c r="AA239" s="28" t="str">
        <x:f>IFERROR(IF(OR($K239="",$K239=0,$Y239=""),"",($Y239-$K239)/$K239),"")</x:f>
      </x:c>
      <x:c r="AB239" s="37" t="str">
        <x:f>IFERROR(IF($N239="CẦN DUYỆT","DUYỆT MAP",IF($N239="CHƯA CÓ GIÁ LẺ","THIẾU GIÁ",IF(OR($K239="",$K239=0,$Y239=""),"OK",IF(ABS(($Y239-$K239)/$K239)&gt;0.15,"LỆCH GIÁ CŨ","OK")))),"OK")</x:f>
        <x:v>THIẾU GIÁ</x:v>
      </x:c>
      <x:c r="AC239" s="30" t="str">
        <x:v>ứng viên gần nhất=Siro Douxian 2l tròn; score=0.509</x:v>
      </x:c>
      <x:c r="AD239" s="37" t="str">
        <x:v>SRVAIT</x:v>
      </x:c>
      <x:c r="AE239" s="38" t="str">
        <x:v>SRVAITT</x:v>
      </x:c>
      <x:c r="AF239" s="123" t="n">
        <x:v>2650</x:v>
      </x:c>
      <x:c r="AG239" s="112" t="str">
        <x:v>g</x:v>
      </x:c>
      <x:c r="AH239" s="112" t="str">
        <x:v>BÌNH</x:v>
      </x:c>
      <x:c r="AI239" s="112" t="str">
        <x:v>2650 g / BÌNH</x:v>
      </x:c>
      <x:c r="AJ239" s="120" t="n">
        <x:v>125000</x:v>
      </x:c>
      <x:c r="AK239" s="120"/>
      <x:c r="AL239" s="120" t="n">
        <x:v>125000</x:v>
      </x:c>
      <x:c r="AM239" s="112" t="str">
        <x:v>BỔ SUNG GIÁ</x:v>
      </x:c>
      <x:c r="AN239" s="126" t="n">
        <x:v>531</x:v>
      </x:c>
      <x:c r="AO239" s="126" t="n">
        <x:v>532</x:v>
      </x:c>
      <x:c r="AP239" s="113" t="str">
        <x:v>6 BÌNH / THÙNG</x:v>
      </x:c>
    </x:row>
    <x:row r="240">
      <x:c r="A240" s="71" t="str">
        <x:v>SIRO A+ VẢI</x:v>
      </x:c>
      <x:c r="B240" s="30" t="str">
        <x:v>SIRO A+ VẢI - THÙNG</x:v>
      </x:c>
      <x:c r="C240" s="37" t="str">
        <x:v>SRAVAI</x:v>
      </x:c>
      <x:c r="D240" s="37" t="str">
        <x:v>SRAVAIT</x:v>
      </x:c>
      <x:c r="E240" s="37" t="str">
        <x:v>SRAVAIT</x:v>
      </x:c>
      <x:c r="F240" s="37" t="n">
        <x:v>24</x:v>
      </x:c>
      <x:c r="G240" s="37" t="n">
        <x:v>16000</x:v>
      </x:c>
      <x:c r="H240" s="37" t="str">
        <x:v>g</x:v>
      </x:c>
      <x:c r="I240" s="37" t="str">
        <x:v>THÙNG</x:v>
      </x:c>
      <x:c r="J240" s="59" t="n">
        <x:v>612000</x:v>
      </x:c>
      <x:c r="K240" s="59" t="n">
        <x:v>0</x:v>
      </x:c>
      <x:c r="L240" s="59" t="n">
        <x:v>0</x:v>
      </x:c>
      <x:c r="M240" s="37" t="str">
        <x:v>Siro</x:v>
      </x:c>
      <x:c r="N240" s="37" t="str">
        <x:v>CHƯA CÓ GIÁ LẺ</x:v>
      </x:c>
      <x:c r="O240" s="61" t="n">
        <x:v>0.058</x:v>
      </x:c>
      <x:c r="P240" s="37"/>
      <x:c r="Q240" s="30"/>
      <x:c r="R240" s="30"/>
      <x:c r="S240" s="30"/>
      <x:c r="T240" s="37"/>
      <x:c r="U240" s="59"/>
      <x:c r="V240" s="59"/>
      <x:c r="W240" s="117" t="n">
        <x:v>27000</x:v>
      </x:c>
      <x:c r="X240" s="59" t="str">
        <x:f>IFERROR(IF(OR($N240="ĐÃ GHÉP - AUTO",$N240="ĐÃ GHÉP - QUY TẮC"),IF($V240="","",IF($T240="THÙNG",$V240/$F240,$V240)),""),"")</x:f>
      </x:c>
      <x:c r="Y240" s="117" t="n">
        <x:f>IF(OR(W240="",F240=""),"",W240*F240)</x:f>
        <x:v>648000</x:v>
      </x:c>
      <x:c r="Z240" s="59" t="str">
        <x:f>IFERROR(IF(OR($N240="ĐÃ GHÉP - AUTO",$N240="ĐÃ GHÉP - QUY TẮC"),IF($V240="","",IF($T240="THÙNG",$V240,$V240*$F240)),""),"")</x:f>
      </x:c>
      <x:c r="AA240" s="28" t="str">
        <x:f>IFERROR(IF(OR($K240="",$K240=0,$Y240=""),"",($Y240-$K240)/$K240),"")</x:f>
      </x:c>
      <x:c r="AB240" s="37" t="str">
        <x:f>IFERROR(IF($N240="CẦN DUYỆT","DUYỆT MAP",IF($N240="CHƯA CÓ GIÁ LẺ","THIẾU GIÁ",IF(OR($K240="",$K240=0,$Y240=""),"OK",IF(ABS(($Y240-$K240)/$K240)&gt;0.15,"LỆCH GIÁ CŨ","OK")))),"OK")</x:f>
        <x:v>THIẾU GIÁ</x:v>
      </x:c>
      <x:c r="AC240" s="30" t="str">
        <x:v>ứng viên gần nhất=Siro Carisa; score=0.058</x:v>
      </x:c>
      <x:c r="AD240" s="37" t="str">
        <x:v>SRAVAI</x:v>
      </x:c>
      <x:c r="AE240" s="38" t="str">
        <x:v>SRAVAIT</x:v>
      </x:c>
      <x:c r="AF240" s="123" t="n">
        <x:v>0</x:v>
      </x:c>
      <x:c r="AG240" s="112" t="str">
        <x:v>g</x:v>
      </x:c>
      <x:c r="AH240" s="112" t="str">
        <x:v>CHAI</x:v>
      </x:c>
      <x:c r="AI240" s="112" t="str">
        <x:v>0 g / CHAI</x:v>
      </x:c>
      <x:c r="AJ240" s="120" t="n">
        <x:v>27000</x:v>
      </x:c>
      <x:c r="AK240" s="120"/>
      <x:c r="AL240" s="120" t="n">
        <x:v>27000</x:v>
      </x:c>
      <x:c r="AM240" s="112" t="str">
        <x:v>BỔ SUNG GIÁ</x:v>
      </x:c>
      <x:c r="AN240" s="126" t="n">
        <x:v>533</x:v>
      </x:c>
      <x:c r="AO240" s="126" t="n">
        <x:v>534</x:v>
      </x:c>
      <x:c r="AP240" s="113" t="str">
        <x:v>24 CHAI / THÙNG</x:v>
      </x:c>
    </x:row>
    <x:row r="241">
      <x:c r="A241" s="71" t="str">
        <x:v>SIRO TRINH MÔN</x:v>
      </x:c>
      <x:c r="B241" s="30" t="str">
        <x:v>SIRO TRINH MÔN - THÙNG</x:v>
      </x:c>
      <x:c r="C241" s="37" t="str">
        <x:v>SRTRMN</x:v>
      </x:c>
      <x:c r="D241" s="37" t="str">
        <x:v>SRTRMNT</x:v>
      </x:c>
      <x:c r="E241" s="37" t="str">
        <x:v>SRTRMNT</x:v>
      </x:c>
      <x:c r="F241" s="37" t="n">
        <x:v>20</x:v>
      </x:c>
      <x:c r="G241" s="37" t="n">
        <x:v>0</x:v>
      </x:c>
      <x:c r="H241" s="37" t="str">
        <x:v>g</x:v>
      </x:c>
      <x:c r="I241" s="37" t="str">
        <x:v>THÙNG</x:v>
      </x:c>
      <x:c r="J241" s="59" t="n">
        <x:v>0</x:v>
      </x:c>
      <x:c r="K241" s="59" t="n">
        <x:v>0</x:v>
      </x:c>
      <x:c r="L241" s="59" t="n">
        <x:v>0</x:v>
      </x:c>
      <x:c r="M241" s="37" t="str">
        <x:v>Siro</x:v>
      </x:c>
      <x:c r="N241" s="37" t="str">
        <x:v>CHƯA CÓ GIÁ LẺ</x:v>
      </x:c>
      <x:c r="O241" s="61" t="n">
        <x:v>0.055</x:v>
      </x:c>
      <x:c r="P241" s="37"/>
      <x:c r="Q241" s="30"/>
      <x:c r="R241" s="30"/>
      <x:c r="S241" s="30"/>
      <x:c r="T241" s="37"/>
      <x:c r="U241" s="59"/>
      <x:c r="V241" s="59"/>
      <x:c r="W241" s="117"/>
      <x:c r="X241" s="59" t="str">
        <x:f>IFERROR(IF(OR($N241="ĐÃ GHÉP - AUTO",$N241="ĐÃ GHÉP - QUY TẮC"),IF($V241="","",IF($T241="THÙNG",$V241/$F241,$V241)),""),"")</x:f>
      </x:c>
      <x:c r="Y241" s="117" t="str">
        <x:f>IF(OR(W241="",F241=""),"",W241*F241)</x:f>
      </x:c>
      <x:c r="Z241" s="59" t="str">
        <x:f>IFERROR(IF(OR($N241="ĐÃ GHÉP - AUTO",$N241="ĐÃ GHÉP - QUY TẮC"),IF($V241="","",IF($T241="THÙNG",$V241,$V241*$F241)),""),"")</x:f>
      </x:c>
      <x:c r="AA241" s="28" t="str">
        <x:f>IFERROR(IF(OR($K241="",$K241=0,$Y241=""),"",($Y241-$K241)/$K241),"")</x:f>
      </x:c>
      <x:c r="AB241" s="37" t="str">
        <x:f>IFERROR(IF($N241="CẦN DUYỆT","DUYỆT MAP",IF($N241="CHƯA CÓ GIÁ LẺ","THIẾU GIÁ",IF(OR($K241="",$K241=0,$Y241=""),"OK",IF(ABS(($Y241-$K241)/$K241)&gt;0.15,"LỆCH GIÁ CŨ","OK")))),"OK")</x:f>
        <x:v>THIẾU GIÁ</x:v>
      </x:c>
      <x:c r="AC241" s="30" t="str">
        <x:v>ứng viên gần nhất=Siro Douxian 2l tròn; score=0.055</x:v>
      </x:c>
      <x:c r="AD241" s="37" t="str">
        <x:v>SRTRMN</x:v>
      </x:c>
      <x:c r="AE241" s="38" t="str">
        <x:v>SRTRMNT</x:v>
      </x:c>
      <x:c r="AF241" s="123" t="n">
        <x:v>0</x:v>
      </x:c>
      <x:c r="AG241" s="112" t="str">
        <x:v>g</x:v>
      </x:c>
      <x:c r="AH241" s="112" t="str">
        <x:v>CHAI</x:v>
      </x:c>
      <x:c r="AI241" s="112" t="str">
        <x:v>0 g / CHAI</x:v>
      </x:c>
      <x:c r="AJ241" s="120" t="n">
        <x:v>0</x:v>
      </x:c>
      <x:c r="AK241" s="120"/>
      <x:c r="AL241" s="120"/>
      <x:c r="AM241" s="112" t="str">
        <x:v>DS SP GIÁ 0 - VẪN THIẾU GIÁ</x:v>
      </x:c>
      <x:c r="AN241" s="126" t="n">
        <x:v>535</x:v>
      </x:c>
      <x:c r="AO241" s="126" t="n">
        <x:v>536</x:v>
      </x:c>
      <x:c r="AP241" s="113" t="str">
        <x:v>20 CHAI / THÙNG</x:v>
      </x:c>
    </x:row>
    <x:row r="242">
      <x:c r="A242" s="71" t="str">
        <x:v>SIRO VUÔNG TÁO</x:v>
      </x:c>
      <x:c r="B242" s="30" t="str">
        <x:v>SIRO VUÔNG TÁO - THÙNG</x:v>
      </x:c>
      <x:c r="C242" s="37" t="str">
        <x:v>SRTAOV</x:v>
      </x:c>
      <x:c r="D242" s="37" t="str">
        <x:v>SRTAOVT</x:v>
      </x:c>
      <x:c r="E242" s="37" t="str">
        <x:v>SRTAOVT</x:v>
      </x:c>
      <x:c r="F242" s="37" t="n">
        <x:v>6</x:v>
      </x:c>
      <x:c r="G242" s="37" t="n">
        <x:v>16000</x:v>
      </x:c>
      <x:c r="H242" s="37" t="str">
        <x:v>g</x:v>
      </x:c>
      <x:c r="I242" s="37" t="str">
        <x:v>THÙNG</x:v>
      </x:c>
      <x:c r="J242" s="59" t="n">
        <x:v>0</x:v>
      </x:c>
      <x:c r="K242" s="59" t="n">
        <x:v>0</x:v>
      </x:c>
      <x:c r="L242" s="59" t="n">
        <x:v>0</x:v>
      </x:c>
      <x:c r="M242" s="37" t="str">
        <x:v>Siro</x:v>
      </x:c>
      <x:c r="N242" s="37" t="str">
        <x:v>CHƯA CÓ GIÁ LẺ</x:v>
      </x:c>
      <x:c r="O242" s="61" t="n">
        <x:v>0.48</x:v>
      </x:c>
      <x:c r="P242" s="37"/>
      <x:c r="Q242" s="30"/>
      <x:c r="R242" s="30"/>
      <x:c r="S242" s="30"/>
      <x:c r="T242" s="37"/>
      <x:c r="U242" s="59"/>
      <x:c r="V242" s="59"/>
      <x:c r="W242" s="117" t="n">
        <x:v>85000</x:v>
      </x:c>
      <x:c r="X242" s="59" t="str">
        <x:f>IFERROR(IF(OR($N242="ĐÃ GHÉP - AUTO",$N242="ĐÃ GHÉP - QUY TẮC"),IF($V242="","",IF($T242="THÙNG",$V242/$F242,$V242)),""),"")</x:f>
      </x:c>
      <x:c r="Y242" s="117" t="n">
        <x:f>IF(OR(W242="",F242=""),"",W242*F242)</x:f>
        <x:v>510000</x:v>
      </x:c>
      <x:c r="Z242" s="59" t="str">
        <x:f>IFERROR(IF(OR($N242="ĐÃ GHÉP - AUTO",$N242="ĐÃ GHÉP - QUY TẮC"),IF($V242="","",IF($T242="THÙNG",$V242,$V242*$F242)),""),"")</x:f>
      </x:c>
      <x:c r="AA242" s="28" t="str">
        <x:f>IFERROR(IF(OR($K242="",$K242=0,$Y242=""),"",($Y242-$K242)/$K242),"")</x:f>
      </x:c>
      <x:c r="AB242" s="37" t="str">
        <x:f>IFERROR(IF($N242="CẦN DUYỆT","DUYỆT MAP",IF($N242="CHƯA CÓ GIÁ LẺ","THIẾU GIÁ",IF(OR($K242="",$K242=0,$Y242=""),"OK",IF(ABS(($Y242-$K242)/$K242)&gt;0.15,"LỆCH GIÁ CŨ","OK")))),"OK")</x:f>
        <x:v>THIẾU GIÁ</x:v>
      </x:c>
      <x:c r="AC242" s="30" t="str">
        <x:v>ứng viên gần nhất=Giấm Táo; score=0.480</x:v>
      </x:c>
      <x:c r="AD242" s="37" t="str">
        <x:v>SRTAOV</x:v>
      </x:c>
      <x:c r="AE242" s="38" t="str">
        <x:v>SRTAOVT</x:v>
      </x:c>
      <x:c r="AF242" s="123" t="n">
        <x:v>2650</x:v>
      </x:c>
      <x:c r="AG242" s="112" t="str">
        <x:v>g</x:v>
      </x:c>
      <x:c r="AH242" s="112" t="str">
        <x:v>BÌNH</x:v>
      </x:c>
      <x:c r="AI242" s="112" t="str">
        <x:v>2650 g / BÌNH</x:v>
      </x:c>
      <x:c r="AJ242" s="120" t="n">
        <x:v>85000</x:v>
      </x:c>
      <x:c r="AK242" s="120"/>
      <x:c r="AL242" s="120" t="n">
        <x:v>85000</x:v>
      </x:c>
      <x:c r="AM242" s="112" t="str">
        <x:v>BỔ SUNG GIÁ</x:v>
      </x:c>
      <x:c r="AN242" s="126" t="n">
        <x:v>537</x:v>
      </x:c>
      <x:c r="AO242" s="126" t="n">
        <x:v>538</x:v>
      </x:c>
      <x:c r="AP242" s="113" t="str">
        <x:v>6 BÌNH / THÙNG</x:v>
      </x:c>
    </x:row>
    <x:row r="243">
      <x:c r="A243" s="71" t="str">
        <x:v>SIRO TRÒN SOCOLA</x:v>
      </x:c>
      <x:c r="B243" s="30" t="str">
        <x:v>SIRO TRÒN SOCOLA - THÙNG</x:v>
      </x:c>
      <x:c r="C243" s="37" t="str">
        <x:v>SRSCLT</x:v>
      </x:c>
      <x:c r="D243" s="37" t="str">
        <x:v>SRSCLTT</x:v>
      </x:c>
      <x:c r="E243" s="37" t="str">
        <x:v>SRSCLTT</x:v>
      </x:c>
      <x:c r="F243" s="37" t="n">
        <x:v>6</x:v>
      </x:c>
      <x:c r="G243" s="37" t="n">
        <x:v>16000</x:v>
      </x:c>
      <x:c r="H243" s="37" t="str">
        <x:v>g</x:v>
      </x:c>
      <x:c r="I243" s="37" t="str">
        <x:v>THÙNG</x:v>
      </x:c>
      <x:c r="J243" s="59" t="n">
        <x:v>0</x:v>
      </x:c>
      <x:c r="K243" s="59" t="n">
        <x:v>0</x:v>
      </x:c>
      <x:c r="L243" s="59" t="n">
        <x:v>0</x:v>
      </x:c>
      <x:c r="M243" s="37" t="str">
        <x:v>Siro</x:v>
      </x:c>
      <x:c r="N243" s="37" t="str">
        <x:v>CHƯA CÓ GIÁ LẺ</x:v>
      </x:c>
      <x:c r="O243" s="61" t="n">
        <x:v>0.438</x:v>
      </x:c>
      <x:c r="P243" s="37"/>
      <x:c r="Q243" s="30"/>
      <x:c r="R243" s="30"/>
      <x:c r="S243" s="30"/>
      <x:c r="T243" s="37"/>
      <x:c r="U243" s="59"/>
      <x:c r="V243" s="59"/>
      <x:c r="W243" s="117" t="n">
        <x:v>125000</x:v>
      </x:c>
      <x:c r="X243" s="59" t="str">
        <x:f>IFERROR(IF(OR($N243="ĐÃ GHÉP - AUTO",$N243="ĐÃ GHÉP - QUY TẮC"),IF($V243="","",IF($T243="THÙNG",$V243/$F243,$V243)),""),"")</x:f>
      </x:c>
      <x:c r="Y243" s="117" t="n">
        <x:f>IF(OR(W243="",F243=""),"",W243*F243)</x:f>
        <x:v>750000</x:v>
      </x:c>
      <x:c r="Z243" s="59" t="str">
        <x:f>IFERROR(IF(OR($N243="ĐÃ GHÉP - AUTO",$N243="ĐÃ GHÉP - QUY TẮC"),IF($V243="","",IF($T243="THÙNG",$V243,$V243*$F243)),""),"")</x:f>
      </x:c>
      <x:c r="AA243" s="28" t="str">
        <x:f>IFERROR(IF(OR($K243="",$K243=0,$Y243=""),"",($Y243-$K243)/$K243),"")</x:f>
      </x:c>
      <x:c r="AB243" s="37" t="str">
        <x:f>IFERROR(IF($N243="CẦN DUYỆT","DUYỆT MAP",IF($N243="CHƯA CÓ GIÁ LẺ","THIẾU GIÁ",IF(OR($K243="",$K243=0,$Y243=""),"OK",IF(ABS(($Y243-$K243)/$K243)&gt;0.15,"LỆCH GIÁ CŨ","OK")))),"OK")</x:f>
        <x:v>THIẾU GIÁ</x:v>
      </x:c>
      <x:c r="AC243" s="30" t="str">
        <x:v>ứng viên gần nhất=Siro Douxian 2l tròn; score=0.438</x:v>
      </x:c>
      <x:c r="AD243" s="37" t="str">
        <x:v>SRSCLT</x:v>
      </x:c>
      <x:c r="AE243" s="38" t="str">
        <x:v>SRSCLTT</x:v>
      </x:c>
      <x:c r="AF243" s="123" t="n">
        <x:v>2650</x:v>
      </x:c>
      <x:c r="AG243" s="112" t="str">
        <x:v>g</x:v>
      </x:c>
      <x:c r="AH243" s="112" t="str">
        <x:v>BÌNH</x:v>
      </x:c>
      <x:c r="AI243" s="112" t="str">
        <x:v>2650 g / BÌNH</x:v>
      </x:c>
      <x:c r="AJ243" s="120" t="n">
        <x:v>125000</x:v>
      </x:c>
      <x:c r="AK243" s="120"/>
      <x:c r="AL243" s="120" t="n">
        <x:v>125000</x:v>
      </x:c>
      <x:c r="AM243" s="112" t="str">
        <x:v>BỔ SUNG GIÁ</x:v>
      </x:c>
      <x:c r="AN243" s="126" t="n">
        <x:v>539</x:v>
      </x:c>
      <x:c r="AO243" s="126" t="n">
        <x:v>540</x:v>
      </x:c>
      <x:c r="AP243" s="113" t="str">
        <x:v>6 BÌNH / THÙNG</x:v>
      </x:c>
    </x:row>
    <x:row r="244">
      <x:c r="A244" s="71" t="str">
        <x:v>SIRO A+ SOCOLA</x:v>
      </x:c>
      <x:c r="B244" s="30" t="str">
        <x:v>SIRO A+ SOCOLA - THÙNG</x:v>
      </x:c>
      <x:c r="C244" s="37" t="str">
        <x:v>SRASCL</x:v>
      </x:c>
      <x:c r="D244" s="37" t="str">
        <x:v>SRASCLT</x:v>
      </x:c>
      <x:c r="E244" s="37" t="str">
        <x:v>SRASCLT</x:v>
      </x:c>
      <x:c r="F244" s="37" t="n">
        <x:v>24</x:v>
      </x:c>
      <x:c r="G244" s="37" t="n">
        <x:v>16000</x:v>
      </x:c>
      <x:c r="H244" s="37" t="str">
        <x:v>g</x:v>
      </x:c>
      <x:c r="I244" s="37" t="str">
        <x:v>THÙNG</x:v>
      </x:c>
      <x:c r="J244" s="59" t="n">
        <x:v>612000</x:v>
      </x:c>
      <x:c r="K244" s="59" t="n">
        <x:v>0</x:v>
      </x:c>
      <x:c r="L244" s="59" t="n">
        <x:v>0</x:v>
      </x:c>
      <x:c r="M244" s="37" t="str">
        <x:v>Siro</x:v>
      </x:c>
      <x:c r="N244" s="37" t="str">
        <x:v>CHƯA CÓ GIÁ LẺ</x:v>
      </x:c>
      <x:c r="O244" s="61" t="n">
        <x:v>0.064</x:v>
      </x:c>
      <x:c r="P244" s="37"/>
      <x:c r="Q244" s="30"/>
      <x:c r="R244" s="30"/>
      <x:c r="S244" s="30"/>
      <x:c r="T244" s="37"/>
      <x:c r="U244" s="59"/>
      <x:c r="V244" s="59"/>
      <x:c r="W244" s="117" t="n">
        <x:v>27000</x:v>
      </x:c>
      <x:c r="X244" s="59" t="str">
        <x:f>IFERROR(IF(OR($N244="ĐÃ GHÉP - AUTO",$N244="ĐÃ GHÉP - QUY TẮC"),IF($V244="","",IF($T244="THÙNG",$V244/$F244,$V244)),""),"")</x:f>
      </x:c>
      <x:c r="Y244" s="117" t="n">
        <x:f>IF(OR(W244="",F244=""),"",W244*F244)</x:f>
        <x:v>648000</x:v>
      </x:c>
      <x:c r="Z244" s="59" t="str">
        <x:f>IFERROR(IF(OR($N244="ĐÃ GHÉP - AUTO",$N244="ĐÃ GHÉP - QUY TẮC"),IF($V244="","",IF($T244="THÙNG",$V244,$V244*$F244)),""),"")</x:f>
      </x:c>
      <x:c r="AA244" s="28" t="str">
        <x:f>IFERROR(IF(OR($K244="",$K244=0,$Y244=""),"",($Y244-$K244)/$K244),"")</x:f>
      </x:c>
      <x:c r="AB244" s="37" t="str">
        <x:f>IFERROR(IF($N244="CẦN DUYỆT","DUYỆT MAP",IF($N244="CHƯA CÓ GIÁ LẺ","THIẾU GIÁ",IF(OR($K244="",$K244=0,$Y244=""),"OK",IF(ABS(($Y244-$K244)/$K244)&gt;0.15,"LỆCH GIÁ CŨ","OK")))),"OK")</x:f>
        <x:v>THIẾU GIÁ</x:v>
      </x:c>
      <x:c r="AC244" s="30" t="str">
        <x:v>ứng viên gần nhất=Siro Carisa; score=0.064</x:v>
      </x:c>
      <x:c r="AD244" s="37" t="str">
        <x:v>SRASCL</x:v>
      </x:c>
      <x:c r="AE244" s="38" t="str">
        <x:v>SRASCLT</x:v>
      </x:c>
      <x:c r="AF244" s="123" t="n">
        <x:v>0</x:v>
      </x:c>
      <x:c r="AG244" s="112" t="str">
        <x:v>g</x:v>
      </x:c>
      <x:c r="AH244" s="112" t="str">
        <x:v>CHAI</x:v>
      </x:c>
      <x:c r="AI244" s="112" t="str">
        <x:v>0 g / CHAI</x:v>
      </x:c>
      <x:c r="AJ244" s="120" t="n">
        <x:v>27000</x:v>
      </x:c>
      <x:c r="AK244" s="120"/>
      <x:c r="AL244" s="120" t="n">
        <x:v>27000</x:v>
      </x:c>
      <x:c r="AM244" s="112" t="str">
        <x:v>BỔ SUNG GIÁ</x:v>
      </x:c>
      <x:c r="AN244" s="126" t="n">
        <x:v>541</x:v>
      </x:c>
      <x:c r="AO244" s="126" t="n">
        <x:v>542</x:v>
      </x:c>
      <x:c r="AP244" s="113" t="str">
        <x:v>24 CHAI / THÙNG</x:v>
      </x:c>
    </x:row>
    <x:row r="245">
      <x:c r="A245" s="71" t="str">
        <x:v>SIRO A+ SÂM DỨA</x:v>
      </x:c>
      <x:c r="B245" s="30" t="str">
        <x:v>SIRO A+ SÂM DỨA - THÙNG</x:v>
      </x:c>
      <x:c r="C245" s="37" t="str">
        <x:v>SRASDU</x:v>
      </x:c>
      <x:c r="D245" s="37" t="str">
        <x:v>SRASDUT</x:v>
      </x:c>
      <x:c r="E245" s="37" t="str">
        <x:v>SRASDUT</x:v>
      </x:c>
      <x:c r="F245" s="37" t="n">
        <x:v>24</x:v>
      </x:c>
      <x:c r="G245" s="37" t="n">
        <x:v>16000</x:v>
      </x:c>
      <x:c r="H245" s="37" t="str">
        <x:v>g</x:v>
      </x:c>
      <x:c r="I245" s="37" t="str">
        <x:v>THÙNG</x:v>
      </x:c>
      <x:c r="J245" s="59" t="n">
        <x:v>612000</x:v>
      </x:c>
      <x:c r="K245" s="59" t="n">
        <x:v>0</x:v>
      </x:c>
      <x:c r="L245" s="59" t="n">
        <x:v>0</x:v>
      </x:c>
      <x:c r="M245" s="37" t="str">
        <x:v>Siro</x:v>
      </x:c>
      <x:c r="N245" s="37" t="str">
        <x:v>CẦN DUYỆT</x:v>
      </x:c>
      <x:c r="O245" s="61" t="n">
        <x:v>0.672</x:v>
      </x:c>
      <x:c r="P245" s="37" t="n">
        <x:v>13</x:v>
      </x:c>
      <x:c r="Q245" s="30" t="str">
        <x:v>Siro Sâm Dứa Vina</x:v>
      </x:c>
      <x:c r="R245" s="30" t="str">
        <x:v>Thùng 12 chai</x:v>
      </x:c>
      <x:c r="S245" s="30" t="str">
        <x:v>Chai</x:v>
      </x:c>
      <x:c r="T245" s="37" t="str">
        <x:v>ĐƠN VỊ</x:v>
      </x:c>
      <x:c r="U245" s="59" t="n">
        <x:v>25000</x:v>
      </x:c>
      <x:c r="V245" s="59"/>
      <x:c r="W245" s="117" t="n">
        <x:v>27000</x:v>
      </x:c>
      <x:c r="X245" s="59" t="str">
        <x:f>IFERROR(IF(OR($N245="ĐÃ GHÉP - AUTO",$N245="ĐÃ GHÉP - QUY TẮC"),IF($V245="","",IF($T245="THÙNG",$V245/$F245,$V245)),""),"")</x:f>
      </x:c>
      <x:c r="Y245" s="117" t="n">
        <x:f>IF(OR(W245="",F245=""),"",W245*F245)</x:f>
        <x:v>648000</x:v>
      </x:c>
      <x:c r="Z245" s="59" t="str">
        <x:f>IFERROR(IF(OR($N245="ĐÃ GHÉP - AUTO",$N245="ĐÃ GHÉP - QUY TẮC"),IF($V245="","",IF($T245="THÙNG",$V245,$V245*$F245)),""),"")</x:f>
      </x:c>
      <x:c r="AA245" s="28" t="str">
        <x:f>IFERROR(IF(OR($K245="",$K245=0,$Y245=""),"",($Y245-$K245)/$K245),"")</x:f>
      </x:c>
      <x:c r="AB245" s="37" t="str">
        <x:f>IFERROR(IF($N245="CẦN DUYỆT","DUYỆT MAP",IF($N245="CHƯA CÓ GIÁ LẺ","THIẾU GIÁ",IF(OR($K245="",$K245=0,$Y245=""),"OK",IF(ABS(($Y245-$K245)/$K245)&gt;0.15,"LỆCH GIÁ CŨ","OK")))),"OK")</x:f>
        <x:v>DUYỆT MAP</x:v>
      </x:c>
      <x:c r="AC245" s="30" t="str">
        <x:v>score=0.672; gap=0.606; phương án 2=Siro Carisa</x:v>
      </x:c>
      <x:c r="AD245" s="37" t="str">
        <x:v>SRASDU</x:v>
      </x:c>
      <x:c r="AE245" s="38" t="str">
        <x:v>SRASDUT</x:v>
      </x:c>
      <x:c r="AF245" s="123" t="n">
        <x:v>0</x:v>
      </x:c>
      <x:c r="AG245" s="112" t="str">
        <x:v>g</x:v>
      </x:c>
      <x:c r="AH245" s="112" t="str">
        <x:v>CHAI</x:v>
      </x:c>
      <x:c r="AI245" s="112" t="str">
        <x:v>0 g / CHAI</x:v>
      </x:c>
      <x:c r="AJ245" s="120" t="n">
        <x:v>27000</x:v>
      </x:c>
      <x:c r="AK245" s="120"/>
      <x:c r="AL245" s="120" t="n">
        <x:v>27000</x:v>
      </x:c>
      <x:c r="AM245" s="112" t="str">
        <x:v>BỔ SUNG GIÁ</x:v>
      </x:c>
      <x:c r="AN245" s="126" t="n">
        <x:v>543</x:v>
      </x:c>
      <x:c r="AO245" s="126" t="n">
        <x:v>544</x:v>
      </x:c>
      <x:c r="AP245" s="113" t="str">
        <x:v>24 CHAI / THÙNG</x:v>
      </x:c>
    </x:row>
    <x:row r="246">
      <x:c r="A246" s="71" t="str">
        <x:v>SIRO PIXIE VIỆT QUỐC</x:v>
      </x:c>
      <x:c r="B246" s="30" t="str">
        <x:v>SIRO PIXIE VIỆT QUỐC - THÙNG</x:v>
      </x:c>
      <x:c r="C246" s="37" t="str">
        <x:v>PIXVQU</x:v>
      </x:c>
      <x:c r="D246" s="37" t="str">
        <x:v>PIXVQUT</x:v>
      </x:c>
      <x:c r="E246" s="37" t="str">
        <x:v>PIXVQUT</x:v>
      </x:c>
      <x:c r="F246" s="37" t="n">
        <x:v>12</x:v>
      </x:c>
      <x:c r="G246" s="37" t="n">
        <x:v>13000</x:v>
      </x:c>
      <x:c r="H246" s="37" t="str">
        <x:v>g</x:v>
      </x:c>
      <x:c r="I246" s="37" t="str">
        <x:v>THÙNG</x:v>
      </x:c>
      <x:c r="J246" s="59" t="n">
        <x:v>675000</x:v>
      </x:c>
      <x:c r="K246" s="59" t="n">
        <x:v>0</x:v>
      </x:c>
      <x:c r="L246" s="59" t="n">
        <x:v>0</x:v>
      </x:c>
      <x:c r="M246" s="37" t="str">
        <x:v>Siro</x:v>
      </x:c>
      <x:c r="N246" s="37" t="str">
        <x:v>ĐÃ GHÉP - AUTO</x:v>
      </x:c>
      <x:c r="O246" s="61" t="n">
        <x:v>0.849</x:v>
      </x:c>
      <x:c r="P246" s="37" t="n">
        <x:v>5</x:v>
      </x:c>
      <x:c r="Q246" s="30" t="str">
        <x:v>Siro Thái PIXE</x:v>
      </x:c>
      <x:c r="R246" s="30" t="str">
        <x:v>Thùng 12 chai</x:v>
      </x:c>
      <x:c r="S246" s="30" t="str">
        <x:v>Chai</x:v>
      </x:c>
      <x:c r="T246" s="37" t="str">
        <x:v>ĐƠN VỊ</x:v>
      </x:c>
      <x:c r="U246" s="59" t="n">
        <x:v>62000</x:v>
      </x:c>
      <x:c r="V246" s="59"/>
      <x:c r="W246" s="117" t="n">
        <x:v>62000</x:v>
      </x:c>
      <x:c r="X246" s="59" t="str">
        <x:f>IFERROR(IF(OR($N246="ĐÃ GHÉP - AUTO",$N246="ĐÃ GHÉP - QUY TẮC"),IF($V246="","",IF($T246="THÙNG",$V246/$F246,$V246)),""),"")</x:f>
      </x:c>
      <x:c r="Y246" s="117" t="n">
        <x:f>IF(OR(W246="",F246=""),"",W246*F246)</x:f>
        <x:v>744000</x:v>
      </x:c>
      <x:c r="Z246" s="59" t="str">
        <x:f>IFERROR(IF(OR($N246="ĐÃ GHÉP - AUTO",$N246="ĐÃ GHÉP - QUY TẮC"),IF($V246="","",IF($T246="THÙNG",$V246,$V246*$F246)),""),"")</x:f>
      </x:c>
      <x:c r="AA246" s="28" t="str">
        <x:f>IFERROR(IF(OR($K246="",$K246=0,$Y246=""),"",($Y246-$K246)/$K246),"")</x:f>
      </x:c>
      <x:c r="AB246" s="37" t="str">
        <x:f>IFERROR(IF($N246="CẦN DUYỆT","DUYỆT MAP",IF($N246="CHƯA CÓ GIÁ LẺ","THIẾU GIÁ",IF(OR($K246="",$K246=0,$Y246=""),"OK",IF(ABS(($Y246-$K246)/$K246)&gt;0.15,"LỆCH GIÁ CŨ","OK")))),"OK")</x:f>
        <x:v>OK</x:v>
      </x:c>
      <x:c r="AC246" s="30" t="str">
        <x:v>score=0.849; gap=0.796</x:v>
      </x:c>
      <x:c r="AD246" s="37" t="str">
        <x:v>PIXVQU</x:v>
      </x:c>
      <x:c r="AE246" s="38" t="str">
        <x:v>PIXVQUT</x:v>
      </x:c>
      <x:c r="AF246" s="123" t="n">
        <x:v>0</x:v>
      </x:c>
      <x:c r="AG246" s="112" t="str">
        <x:v>kg</x:v>
      </x:c>
      <x:c r="AH246" s="112" t="str">
        <x:v>CHAI</x:v>
      </x:c>
      <x:c r="AI246" s="112" t="str">
        <x:v>0 kg / CHAI</x:v>
      </x:c>
      <x:c r="AJ246" s="120" t="n">
        <x:v>62000</x:v>
      </x:c>
      <x:c r="AK246" s="120" t="n">
        <x:v>62000</x:v>
      </x:c>
      <x:c r="AL246" s="120" t="n">
        <x:v>62000</x:v>
      </x:c>
      <x:c r="AM246" s="112" t="str">
        <x:v>GIỮ NGUYÊN - ĐÃ KHỚP</x:v>
      </x:c>
      <x:c r="AN246" s="126" t="n">
        <x:v>545</x:v>
      </x:c>
      <x:c r="AO246" s="126" t="n">
        <x:v>546</x:v>
      </x:c>
      <x:c r="AP246" s="113" t="str">
        <x:v>12 CHAI / THÙNG</x:v>
      </x:c>
    </x:row>
    <x:row r="247">
      <x:c r="A247" s="71" t="str">
        <x:v>SIRO PIXIE VẢI</x:v>
      </x:c>
      <x:c r="B247" s="30" t="str">
        <x:v>SIRO PIXIE VẢI - THÙNG</x:v>
      </x:c>
      <x:c r="C247" s="37" t="str">
        <x:v>PIXVAI</x:v>
      </x:c>
      <x:c r="D247" s="37" t="str">
        <x:v>PIXVAIT</x:v>
      </x:c>
      <x:c r="E247" s="37" t="str">
        <x:v>PIXVAIT</x:v>
      </x:c>
      <x:c r="F247" s="37" t="n">
        <x:v>12</x:v>
      </x:c>
      <x:c r="G247" s="37" t="n">
        <x:v>13000</x:v>
      </x:c>
      <x:c r="H247" s="37" t="str">
        <x:v>g</x:v>
      </x:c>
      <x:c r="I247" s="37" t="str">
        <x:v>THÙNG</x:v>
      </x:c>
      <x:c r="J247" s="59" t="n">
        <x:v>665000</x:v>
      </x:c>
      <x:c r="K247" s="59" t="n">
        <x:v>0</x:v>
      </x:c>
      <x:c r="L247" s="59" t="n">
        <x:v>0</x:v>
      </x:c>
      <x:c r="M247" s="37" t="str">
        <x:v>Siro</x:v>
      </x:c>
      <x:c r="N247" s="37" t="str">
        <x:v>ĐÃ GHÉP - AUTO</x:v>
      </x:c>
      <x:c r="O247" s="61" t="n">
        <x:v>0.877</x:v>
      </x:c>
      <x:c r="P247" s="37" t="n">
        <x:v>5</x:v>
      </x:c>
      <x:c r="Q247" s="30" t="str">
        <x:v>Siro Thái PIXE</x:v>
      </x:c>
      <x:c r="R247" s="30" t="str">
        <x:v>Thùng 12 chai</x:v>
      </x:c>
      <x:c r="S247" s="30" t="str">
        <x:v>Chai</x:v>
      </x:c>
      <x:c r="T247" s="37" t="str">
        <x:v>ĐƠN VỊ</x:v>
      </x:c>
      <x:c r="U247" s="59" t="n">
        <x:v>62000</x:v>
      </x:c>
      <x:c r="V247" s="59"/>
      <x:c r="W247" s="117" t="n">
        <x:v>62000</x:v>
      </x:c>
      <x:c r="X247" s="59" t="str">
        <x:f>IFERROR(IF(OR($N247="ĐÃ GHÉP - AUTO",$N247="ĐÃ GHÉP - QUY TẮC"),IF($V247="","",IF($T247="THÙNG",$V247/$F247,$V247)),""),"")</x:f>
      </x:c>
      <x:c r="Y247" s="117" t="n">
        <x:f>IF(OR(W247="",F247=""),"",W247*F247)</x:f>
        <x:v>744000</x:v>
      </x:c>
      <x:c r="Z247" s="59" t="str">
        <x:f>IFERROR(IF(OR($N247="ĐÃ GHÉP - AUTO",$N247="ĐÃ GHÉP - QUY TẮC"),IF($V247="","",IF($T247="THÙNG",$V247,$V247*$F247)),""),"")</x:f>
      </x:c>
      <x:c r="AA247" s="28" t="str">
        <x:f>IFERROR(IF(OR($K247="",$K247=0,$Y247=""),"",($Y247-$K247)/$K247),"")</x:f>
      </x:c>
      <x:c r="AB247" s="37" t="str">
        <x:f>IFERROR(IF($N247="CẦN DUYỆT","DUYỆT MAP",IF($N247="CHƯA CÓ GIÁ LẺ","THIẾU GIÁ",IF(OR($K247="",$K247=0,$Y247=""),"OK",IF(ABS(($Y247-$K247)/$K247)&gt;0.15,"LỆCH GIÁ CŨ","OK")))),"OK")</x:f>
        <x:v>OK</x:v>
      </x:c>
      <x:c r="AC247" s="30" t="str">
        <x:v>score=0.877; gap=0.817</x:v>
      </x:c>
      <x:c r="AD247" s="37" t="str">
        <x:v>PIXVAI</x:v>
      </x:c>
      <x:c r="AE247" s="38" t="str">
        <x:v>PIXVAIT</x:v>
      </x:c>
      <x:c r="AF247" s="123" t="n">
        <x:v>1</x:v>
      </x:c>
      <x:c r="AG247" s="112" t="str">
        <x:v>kg</x:v>
      </x:c>
      <x:c r="AH247" s="112" t="str">
        <x:v>CHAI</x:v>
      </x:c>
      <x:c r="AI247" s="112" t="str">
        <x:v>1 kg / CHAI</x:v>
      </x:c>
      <x:c r="AJ247" s="120" t="n">
        <x:v>62000</x:v>
      </x:c>
      <x:c r="AK247" s="120" t="n">
        <x:v>62000</x:v>
      </x:c>
      <x:c r="AL247" s="120" t="n">
        <x:v>62000</x:v>
      </x:c>
      <x:c r="AM247" s="112" t="str">
        <x:v>GIỮ NGUYÊN - ĐÃ KHỚP</x:v>
      </x:c>
      <x:c r="AN247" s="126" t="n">
        <x:v>547</x:v>
      </x:c>
      <x:c r="AO247" s="126" t="n">
        <x:v>548</x:v>
      </x:c>
      <x:c r="AP247" s="113" t="str">
        <x:v>12 CHAI / THÙNG</x:v>
      </x:c>
    </x:row>
    <x:row r="248">
      <x:c r="A248" s="71" t="str">
        <x:v>SIRO PIXIE TÁO</x:v>
      </x:c>
      <x:c r="B248" s="30" t="str">
        <x:v>SIRO PIXIE TÁO - THÙNG</x:v>
      </x:c>
      <x:c r="C248" s="37" t="str">
        <x:v>PIXTAO</x:v>
      </x:c>
      <x:c r="D248" s="37" t="str">
        <x:v>PIXTAOT</x:v>
      </x:c>
      <x:c r="E248" s="37" t="str">
        <x:v>PIXTAOT</x:v>
      </x:c>
      <x:c r="F248" s="37" t="n">
        <x:v>12</x:v>
      </x:c>
      <x:c r="G248" s="37" t="n">
        <x:v>13000</x:v>
      </x:c>
      <x:c r="H248" s="37" t="str">
        <x:v>g</x:v>
      </x:c>
      <x:c r="I248" s="37" t="str">
        <x:v>THÙNG</x:v>
      </x:c>
      <x:c r="J248" s="59" t="n">
        <x:v>665000</x:v>
      </x:c>
      <x:c r="K248" s="59" t="n">
        <x:v>0</x:v>
      </x:c>
      <x:c r="L248" s="59" t="n">
        <x:v>0</x:v>
      </x:c>
      <x:c r="M248" s="37" t="str">
        <x:v>Siro</x:v>
      </x:c>
      <x:c r="N248" s="37" t="str">
        <x:v>ĐÃ GHÉP - AUTO</x:v>
      </x:c>
      <x:c r="O248" s="61" t="n">
        <x:v>0.871</x:v>
      </x:c>
      <x:c r="P248" s="37" t="n">
        <x:v>5</x:v>
      </x:c>
      <x:c r="Q248" s="30" t="str">
        <x:v>Siro Thái PIXE</x:v>
      </x:c>
      <x:c r="R248" s="30" t="str">
        <x:v>Thùng 12 chai</x:v>
      </x:c>
      <x:c r="S248" s="30" t="str">
        <x:v>Chai</x:v>
      </x:c>
      <x:c r="T248" s="37" t="str">
        <x:v>ĐƠN VỊ</x:v>
      </x:c>
      <x:c r="U248" s="59" t="n">
        <x:v>62000</x:v>
      </x:c>
      <x:c r="V248" s="59"/>
      <x:c r="W248" s="117" t="n">
        <x:v>62000</x:v>
      </x:c>
      <x:c r="X248" s="59" t="str">
        <x:f>IFERROR(IF(OR($N248="ĐÃ GHÉP - AUTO",$N248="ĐÃ GHÉP - QUY TẮC"),IF($V248="","",IF($T248="THÙNG",$V248/$F248,$V248)),""),"")</x:f>
      </x:c>
      <x:c r="Y248" s="117" t="n">
        <x:f>IF(OR(W248="",F248=""),"",W248*F248)</x:f>
        <x:v>744000</x:v>
      </x:c>
      <x:c r="Z248" s="59" t="str">
        <x:f>IFERROR(IF(OR($N248="ĐÃ GHÉP - AUTO",$N248="ĐÃ GHÉP - QUY TẮC"),IF($V248="","",IF($T248="THÙNG",$V248,$V248*$F248)),""),"")</x:f>
      </x:c>
      <x:c r="AA248" s="28" t="str">
        <x:f>IFERROR(IF(OR($K248="",$K248=0,$Y248=""),"",($Y248-$K248)/$K248),"")</x:f>
      </x:c>
      <x:c r="AB248" s="37" t="str">
        <x:f>IFERROR(IF($N248="CẦN DUYỆT","DUYỆT MAP",IF($N248="CHƯA CÓ GIÁ LẺ","THIẾU GIÁ",IF(OR($K248="",$K248=0,$Y248=""),"OK",IF(ABS(($Y248-$K248)/$K248)&gt;0.15,"LỆCH GIÁ CŨ","OK")))),"OK")</x:f>
        <x:v>OK</x:v>
      </x:c>
      <x:c r="AC248" s="30" t="str">
        <x:v>score=0.871; gap=0.458</x:v>
      </x:c>
      <x:c r="AD248" s="37" t="str">
        <x:v>PIXTAO</x:v>
      </x:c>
      <x:c r="AE248" s="38" t="str">
        <x:v>PIXTAOT</x:v>
      </x:c>
      <x:c r="AF248" s="123" t="n">
        <x:v>1000</x:v>
      </x:c>
      <x:c r="AG248" s="112" t="str">
        <x:v>g</x:v>
      </x:c>
      <x:c r="AH248" s="112" t="str">
        <x:v>CHAI</x:v>
      </x:c>
      <x:c r="AI248" s="112" t="str">
        <x:v>1000 g / CHAI</x:v>
      </x:c>
      <x:c r="AJ248" s="120" t="n">
        <x:v>62000</x:v>
      </x:c>
      <x:c r="AK248" s="120" t="n">
        <x:v>62000</x:v>
      </x:c>
      <x:c r="AL248" s="120" t="n">
        <x:v>62000</x:v>
      </x:c>
      <x:c r="AM248" s="112" t="str">
        <x:v>GIỮ NGUYÊN - ĐÃ KHỚP</x:v>
      </x:c>
      <x:c r="AN248" s="126" t="n">
        <x:v>549</x:v>
      </x:c>
      <x:c r="AO248" s="126" t="n">
        <x:v>550</x:v>
      </x:c>
      <x:c r="AP248" s="113" t="str">
        <x:v>12 CHAI / THÙNG</x:v>
      </x:c>
    </x:row>
    <x:row r="249">
      <x:c r="A249" s="71" t="str">
        <x:v>SIRO PIXIE SOCOLA</x:v>
      </x:c>
      <x:c r="B249" s="30" t="str">
        <x:v>SIRO PIXIE SOCOLA - THÙNG</x:v>
      </x:c>
      <x:c r="C249" s="37" t="str">
        <x:v>PIXSCL</x:v>
      </x:c>
      <x:c r="D249" s="37" t="str">
        <x:v>PIXSCLT</x:v>
      </x:c>
      <x:c r="E249" s="37" t="str">
        <x:v>PIXSCLT</x:v>
      </x:c>
      <x:c r="F249" s="37" t="n">
        <x:v>12</x:v>
      </x:c>
      <x:c r="G249" s="37" t="n">
        <x:v>13000</x:v>
      </x:c>
      <x:c r="H249" s="37" t="str">
        <x:v>g</x:v>
      </x:c>
      <x:c r="I249" s="37" t="str">
        <x:v>THÙNG</x:v>
      </x:c>
      <x:c r="J249" s="59" t="n">
        <x:v>665000</x:v>
      </x:c>
      <x:c r="K249" s="59" t="n">
        <x:v>0</x:v>
      </x:c>
      <x:c r="L249" s="59" t="n">
        <x:v>0</x:v>
      </x:c>
      <x:c r="M249" s="37" t="str">
        <x:v>Siro</x:v>
      </x:c>
      <x:c r="N249" s="37" t="str">
        <x:v>ĐÃ GHÉP - AUTO</x:v>
      </x:c>
      <x:c r="O249" s="61" t="n">
        <x:v>0.871</x:v>
      </x:c>
      <x:c r="P249" s="37" t="n">
        <x:v>5</x:v>
      </x:c>
      <x:c r="Q249" s="30" t="str">
        <x:v>Siro Thái PIXE</x:v>
      </x:c>
      <x:c r="R249" s="30" t="str">
        <x:v>Thùng 12 chai</x:v>
      </x:c>
      <x:c r="S249" s="30" t="str">
        <x:v>Chai</x:v>
      </x:c>
      <x:c r="T249" s="37" t="str">
        <x:v>ĐƠN VỊ</x:v>
      </x:c>
      <x:c r="U249" s="59" t="n">
        <x:v>62000</x:v>
      </x:c>
      <x:c r="V249" s="59"/>
      <x:c r="W249" s="117" t="n">
        <x:v>62000</x:v>
      </x:c>
      <x:c r="X249" s="59" t="str">
        <x:f>IFERROR(IF(OR($N249="ĐÃ GHÉP - AUTO",$N249="ĐÃ GHÉP - QUY TẮC"),IF($V249="","",IF($T249="THÙNG",$V249/$F249,$V249)),""),"")</x:f>
      </x:c>
      <x:c r="Y249" s="117" t="n">
        <x:f>IF(OR(W249="",F249=""),"",W249*F249)</x:f>
        <x:v>744000</x:v>
      </x:c>
      <x:c r="Z249" s="59" t="str">
        <x:f>IFERROR(IF(OR($N249="ĐÃ GHÉP - AUTO",$N249="ĐÃ GHÉP - QUY TẮC"),IF($V249="","",IF($T249="THÙNG",$V249,$V249*$F249)),""),"")</x:f>
      </x:c>
      <x:c r="AA249" s="28" t="str">
        <x:f>IFERROR(IF(OR($K249="",$K249=0,$Y249=""),"",($Y249-$K249)/$K249),"")</x:f>
      </x:c>
      <x:c r="AB249" s="37" t="str">
        <x:f>IFERROR(IF($N249="CẦN DUYỆT","DUYỆT MAP",IF($N249="CHƯA CÓ GIÁ LẺ","THIẾU GIÁ",IF(OR($K249="",$K249=0,$Y249=""),"OK",IF(ABS(($Y249-$K249)/$K249)&gt;0.15,"LỆCH GIÁ CŨ","OK")))),"OK")</x:f>
        <x:v>OK</x:v>
      </x:c>
      <x:c r="AC249" s="30" t="str">
        <x:v>score=0.871; gap=0.819</x:v>
      </x:c>
      <x:c r="AD249" s="37" t="str">
        <x:v>PIXSCL</x:v>
      </x:c>
      <x:c r="AE249" s="38" t="str">
        <x:v>PIXSCLT</x:v>
      </x:c>
      <x:c r="AF249" s="123" t="n">
        <x:v>1</x:v>
      </x:c>
      <x:c r="AG249" s="112" t="str">
        <x:v>kg</x:v>
      </x:c>
      <x:c r="AH249" s="112" t="str">
        <x:v>CHAI</x:v>
      </x:c>
      <x:c r="AI249" s="112" t="str">
        <x:v>1 kg / CHAI</x:v>
      </x:c>
      <x:c r="AJ249" s="120" t="n">
        <x:v>62000</x:v>
      </x:c>
      <x:c r="AK249" s="120" t="n">
        <x:v>62000</x:v>
      </x:c>
      <x:c r="AL249" s="120" t="n">
        <x:v>62000</x:v>
      </x:c>
      <x:c r="AM249" s="112" t="str">
        <x:v>GIỮ NGUYÊN - ĐÃ KHỚP</x:v>
      </x:c>
      <x:c r="AN249" s="126" t="n">
        <x:v>551</x:v>
      </x:c>
      <x:c r="AO249" s="126" t="n">
        <x:v>552</x:v>
      </x:c>
      <x:c r="AP249" s="113" t="str">
        <x:v>12 CHAI / THÙNG</x:v>
      </x:c>
    </x:row>
    <x:row r="250">
      <x:c r="A250" s="71" t="str">
        <x:v>SIRO PIXIE NHO</x:v>
      </x:c>
      <x:c r="B250" s="30" t="str">
        <x:v>SIRO PIXIE NHO - THÙNG</x:v>
      </x:c>
      <x:c r="C250" s="37" t="str">
        <x:v>PIXNHO</x:v>
      </x:c>
      <x:c r="D250" s="37" t="str">
        <x:v>PIXNHOT</x:v>
      </x:c>
      <x:c r="E250" s="37" t="str">
        <x:v>PIXNHOT</x:v>
      </x:c>
      <x:c r="F250" s="37" t="n">
        <x:v>12</x:v>
      </x:c>
      <x:c r="G250" s="37" t="n">
        <x:v>13000</x:v>
      </x:c>
      <x:c r="H250" s="37" t="str">
        <x:v>g</x:v>
      </x:c>
      <x:c r="I250" s="37" t="str">
        <x:v>THÙNG</x:v>
      </x:c>
      <x:c r="J250" s="59" t="n">
        <x:v>665000</x:v>
      </x:c>
      <x:c r="K250" s="59" t="n">
        <x:v>0</x:v>
      </x:c>
      <x:c r="L250" s="59" t="n">
        <x:v>0</x:v>
      </x:c>
      <x:c r="M250" s="37" t="str">
        <x:v>Siro</x:v>
      </x:c>
      <x:c r="N250" s="37" t="str">
        <x:v>ĐÃ GHÉP - AUTO</x:v>
      </x:c>
      <x:c r="O250" s="61" t="n">
        <x:v>0.871</x:v>
      </x:c>
      <x:c r="P250" s="37" t="n">
        <x:v>5</x:v>
      </x:c>
      <x:c r="Q250" s="30" t="str">
        <x:v>Siro Thái PIXE</x:v>
      </x:c>
      <x:c r="R250" s="30" t="str">
        <x:v>Thùng 12 chai</x:v>
      </x:c>
      <x:c r="S250" s="30" t="str">
        <x:v>Chai</x:v>
      </x:c>
      <x:c r="T250" s="37" t="str">
        <x:v>ĐƠN VỊ</x:v>
      </x:c>
      <x:c r="U250" s="59" t="n">
        <x:v>62000</x:v>
      </x:c>
      <x:c r="V250" s="59"/>
      <x:c r="W250" s="117" t="n">
        <x:v>62000</x:v>
      </x:c>
      <x:c r="X250" s="59" t="str">
        <x:f>IFERROR(IF(OR($N250="ĐÃ GHÉP - AUTO",$N250="ĐÃ GHÉP - QUY TẮC"),IF($V250="","",IF($T250="THÙNG",$V250/$F250,$V250)),""),"")</x:f>
      </x:c>
      <x:c r="Y250" s="117" t="n">
        <x:f>IF(OR(W250="",F250=""),"",W250*F250)</x:f>
        <x:v>744000</x:v>
      </x:c>
      <x:c r="Z250" s="59" t="str">
        <x:f>IFERROR(IF(OR($N250="ĐÃ GHÉP - AUTO",$N250="ĐÃ GHÉP - QUY TẮC"),IF($V250="","",IF($T250="THÙNG",$V250,$V250*$F250)),""),"")</x:f>
      </x:c>
      <x:c r="AA250" s="28" t="str">
        <x:f>IFERROR(IF(OR($K250="",$K250=0,$Y250=""),"",($Y250-$K250)/$K250),"")</x:f>
      </x:c>
      <x:c r="AB250" s="37" t="str">
        <x:f>IFERROR(IF($N250="CẦN DUYỆT","DUYỆT MAP",IF($N250="CHƯA CÓ GIÁ LẺ","THIẾU GIÁ",IF(OR($K250="",$K250=0,$Y250=""),"OK",IF(ABS(($Y250-$K250)/$K250)&gt;0.15,"LỆCH GIÁ CŨ","OK")))),"OK")</x:f>
        <x:v>OK</x:v>
      </x:c>
      <x:c r="AC250" s="30" t="str">
        <x:v>score=0.871; gap=0.815</x:v>
      </x:c>
      <x:c r="AD250" s="37" t="str">
        <x:v>PIXNHO</x:v>
      </x:c>
      <x:c r="AE250" s="38" t="str">
        <x:v>PIXNHOT</x:v>
      </x:c>
      <x:c r="AF250" s="123" t="n">
        <x:v>1</x:v>
      </x:c>
      <x:c r="AG250" s="112" t="str">
        <x:v>kg</x:v>
      </x:c>
      <x:c r="AH250" s="112" t="str">
        <x:v>CHAI</x:v>
      </x:c>
      <x:c r="AI250" s="112" t="str">
        <x:v>1 kg / CHAI</x:v>
      </x:c>
      <x:c r="AJ250" s="120" t="n">
        <x:v>62000</x:v>
      </x:c>
      <x:c r="AK250" s="120" t="n">
        <x:v>62000</x:v>
      </x:c>
      <x:c r="AL250" s="120" t="n">
        <x:v>62000</x:v>
      </x:c>
      <x:c r="AM250" s="112" t="str">
        <x:v>GIỮ NGUYÊN - ĐÃ KHỚP</x:v>
      </x:c>
      <x:c r="AN250" s="126" t="n">
        <x:v>553</x:v>
      </x:c>
      <x:c r="AO250" s="126" t="n">
        <x:v>554</x:v>
      </x:c>
      <x:c r="AP250" s="113" t="str">
        <x:v>12 CHAI / THÙNG</x:v>
      </x:c>
    </x:row>
    <x:row r="251">
      <x:c r="A251" s="71" t="str">
        <x:v>SIRO PIXIE MATCHA</x:v>
      </x:c>
      <x:c r="B251" s="30" t="str">
        <x:v>SIRO PIXIE MATCHA - THÙNG</x:v>
      </x:c>
      <x:c r="C251" s="37" t="str">
        <x:v>PIXMAT</x:v>
      </x:c>
      <x:c r="D251" s="37" t="str">
        <x:v>PIXMATT</x:v>
      </x:c>
      <x:c r="E251" s="37" t="str">
        <x:v>PIXMATT</x:v>
      </x:c>
      <x:c r="F251" s="37" t="n">
        <x:v>12</x:v>
      </x:c>
      <x:c r="G251" s="37" t="n">
        <x:v>13000</x:v>
      </x:c>
      <x:c r="H251" s="37" t="str">
        <x:v>g</x:v>
      </x:c>
      <x:c r="I251" s="37" t="str">
        <x:v>THÙNG</x:v>
      </x:c>
      <x:c r="J251" s="59" t="n">
        <x:v>665000</x:v>
      </x:c>
      <x:c r="K251" s="59" t="n">
        <x:v>0</x:v>
      </x:c>
      <x:c r="L251" s="59" t="n">
        <x:v>0</x:v>
      </x:c>
      <x:c r="M251" s="37" t="str">
        <x:v>Siro</x:v>
      </x:c>
      <x:c r="N251" s="37" t="str">
        <x:v>ĐÃ GHÉP - AUTO</x:v>
      </x:c>
      <x:c r="O251" s="61" t="n">
        <x:v>0.86</x:v>
      </x:c>
      <x:c r="P251" s="37" t="n">
        <x:v>5</x:v>
      </x:c>
      <x:c r="Q251" s="30" t="str">
        <x:v>Siro Thái PIXE</x:v>
      </x:c>
      <x:c r="R251" s="30" t="str">
        <x:v>Thùng 12 chai</x:v>
      </x:c>
      <x:c r="S251" s="30" t="str">
        <x:v>Chai</x:v>
      </x:c>
      <x:c r="T251" s="37" t="str">
        <x:v>ĐƠN VỊ</x:v>
      </x:c>
      <x:c r="U251" s="59" t="n">
        <x:v>62000</x:v>
      </x:c>
      <x:c r="V251" s="59"/>
      <x:c r="W251" s="117" t="n">
        <x:v>62000</x:v>
      </x:c>
      <x:c r="X251" s="59" t="str">
        <x:f>IFERROR(IF(OR($N251="ĐÃ GHÉP - AUTO",$N251="ĐÃ GHÉP - QUY TẮC"),IF($V251="","",IF($T251="THÙNG",$V251/$F251,$V251)),""),"")</x:f>
      </x:c>
      <x:c r="Y251" s="117" t="n">
        <x:f>IF(OR(W251="",F251=""),"",W251*F251)</x:f>
        <x:v>744000</x:v>
      </x:c>
      <x:c r="Z251" s="59" t="str">
        <x:f>IFERROR(IF(OR($N251="ĐÃ GHÉP - AUTO",$N251="ĐÃ GHÉP - QUY TẮC"),IF($V251="","",IF($T251="THÙNG",$V251,$V251*$F251)),""),"")</x:f>
      </x:c>
      <x:c r="AA251" s="28" t="str">
        <x:f>IFERROR(IF(OR($K251="",$K251=0,$Y251=""),"",($Y251-$K251)/$K251),"")</x:f>
      </x:c>
      <x:c r="AB251" s="37" t="str">
        <x:f>IFERROR(IF($N251="CẦN DUYỆT","DUYỆT MAP",IF($N251="CHƯA CÓ GIÁ LẺ","THIẾU GIÁ",IF(OR($K251="",$K251=0,$Y251=""),"OK",IF(ABS(($Y251-$K251)/$K251)&gt;0.15,"LỆCH GIÁ CŨ","OK")))),"OK")</x:f>
        <x:v>OK</x:v>
      </x:c>
      <x:c r="AC251" s="30" t="str">
        <x:v>score=0.860; gap=0.512</x:v>
      </x:c>
      <x:c r="AD251" s="37" t="str">
        <x:v>PIXMAT</x:v>
      </x:c>
      <x:c r="AE251" s="38" t="str">
        <x:v>PIXMATT</x:v>
      </x:c>
      <x:c r="AF251" s="123" t="n">
        <x:v>1</x:v>
      </x:c>
      <x:c r="AG251" s="112" t="str">
        <x:v>kg</x:v>
      </x:c>
      <x:c r="AH251" s="112" t="str">
        <x:v>CHAI</x:v>
      </x:c>
      <x:c r="AI251" s="112" t="str">
        <x:v>1 kg / CHAI</x:v>
      </x:c>
      <x:c r="AJ251" s="120" t="n">
        <x:v>62000</x:v>
      </x:c>
      <x:c r="AK251" s="120" t="n">
        <x:v>62000</x:v>
      </x:c>
      <x:c r="AL251" s="120" t="n">
        <x:v>62000</x:v>
      </x:c>
      <x:c r="AM251" s="112" t="str">
        <x:v>GIỮ NGUYÊN - ĐÃ KHỚP</x:v>
      </x:c>
      <x:c r="AN251" s="126" t="n">
        <x:v>555</x:v>
      </x:c>
      <x:c r="AO251" s="126" t="n">
        <x:v>556</x:v>
      </x:c>
      <x:c r="AP251" s="113" t="str">
        <x:v>12 CHAI / THÙNG</x:v>
      </x:c>
    </x:row>
    <x:row r="252">
      <x:c r="A252" s="71" t="str">
        <x:v>SIRO PIXIE KIWI</x:v>
      </x:c>
      <x:c r="B252" s="30" t="str">
        <x:v>SIRO PIXIE KIWI - THÙNG</x:v>
      </x:c>
      <x:c r="C252" s="37" t="str">
        <x:v>PIXKWI</x:v>
      </x:c>
      <x:c r="D252" s="37" t="str">
        <x:v>PIXKWIT</x:v>
      </x:c>
      <x:c r="E252" s="37" t="str">
        <x:v>PIXKWIT</x:v>
      </x:c>
      <x:c r="F252" s="37" t="n">
        <x:v>12</x:v>
      </x:c>
      <x:c r="G252" s="37" t="n">
        <x:v>13000</x:v>
      </x:c>
      <x:c r="H252" s="37" t="str">
        <x:v>g</x:v>
      </x:c>
      <x:c r="I252" s="37" t="str">
        <x:v>THÙNG</x:v>
      </x:c>
      <x:c r="J252" s="59" t="n">
        <x:v>665000</x:v>
      </x:c>
      <x:c r="K252" s="59" t="n">
        <x:v>0</x:v>
      </x:c>
      <x:c r="L252" s="59" t="n">
        <x:v>0</x:v>
      </x:c>
      <x:c r="M252" s="37" t="str">
        <x:v>Siro</x:v>
      </x:c>
      <x:c r="N252" s="37" t="str">
        <x:v>ĐÃ GHÉP - AUTO</x:v>
      </x:c>
      <x:c r="O252" s="61" t="n">
        <x:v>0.87</x:v>
      </x:c>
      <x:c r="P252" s="37" t="n">
        <x:v>5</x:v>
      </x:c>
      <x:c r="Q252" s="30" t="str">
        <x:v>Siro Thái PIXE</x:v>
      </x:c>
      <x:c r="R252" s="30" t="str">
        <x:v>Thùng 12 chai</x:v>
      </x:c>
      <x:c r="S252" s="30" t="str">
        <x:v>Chai</x:v>
      </x:c>
      <x:c r="T252" s="37" t="str">
        <x:v>ĐƠN VỊ</x:v>
      </x:c>
      <x:c r="U252" s="59" t="n">
        <x:v>62000</x:v>
      </x:c>
      <x:c r="V252" s="59"/>
      <x:c r="W252" s="117" t="n">
        <x:v>62000</x:v>
      </x:c>
      <x:c r="X252" s="59" t="str">
        <x:f>IFERROR(IF(OR($N252="ĐÃ GHÉP - AUTO",$N252="ĐÃ GHÉP - QUY TẮC"),IF($V252="","",IF($T252="THÙNG",$V252/$F252,$V252)),""),"")</x:f>
      </x:c>
      <x:c r="Y252" s="117" t="n">
        <x:f>IF(OR(W252="",F252=""),"",W252*F252)</x:f>
        <x:v>744000</x:v>
      </x:c>
      <x:c r="Z252" s="59" t="str">
        <x:f>IFERROR(IF(OR($N252="ĐÃ GHÉP - AUTO",$N252="ĐÃ GHÉP - QUY TẮC"),IF($V252="","",IF($T252="THÙNG",$V252,$V252*$F252)),""),"")</x:f>
      </x:c>
      <x:c r="AA252" s="28" t="str">
        <x:f>IFERROR(IF(OR($K252="",$K252=0,$Y252=""),"",($Y252-$K252)/$K252),"")</x:f>
      </x:c>
      <x:c r="AB252" s="37" t="str">
        <x:f>IFERROR(IF($N252="CẦN DUYỆT","DUYỆT MAP",IF($N252="CHƯA CÓ GIÁ LẺ","THIẾU GIÁ",IF(OR($K252="",$K252=0,$Y252=""),"OK",IF(ABS(($Y252-$K252)/$K252)&gt;0.15,"LỆCH GIÁ CŨ","OK")))),"OK")</x:f>
        <x:v>OK</x:v>
      </x:c>
      <x:c r="AC252" s="30" t="str">
        <x:v>score=0.870; gap=0.823</x:v>
      </x:c>
      <x:c r="AD252" s="37" t="str">
        <x:v>PIXKWI</x:v>
      </x:c>
      <x:c r="AE252" s="38" t="str">
        <x:v>PIXKWIT</x:v>
      </x:c>
      <x:c r="AF252" s="123" t="n">
        <x:v>1</x:v>
      </x:c>
      <x:c r="AG252" s="112" t="str">
        <x:v>kg</x:v>
      </x:c>
      <x:c r="AH252" s="112" t="str">
        <x:v>CHAI</x:v>
      </x:c>
      <x:c r="AI252" s="112" t="str">
        <x:v>1 kg / CHAI</x:v>
      </x:c>
      <x:c r="AJ252" s="120" t="n">
        <x:v>62000</x:v>
      </x:c>
      <x:c r="AK252" s="120" t="n">
        <x:v>62000</x:v>
      </x:c>
      <x:c r="AL252" s="120" t="n">
        <x:v>62000</x:v>
      </x:c>
      <x:c r="AM252" s="112" t="str">
        <x:v>GIỮ NGUYÊN - ĐÃ KHỚP</x:v>
      </x:c>
      <x:c r="AN252" s="126" t="n">
        <x:v>557</x:v>
      </x:c>
      <x:c r="AO252" s="126" t="n">
        <x:v>558</x:v>
      </x:c>
      <x:c r="AP252" s="113" t="str">
        <x:v>12 CHAI / THÙNG</x:v>
      </x:c>
    </x:row>
    <x:row r="253">
      <x:c r="A253" s="71" t="str">
        <x:v>SIRO PIXIE ĐÀO</x:v>
      </x:c>
      <x:c r="B253" s="30" t="str">
        <x:v>SIRO PIXIE ĐÀO - THÙNG</x:v>
      </x:c>
      <x:c r="C253" s="37" t="str">
        <x:v>PIXDAO</x:v>
      </x:c>
      <x:c r="D253" s="37" t="str">
        <x:v>PIXDAOT</x:v>
      </x:c>
      <x:c r="E253" s="37" t="str">
        <x:v>PIXDAOT</x:v>
      </x:c>
      <x:c r="F253" s="37" t="n">
        <x:v>12</x:v>
      </x:c>
      <x:c r="G253" s="37" t="n">
        <x:v>13000</x:v>
      </x:c>
      <x:c r="H253" s="37" t="str">
        <x:v>g</x:v>
      </x:c>
      <x:c r="I253" s="37" t="str">
        <x:v>THÙNG</x:v>
      </x:c>
      <x:c r="J253" s="59" t="n">
        <x:v>665000</x:v>
      </x:c>
      <x:c r="K253" s="59" t="n">
        <x:v>0</x:v>
      </x:c>
      <x:c r="L253" s="59" t="n">
        <x:v>0</x:v>
      </x:c>
      <x:c r="M253" s="37" t="str">
        <x:v>Siro</x:v>
      </x:c>
      <x:c r="N253" s="37" t="str">
        <x:v>ĐÃ GHÉP - AUTO</x:v>
      </x:c>
      <x:c r="O253" s="61" t="n">
        <x:v>0.879</x:v>
      </x:c>
      <x:c r="P253" s="37" t="n">
        <x:v>5</x:v>
      </x:c>
      <x:c r="Q253" s="30" t="str">
        <x:v>Siro Thái PIXE</x:v>
      </x:c>
      <x:c r="R253" s="30" t="str">
        <x:v>Thùng 12 chai</x:v>
      </x:c>
      <x:c r="S253" s="30" t="str">
        <x:v>Chai</x:v>
      </x:c>
      <x:c r="T253" s="37" t="str">
        <x:v>ĐƠN VỊ</x:v>
      </x:c>
      <x:c r="U253" s="59" t="n">
        <x:v>62000</x:v>
      </x:c>
      <x:c r="V253" s="59"/>
      <x:c r="W253" s="117" t="n">
        <x:v>62000</x:v>
      </x:c>
      <x:c r="X253" s="59" t="str">
        <x:f>IFERROR(IF(OR($N253="ĐÃ GHÉP - AUTO",$N253="ĐÃ GHÉP - QUY TẮC"),IF($V253="","",IF($T253="THÙNG",$V253/$F253,$V253)),""),"")</x:f>
      </x:c>
      <x:c r="Y253" s="117" t="n">
        <x:f>IF(OR(W253="",F253=""),"",W253*F253)</x:f>
        <x:v>744000</x:v>
      </x:c>
      <x:c r="Z253" s="59" t="str">
        <x:f>IFERROR(IF(OR($N253="ĐÃ GHÉP - AUTO",$N253="ĐÃ GHÉP - QUY TẮC"),IF($V253="","",IF($T253="THÙNG",$V253,$V253*$F253)),""),"")</x:f>
      </x:c>
      <x:c r="AA253" s="28" t="str">
        <x:f>IFERROR(IF(OR($K253="",$K253=0,$Y253=""),"",($Y253-$K253)/$K253),"")</x:f>
      </x:c>
      <x:c r="AB253" s="37" t="str">
        <x:f>IFERROR(IF($N253="CẦN DUYỆT","DUYỆT MAP",IF($N253="CHƯA CÓ GIÁ LẺ","THIẾU GIÁ",IF(OR($K253="",$K253=0,$Y253=""),"OK",IF(ABS(($Y253-$K253)/$K253)&gt;0.15,"LỆCH GIÁ CŨ","OK")))),"OK")</x:f>
        <x:v>OK</x:v>
      </x:c>
      <x:c r="AC253" s="30" t="str">
        <x:v>score=0.879; gap=0.630</x:v>
      </x:c>
      <x:c r="AD253" s="37" t="str">
        <x:v>PIXDAO</x:v>
      </x:c>
      <x:c r="AE253" s="38" t="str">
        <x:v>PIXDAOT</x:v>
      </x:c>
      <x:c r="AF253" s="123" t="n">
        <x:v>1</x:v>
      </x:c>
      <x:c r="AG253" s="112" t="str">
        <x:v>kg</x:v>
      </x:c>
      <x:c r="AH253" s="112" t="str">
        <x:v>CHAI</x:v>
      </x:c>
      <x:c r="AI253" s="112" t="str">
        <x:v>1 kg / CHAI</x:v>
      </x:c>
      <x:c r="AJ253" s="120" t="n">
        <x:v>62000</x:v>
      </x:c>
      <x:c r="AK253" s="120" t="n">
        <x:v>62000</x:v>
      </x:c>
      <x:c r="AL253" s="120" t="n">
        <x:v>62000</x:v>
      </x:c>
      <x:c r="AM253" s="112" t="str">
        <x:v>GIỮ NGUYÊN - ĐÃ KHỚP</x:v>
      </x:c>
      <x:c r="AN253" s="126" t="n">
        <x:v>559</x:v>
      </x:c>
      <x:c r="AO253" s="126" t="n">
        <x:v>560</x:v>
      </x:c>
      <x:c r="AP253" s="113" t="str">
        <x:v>12 CHAI / THÙNG</x:v>
      </x:c>
    </x:row>
    <x:row r="254">
      <x:c r="A254" s="71" t="str">
        <x:v>SIRO PIXIE DƯA LƯỚI</x:v>
      </x:c>
      <x:c r="B254" s="30" t="str">
        <x:v>SIRO PIXIE DƯA LƯỚI - THÙNG</x:v>
      </x:c>
      <x:c r="C254" s="37" t="str">
        <x:v>PIXDLU</x:v>
      </x:c>
      <x:c r="D254" s="37" t="str">
        <x:v>PIXDLUT</x:v>
      </x:c>
      <x:c r="E254" s="37" t="str">
        <x:v>PIXDLUT</x:v>
      </x:c>
      <x:c r="F254" s="37" t="n">
        <x:v>12</x:v>
      </x:c>
      <x:c r="G254" s="37" t="n">
        <x:v>13000</x:v>
      </x:c>
      <x:c r="H254" s="37" t="str">
        <x:v>g</x:v>
      </x:c>
      <x:c r="I254" s="37" t="str">
        <x:v>THÙNG</x:v>
      </x:c>
      <x:c r="J254" s="59" t="n">
        <x:v>665000</x:v>
      </x:c>
      <x:c r="K254" s="59" t="n">
        <x:v>0</x:v>
      </x:c>
      <x:c r="L254" s="59" t="n">
        <x:v>0</x:v>
      </x:c>
      <x:c r="M254" s="37" t="str">
        <x:v>Siro</x:v>
      </x:c>
      <x:c r="N254" s="37" t="str">
        <x:v>ĐÃ GHÉP - AUTO</x:v>
      </x:c>
      <x:c r="O254" s="61" t="n">
        <x:v>0.852</x:v>
      </x:c>
      <x:c r="P254" s="37" t="n">
        <x:v>5</x:v>
      </x:c>
      <x:c r="Q254" s="30" t="str">
        <x:v>Siro Thái PIXE</x:v>
      </x:c>
      <x:c r="R254" s="30" t="str">
        <x:v>Thùng 12 chai</x:v>
      </x:c>
      <x:c r="S254" s="30" t="str">
        <x:v>Chai</x:v>
      </x:c>
      <x:c r="T254" s="37" t="str">
        <x:v>ĐƠN VỊ</x:v>
      </x:c>
      <x:c r="U254" s="59" t="n">
        <x:v>62000</x:v>
      </x:c>
      <x:c r="V254" s="59"/>
      <x:c r="W254" s="117" t="n">
        <x:v>62000</x:v>
      </x:c>
      <x:c r="X254" s="59" t="str">
        <x:f>IFERROR(IF(OR($N254="ĐÃ GHÉP - AUTO",$N254="ĐÃ GHÉP - QUY TẮC"),IF($V254="","",IF($T254="THÙNG",$V254/$F254,$V254)),""),"")</x:f>
      </x:c>
      <x:c r="Y254" s="117" t="n">
        <x:f>IF(OR(W254="",F254=""),"",W254*F254)</x:f>
        <x:v>744000</x:v>
      </x:c>
      <x:c r="Z254" s="59" t="str">
        <x:f>IFERROR(IF(OR($N254="ĐÃ GHÉP - AUTO",$N254="ĐÃ GHÉP - QUY TẮC"),IF($V254="","",IF($T254="THÙNG",$V254,$V254*$F254)),""),"")</x:f>
      </x:c>
      <x:c r="AA254" s="28" t="str">
        <x:f>IFERROR(IF(OR($K254="",$K254=0,$Y254=""),"",($Y254-$K254)/$K254),"")</x:f>
      </x:c>
      <x:c r="AB254" s="37" t="str">
        <x:f>IFERROR(IF($N254="CẦN DUYỆT","DUYỆT MAP",IF($N254="CHƯA CÓ GIÁ LẺ","THIẾU GIÁ",IF(OR($K254="",$K254=0,$Y254=""),"OK",IF(ABS(($Y254-$K254)/$K254)&gt;0.15,"LỆCH GIÁ CŨ","OK")))),"OK")</x:f>
        <x:v>OK</x:v>
      </x:c>
      <x:c r="AC254" s="30" t="str">
        <x:v>score=0.852; gap=0.449</x:v>
      </x:c>
      <x:c r="AD254" s="37" t="str">
        <x:v>PIXDLU</x:v>
      </x:c>
      <x:c r="AE254" s="38" t="str">
        <x:v>PIXDLUT</x:v>
      </x:c>
      <x:c r="AF254" s="123" t="n">
        <x:v>1</x:v>
      </x:c>
      <x:c r="AG254" s="112" t="str">
        <x:v>kg</x:v>
      </x:c>
      <x:c r="AH254" s="112" t="str">
        <x:v>CHAI</x:v>
      </x:c>
      <x:c r="AI254" s="112" t="str">
        <x:v>1 kg / CHAI</x:v>
      </x:c>
      <x:c r="AJ254" s="120" t="n">
        <x:v>62000</x:v>
      </x:c>
      <x:c r="AK254" s="120" t="n">
        <x:v>62000</x:v>
      </x:c>
      <x:c r="AL254" s="120" t="n">
        <x:v>62000</x:v>
      </x:c>
      <x:c r="AM254" s="112" t="str">
        <x:v>GIỮ NGUYÊN - ĐÃ KHỚP</x:v>
      </x:c>
      <x:c r="AN254" s="126" t="n">
        <x:v>561</x:v>
      </x:c>
      <x:c r="AO254" s="126" t="n">
        <x:v>562</x:v>
      </x:c>
      <x:c r="AP254" s="113" t="str">
        <x:v>12 CHAI / THÙNG</x:v>
      </x:c>
    </x:row>
    <x:row r="255">
      <x:c r="A255" s="71" t="str">
        <x:v>SIRO PIXIE DÂU</x:v>
      </x:c>
      <x:c r="B255" s="30" t="str">
        <x:v>SIRO PIXIE DÂU - THÙNG</x:v>
      </x:c>
      <x:c r="C255" s="37" t="str">
        <x:v>PIXDAU</x:v>
      </x:c>
      <x:c r="D255" s="37" t="str">
        <x:v>PIXDAUT</x:v>
      </x:c>
      <x:c r="E255" s="37" t="str">
        <x:v>PIXDAUT</x:v>
      </x:c>
      <x:c r="F255" s="37" t="n">
        <x:v>12</x:v>
      </x:c>
      <x:c r="G255" s="37" t="n">
        <x:v>13000</x:v>
      </x:c>
      <x:c r="H255" s="37" t="str">
        <x:v>g</x:v>
      </x:c>
      <x:c r="I255" s="37" t="str">
        <x:v>THÙNG</x:v>
      </x:c>
      <x:c r="J255" s="59" t="n">
        <x:v>665000</x:v>
      </x:c>
      <x:c r="K255" s="59" t="n">
        <x:v>0</x:v>
      </x:c>
      <x:c r="L255" s="59" t="n">
        <x:v>0</x:v>
      </x:c>
      <x:c r="M255" s="37" t="str">
        <x:v>Siro</x:v>
      </x:c>
      <x:c r="N255" s="37" t="str">
        <x:v>ĐÃ GHÉP - AUTO</x:v>
      </x:c>
      <x:c r="O255" s="61" t="n">
        <x:v>0.878</x:v>
      </x:c>
      <x:c r="P255" s="37" t="n">
        <x:v>5</x:v>
      </x:c>
      <x:c r="Q255" s="30" t="str">
        <x:v>Siro Thái PIXE</x:v>
      </x:c>
      <x:c r="R255" s="30" t="str">
        <x:v>Thùng 12 chai</x:v>
      </x:c>
      <x:c r="S255" s="30" t="str">
        <x:v>Chai</x:v>
      </x:c>
      <x:c r="T255" s="37" t="str">
        <x:v>ĐƠN VỊ</x:v>
      </x:c>
      <x:c r="U255" s="59" t="n">
        <x:v>62000</x:v>
      </x:c>
      <x:c r="V255" s="59"/>
      <x:c r="W255" s="117" t="n">
        <x:v>62000</x:v>
      </x:c>
      <x:c r="X255" s="59" t="str">
        <x:f>IFERROR(IF(OR($N255="ĐÃ GHÉP - AUTO",$N255="ĐÃ GHÉP - QUY TẮC"),IF($V255="","",IF($T255="THÙNG",$V255/$F255,$V255)),""),"")</x:f>
      </x:c>
      <x:c r="Y255" s="117" t="n">
        <x:f>IF(OR(W255="",F255=""),"",W255*F255)</x:f>
        <x:v>744000</x:v>
      </x:c>
      <x:c r="Z255" s="59" t="str">
        <x:f>IFERROR(IF(OR($N255="ĐÃ GHÉP - AUTO",$N255="ĐÃ GHÉP - QUY TẮC"),IF($V255="","",IF($T255="THÙNG",$V255,$V255*$F255)),""),"")</x:f>
      </x:c>
      <x:c r="AA255" s="28" t="str">
        <x:f>IFERROR(IF(OR($K255="",$K255=0,$Y255=""),"",($Y255-$K255)/$K255),"")</x:f>
      </x:c>
      <x:c r="AB255" s="37" t="str">
        <x:f>IFERROR(IF($N255="CẦN DUYỆT","DUYỆT MAP",IF($N255="CHƯA CÓ GIÁ LẺ","THIẾU GIÁ",IF(OR($K255="",$K255=0,$Y255=""),"OK",IF(ABS(($Y255-$K255)/$K255)&gt;0.15,"LỆCH GIÁ CŨ","OK")))),"OK")</x:f>
        <x:v>OK</x:v>
      </x:c>
      <x:c r="AC255" s="30" t="str">
        <x:v>score=0.878; gap=0.514</x:v>
      </x:c>
      <x:c r="AD255" s="37" t="str">
        <x:v>PIXDAU</x:v>
      </x:c>
      <x:c r="AE255" s="38" t="str">
        <x:v>PIXDAUT</x:v>
      </x:c>
      <x:c r="AF255" s="123" t="n">
        <x:v>1</x:v>
      </x:c>
      <x:c r="AG255" s="112" t="str">
        <x:v>kg</x:v>
      </x:c>
      <x:c r="AH255" s="112" t="str">
        <x:v>CHAI</x:v>
      </x:c>
      <x:c r="AI255" s="112" t="str">
        <x:v>1 kg / CHAI</x:v>
      </x:c>
      <x:c r="AJ255" s="120" t="n">
        <x:v>62000</x:v>
      </x:c>
      <x:c r="AK255" s="120" t="n">
        <x:v>62000</x:v>
      </x:c>
      <x:c r="AL255" s="120" t="n">
        <x:v>62000</x:v>
      </x:c>
      <x:c r="AM255" s="112" t="str">
        <x:v>GIỮ NGUYÊN - ĐÃ KHỚP</x:v>
      </x:c>
      <x:c r="AN255" s="126" t="n">
        <x:v>563</x:v>
      </x:c>
      <x:c r="AO255" s="126" t="n">
        <x:v>564</x:v>
      </x:c>
      <x:c r="AP255" s="113" t="str">
        <x:v>12 CHAI / THÙNG</x:v>
      </x:c>
    </x:row>
    <x:row r="256">
      <x:c r="A256" s="71" t="str">
        <x:v>SIRO PIXIE CHANH DÂY</x:v>
      </x:c>
      <x:c r="B256" s="30" t="str">
        <x:v>SIRO PIXIE CHANH DÂY - THÙNG</x:v>
      </x:c>
      <x:c r="C256" s="37" t="str">
        <x:v>PIXCDA</x:v>
      </x:c>
      <x:c r="D256" s="37" t="str">
        <x:v>PIXCDAT</x:v>
      </x:c>
      <x:c r="E256" s="37" t="str">
        <x:v>PIXCDAT</x:v>
      </x:c>
      <x:c r="F256" s="37" t="n">
        <x:v>12</x:v>
      </x:c>
      <x:c r="G256" s="37" t="n">
        <x:v>13000</x:v>
      </x:c>
      <x:c r="H256" s="37" t="str">
        <x:v>g</x:v>
      </x:c>
      <x:c r="I256" s="37" t="str">
        <x:v>THÙNG</x:v>
      </x:c>
      <x:c r="J256" s="59" t="n">
        <x:v>665000</x:v>
      </x:c>
      <x:c r="K256" s="59" t="n">
        <x:v>0</x:v>
      </x:c>
      <x:c r="L256" s="59" t="n">
        <x:v>0</x:v>
      </x:c>
      <x:c r="M256" s="37" t="str">
        <x:v>Siro</x:v>
      </x:c>
      <x:c r="N256" s="37" t="str">
        <x:v>ĐÃ GHÉP - AUTO</x:v>
      </x:c>
      <x:c r="O256" s="61" t="n">
        <x:v>0.848</x:v>
      </x:c>
      <x:c r="P256" s="37" t="n">
        <x:v>5</x:v>
      </x:c>
      <x:c r="Q256" s="30" t="str">
        <x:v>Siro Thái PIXE</x:v>
      </x:c>
      <x:c r="R256" s="30" t="str">
        <x:v>Thùng 12 chai</x:v>
      </x:c>
      <x:c r="S256" s="30" t="str">
        <x:v>Chai</x:v>
      </x:c>
      <x:c r="T256" s="37" t="str">
        <x:v>ĐƠN VỊ</x:v>
      </x:c>
      <x:c r="U256" s="59" t="n">
        <x:v>62000</x:v>
      </x:c>
      <x:c r="V256" s="59"/>
      <x:c r="W256" s="117" t="n">
        <x:v>62000</x:v>
      </x:c>
      <x:c r="X256" s="59" t="str">
        <x:f>IFERROR(IF(OR($N256="ĐÃ GHÉP - AUTO",$N256="ĐÃ GHÉP - QUY TẮC"),IF($V256="","",IF($T256="THÙNG",$V256/$F256,$V256)),""),"")</x:f>
      </x:c>
      <x:c r="Y256" s="117" t="n">
        <x:f>IF(OR(W256="",F256=""),"",W256*F256)</x:f>
        <x:v>744000</x:v>
      </x:c>
      <x:c r="Z256" s="59" t="str">
        <x:f>IFERROR(IF(OR($N256="ĐÃ GHÉP - AUTO",$N256="ĐÃ GHÉP - QUY TẮC"),IF($V256="","",IF($T256="THÙNG",$V256,$V256*$F256)),""),"")</x:f>
      </x:c>
      <x:c r="AA256" s="28" t="str">
        <x:f>IFERROR(IF(OR($K256="",$K256=0,$Y256=""),"",($Y256-$K256)/$K256),"")</x:f>
      </x:c>
      <x:c r="AB256" s="37" t="str">
        <x:f>IFERROR(IF($N256="CẦN DUYỆT","DUYỆT MAP",IF($N256="CHƯA CÓ GIÁ LẺ","THIẾU GIÁ",IF(OR($K256="",$K256=0,$Y256=""),"OK",IF(ABS(($Y256-$K256)/$K256)&gt;0.15,"LỆCH GIÁ CŨ","OK")))),"OK")</x:f>
        <x:v>OK</x:v>
      </x:c>
      <x:c r="AC256" s="30" t="str">
        <x:v>score=0.848; gap=0.770</x:v>
      </x:c>
      <x:c r="AD256" s="37" t="str">
        <x:v>PIXCDA</x:v>
      </x:c>
      <x:c r="AE256" s="38" t="str">
        <x:v>PIXCDAT</x:v>
      </x:c>
      <x:c r="AF256" s="123" t="n">
        <x:v>1</x:v>
      </x:c>
      <x:c r="AG256" s="112" t="str">
        <x:v>kg</x:v>
      </x:c>
      <x:c r="AH256" s="112" t="str">
        <x:v>CHAI</x:v>
      </x:c>
      <x:c r="AI256" s="112" t="str">
        <x:v>1 kg / CHAI</x:v>
      </x:c>
      <x:c r="AJ256" s="120" t="n">
        <x:v>62000</x:v>
      </x:c>
      <x:c r="AK256" s="120" t="n">
        <x:v>62000</x:v>
      </x:c>
      <x:c r="AL256" s="120" t="n">
        <x:v>62000</x:v>
      </x:c>
      <x:c r="AM256" s="112" t="str">
        <x:v>GIỮ NGUYÊN - ĐÃ KHỚP</x:v>
      </x:c>
      <x:c r="AN256" s="126" t="n">
        <x:v>565</x:v>
      </x:c>
      <x:c r="AO256" s="126" t="n">
        <x:v>566</x:v>
      </x:c>
      <x:c r="AP256" s="113" t="str">
        <x:v>12 CHAI / THÙNG</x:v>
      </x:c>
    </x:row>
    <x:row r="257">
      <x:c r="A257" s="71" t="str">
        <x:v>SIRO PIXIE BLUE PUNCH</x:v>
      </x:c>
      <x:c r="B257" s="30" t="str">
        <x:v>SIRO PIXIE BLUE PUNCH - THÙNG</x:v>
      </x:c>
      <x:c r="C257" s="37" t="str">
        <x:v>PIXPUN</x:v>
      </x:c>
      <x:c r="D257" s="37" t="str">
        <x:v>PIXPUNT</x:v>
      </x:c>
      <x:c r="E257" s="37" t="str">
        <x:v>PIXPUNT</x:v>
      </x:c>
      <x:c r="F257" s="37" t="n">
        <x:v>12</x:v>
      </x:c>
      <x:c r="G257" s="37" t="n">
        <x:v>13000</x:v>
      </x:c>
      <x:c r="H257" s="37" t="str">
        <x:v>g</x:v>
      </x:c>
      <x:c r="I257" s="37" t="str">
        <x:v>THÙNG</x:v>
      </x:c>
      <x:c r="J257" s="59" t="n">
        <x:v>665000</x:v>
      </x:c>
      <x:c r="K257" s="59" t="n">
        <x:v>0</x:v>
      </x:c>
      <x:c r="L257" s="59" t="n">
        <x:v>0</x:v>
      </x:c>
      <x:c r="M257" s="37" t="str">
        <x:v>Siro</x:v>
      </x:c>
      <x:c r="N257" s="37" t="str">
        <x:v>ĐÃ GHÉP - AUTO</x:v>
      </x:c>
      <x:c r="O257" s="61" t="n">
        <x:v>0.84</x:v>
      </x:c>
      <x:c r="P257" s="37" t="n">
        <x:v>5</x:v>
      </x:c>
      <x:c r="Q257" s="30" t="str">
        <x:v>Siro Thái PIXE</x:v>
      </x:c>
      <x:c r="R257" s="30" t="str">
        <x:v>Thùng 12 chai</x:v>
      </x:c>
      <x:c r="S257" s="30" t="str">
        <x:v>Chai</x:v>
      </x:c>
      <x:c r="T257" s="37" t="str">
        <x:v>ĐƠN VỊ</x:v>
      </x:c>
      <x:c r="U257" s="59" t="n">
        <x:v>62000</x:v>
      </x:c>
      <x:c r="V257" s="59"/>
      <x:c r="W257" s="117" t="n">
        <x:v>62000</x:v>
      </x:c>
      <x:c r="X257" s="59" t="str">
        <x:f>IFERROR(IF(OR($N257="ĐÃ GHÉP - AUTO",$N257="ĐÃ GHÉP - QUY TẮC"),IF($V257="","",IF($T257="THÙNG",$V257/$F257,$V257)),""),"")</x:f>
      </x:c>
      <x:c r="Y257" s="117" t="n">
        <x:f>IF(OR(W257="",F257=""),"",W257*F257)</x:f>
        <x:v>744000</x:v>
      </x:c>
      <x:c r="Z257" s="59" t="str">
        <x:f>IFERROR(IF(OR($N257="ĐÃ GHÉP - AUTO",$N257="ĐÃ GHÉP - QUY TẮC"),IF($V257="","",IF($T257="THÙNG",$V257,$V257*$F257)),""),"")</x:f>
      </x:c>
      <x:c r="AA257" s="28" t="str">
        <x:f>IFERROR(IF(OR($K257="",$K257=0,$Y257=""),"",($Y257-$K257)/$K257),"")</x:f>
      </x:c>
      <x:c r="AB257" s="37" t="str">
        <x:f>IFERROR(IF($N257="CẦN DUYỆT","DUYỆT MAP",IF($N257="CHƯA CÓ GIÁ LẺ","THIẾU GIÁ",IF(OR($K257="",$K257=0,$Y257=""),"OK",IF(ABS(($Y257-$K257)/$K257)&gt;0.15,"LỆCH GIÁ CŨ","OK")))),"OK")</x:f>
        <x:v>OK</x:v>
      </x:c>
      <x:c r="AC257" s="30" t="str">
        <x:v>score=0.840; gap=0.788</x:v>
      </x:c>
      <x:c r="AD257" s="37" t="str">
        <x:v>PIXPUN</x:v>
      </x:c>
      <x:c r="AE257" s="38" t="str">
        <x:v>PIXPUNT</x:v>
      </x:c>
      <x:c r="AF257" s="123" t="n">
        <x:v>0</x:v>
      </x:c>
      <x:c r="AG257" s="112" t="str">
        <x:v>kg</x:v>
      </x:c>
      <x:c r="AH257" s="112" t="str">
        <x:v>CHAI</x:v>
      </x:c>
      <x:c r="AI257" s="112" t="str">
        <x:v>0 kg / CHAI</x:v>
      </x:c>
      <x:c r="AJ257" s="120" t="n">
        <x:v>62000</x:v>
      </x:c>
      <x:c r="AK257" s="120" t="n">
        <x:v>62000</x:v>
      </x:c>
      <x:c r="AL257" s="120" t="n">
        <x:v>62000</x:v>
      </x:c>
      <x:c r="AM257" s="112" t="str">
        <x:v>GIỮ NGUYÊN - ĐÃ KHỚP</x:v>
      </x:c>
      <x:c r="AN257" s="126" t="n">
        <x:v>567</x:v>
      </x:c>
      <x:c r="AO257" s="126" t="n">
        <x:v>568</x:v>
      </x:c>
      <x:c r="AP257" s="113" t="str">
        <x:v>12 CHAI / THÙNG</x:v>
      </x:c>
    </x:row>
    <x:row r="258">
      <x:c r="A258" s="71" t="str">
        <x:v>SIRO PIXIE BLUE CURACAO</x:v>
      </x:c>
      <x:c r="B258" s="30" t="str">
        <x:v>SIRO PIXIE BLUE CURACAO - THÙNG</x:v>
      </x:c>
      <x:c r="C258" s="37" t="str">
        <x:v>PIXBLU</x:v>
      </x:c>
      <x:c r="D258" s="37" t="str">
        <x:v>PIXBLUT</x:v>
      </x:c>
      <x:c r="E258" s="37" t="str">
        <x:v>PIXBLUT</x:v>
      </x:c>
      <x:c r="F258" s="37" t="n">
        <x:v>12</x:v>
      </x:c>
      <x:c r="G258" s="37" t="n">
        <x:v>13000</x:v>
      </x:c>
      <x:c r="H258" s="37" t="str">
        <x:v>g</x:v>
      </x:c>
      <x:c r="I258" s="37" t="str">
        <x:v>THÙNG</x:v>
      </x:c>
      <x:c r="J258" s="59" t="n">
        <x:v>665000</x:v>
      </x:c>
      <x:c r="K258" s="59" t="n">
        <x:v>0</x:v>
      </x:c>
      <x:c r="L258" s="59" t="n">
        <x:v>0</x:v>
      </x:c>
      <x:c r="M258" s="37" t="str">
        <x:v>Siro</x:v>
      </x:c>
      <x:c r="N258" s="37" t="str">
        <x:v>ĐÃ GHÉP - AUTO</x:v>
      </x:c>
      <x:c r="O258" s="61" t="n">
        <x:v>0.843</x:v>
      </x:c>
      <x:c r="P258" s="37" t="n">
        <x:v>5</x:v>
      </x:c>
      <x:c r="Q258" s="30" t="str">
        <x:v>Siro Thái PIXE</x:v>
      </x:c>
      <x:c r="R258" s="30" t="str">
        <x:v>Thùng 12 chai</x:v>
      </x:c>
      <x:c r="S258" s="30" t="str">
        <x:v>Chai</x:v>
      </x:c>
      <x:c r="T258" s="37" t="str">
        <x:v>ĐƠN VỊ</x:v>
      </x:c>
      <x:c r="U258" s="59" t="n">
        <x:v>62000</x:v>
      </x:c>
      <x:c r="V258" s="59"/>
      <x:c r="W258" s="117" t="n">
        <x:v>62000</x:v>
      </x:c>
      <x:c r="X258" s="59" t="str">
        <x:f>IFERROR(IF(OR($N258="ĐÃ GHÉP - AUTO",$N258="ĐÃ GHÉP - QUY TẮC"),IF($V258="","",IF($T258="THÙNG",$V258/$F258,$V258)),""),"")</x:f>
      </x:c>
      <x:c r="Y258" s="117" t="n">
        <x:f>IF(OR(W258="",F258=""),"",W258*F258)</x:f>
        <x:v>744000</x:v>
      </x:c>
      <x:c r="Z258" s="59" t="str">
        <x:f>IFERROR(IF(OR($N258="ĐÃ GHÉP - AUTO",$N258="ĐÃ GHÉP - QUY TẮC"),IF($V258="","",IF($T258="THÙNG",$V258,$V258*$F258)),""),"")</x:f>
      </x:c>
      <x:c r="AA258" s="28" t="str">
        <x:f>IFERROR(IF(OR($K258="",$K258=0,$Y258=""),"",($Y258-$K258)/$K258),"")</x:f>
      </x:c>
      <x:c r="AB258" s="37" t="str">
        <x:f>IFERROR(IF($N258="CẦN DUYỆT","DUYỆT MAP",IF($N258="CHƯA CÓ GIÁ LẺ","THIẾU GIÁ",IF(OR($K258="",$K258=0,$Y258=""),"OK",IF(ABS(($Y258-$K258)/$K258)&gt;0.15,"LỆCH GIÁ CŨ","OK")))),"OK")</x:f>
        <x:v>OK</x:v>
      </x:c>
      <x:c r="AC258" s="30" t="str">
        <x:v>score=0.843; gap=0.786</x:v>
      </x:c>
      <x:c r="AD258" s="37" t="str">
        <x:v>PIXBLU</x:v>
      </x:c>
      <x:c r="AE258" s="38" t="str">
        <x:v>PIXBLUT</x:v>
      </x:c>
      <x:c r="AF258" s="123" t="n">
        <x:v>0</x:v>
      </x:c>
      <x:c r="AG258" s="112" t="str">
        <x:v>kg</x:v>
      </x:c>
      <x:c r="AH258" s="112" t="str">
        <x:v>CHAI</x:v>
      </x:c>
      <x:c r="AI258" s="112" t="str">
        <x:v>0 kg / CHAI</x:v>
      </x:c>
      <x:c r="AJ258" s="120" t="n">
        <x:v>62000</x:v>
      </x:c>
      <x:c r="AK258" s="120" t="n">
        <x:v>62000</x:v>
      </x:c>
      <x:c r="AL258" s="120" t="n">
        <x:v>62000</x:v>
      </x:c>
      <x:c r="AM258" s="112" t="str">
        <x:v>GIỮ NGUYÊN - ĐÃ KHỚP</x:v>
      </x:c>
      <x:c r="AN258" s="126" t="n">
        <x:v>569</x:v>
      </x:c>
      <x:c r="AO258" s="126" t="n">
        <x:v>570</x:v>
      </x:c>
      <x:c r="AP258" s="113" t="str">
        <x:v>12 CHAI / THÙNG</x:v>
      </x:c>
    </x:row>
    <x:row r="259">
      <x:c r="A259" s="71" t="str">
        <x:v>SIRO PIXIE BẠC HÀ</x:v>
      </x:c>
      <x:c r="B259" s="30" t="str">
        <x:v>SIRO PIXIE BẠC HÀ - THÙNG</x:v>
      </x:c>
      <x:c r="C259" s="37" t="str">
        <x:v>PIXBHA</x:v>
      </x:c>
      <x:c r="D259" s="37" t="str">
        <x:v>PIXBHAT</x:v>
      </x:c>
      <x:c r="E259" s="37" t="str">
        <x:v>PIXBHAT</x:v>
      </x:c>
      <x:c r="F259" s="37" t="n">
        <x:v>12</x:v>
      </x:c>
      <x:c r="G259" s="37" t="n">
        <x:v>13000</x:v>
      </x:c>
      <x:c r="H259" s="37" t="str">
        <x:v>g</x:v>
      </x:c>
      <x:c r="I259" s="37" t="str">
        <x:v>THÙNG</x:v>
      </x:c>
      <x:c r="J259" s="59" t="n">
        <x:v>665000</x:v>
      </x:c>
      <x:c r="K259" s="59" t="n">
        <x:v>0</x:v>
      </x:c>
      <x:c r="L259" s="59" t="n">
        <x:v>0</x:v>
      </x:c>
      <x:c r="M259" s="37" t="str">
        <x:v>Siro</x:v>
      </x:c>
      <x:c r="N259" s="37" t="str">
        <x:v>ĐÃ GHÉP - AUTO</x:v>
      </x:c>
      <x:c r="O259" s="61" t="n">
        <x:v>0.846</x:v>
      </x:c>
      <x:c r="P259" s="37" t="n">
        <x:v>5</x:v>
      </x:c>
      <x:c r="Q259" s="30" t="str">
        <x:v>Siro Thái PIXE</x:v>
      </x:c>
      <x:c r="R259" s="30" t="str">
        <x:v>Thùng 12 chai</x:v>
      </x:c>
      <x:c r="S259" s="30" t="str">
        <x:v>Chai</x:v>
      </x:c>
      <x:c r="T259" s="37" t="str">
        <x:v>ĐƠN VỊ</x:v>
      </x:c>
      <x:c r="U259" s="59" t="n">
        <x:v>62000</x:v>
      </x:c>
      <x:c r="V259" s="59"/>
      <x:c r="W259" s="117" t="n">
        <x:v>62000</x:v>
      </x:c>
      <x:c r="X259" s="59" t="str">
        <x:f>IFERROR(IF(OR($N259="ĐÃ GHÉP - AUTO",$N259="ĐÃ GHÉP - QUY TẮC"),IF($V259="","",IF($T259="THÙNG",$V259/$F259,$V259)),""),"")</x:f>
      </x:c>
      <x:c r="Y259" s="117" t="n">
        <x:f>IF(OR(W259="",F259=""),"",W259*F259)</x:f>
        <x:v>744000</x:v>
      </x:c>
      <x:c r="Z259" s="59" t="str">
        <x:f>IFERROR(IF(OR($N259="ĐÃ GHÉP - AUTO",$N259="ĐÃ GHÉP - QUY TẮC"),IF($V259="","",IF($T259="THÙNG",$V259,$V259*$F259)),""),"")</x:f>
      </x:c>
      <x:c r="AA259" s="28" t="str">
        <x:f>IFERROR(IF(OR($K259="",$K259=0,$Y259=""),"",($Y259-$K259)/$K259),"")</x:f>
      </x:c>
      <x:c r="AB259" s="37" t="str">
        <x:f>IFERROR(IF($N259="CẦN DUYỆT","DUYỆT MAP",IF($N259="CHƯA CÓ GIÁ LẺ","THIẾU GIÁ",IF(OR($K259="",$K259=0,$Y259=""),"OK",IF(ABS(($Y259-$K259)/$K259)&gt;0.15,"LỆCH GIÁ CŨ","OK")))),"OK")</x:f>
        <x:v>OK</x:v>
      </x:c>
      <x:c r="AC259" s="30" t="str">
        <x:v>score=0.846; gap=0.784</x:v>
      </x:c>
      <x:c r="AD259" s="37" t="str">
        <x:v>PIXBHA</x:v>
      </x:c>
      <x:c r="AE259" s="38" t="str">
        <x:v>PIXBHAT</x:v>
      </x:c>
      <x:c r="AF259" s="123" t="n">
        <x:v>1</x:v>
      </x:c>
      <x:c r="AG259" s="112" t="str">
        <x:v>kg</x:v>
      </x:c>
      <x:c r="AH259" s="112" t="str">
        <x:v>CHAI</x:v>
      </x:c>
      <x:c r="AI259" s="112" t="str">
        <x:v>1 kg / CHAI</x:v>
      </x:c>
      <x:c r="AJ259" s="120" t="n">
        <x:v>62000</x:v>
      </x:c>
      <x:c r="AK259" s="120" t="n">
        <x:v>62000</x:v>
      </x:c>
      <x:c r="AL259" s="120" t="n">
        <x:v>62000</x:v>
      </x:c>
      <x:c r="AM259" s="112" t="str">
        <x:v>GIỮ NGUYÊN - ĐÃ KHỚP</x:v>
      </x:c>
      <x:c r="AN259" s="126" t="n">
        <x:v>571</x:v>
      </x:c>
      <x:c r="AO259" s="126" t="n">
        <x:v>572</x:v>
      </x:c>
      <x:c r="AP259" s="113" t="str">
        <x:v>12 CHAI / THÙNG</x:v>
      </x:c>
    </x:row>
    <x:row r="260">
      <x:c r="A260" s="71" t="str">
        <x:v>GTP ỔI</x:v>
      </x:c>
      <x:c r="B260" s="30" t="str">
        <x:v>GTP ỔI - THÙNG</x:v>
      </x:c>
      <x:c r="C260" s="37" t="str">
        <x:v>GTPOII</x:v>
      </x:c>
      <x:c r="D260" s="37" t="str">
        <x:v>GTPOIIT</x:v>
      </x:c>
      <x:c r="E260" s="37" t="str">
        <x:v>GTPOIIT</x:v>
      </x:c>
      <x:c r="F260" s="37" t="n">
        <x:v>6</x:v>
      </x:c>
      <x:c r="G260" s="37" t="n">
        <x:v>16000</x:v>
      </x:c>
      <x:c r="H260" s="37" t="str">
        <x:v>g</x:v>
      </x:c>
      <x:c r="I260" s="37" t="str">
        <x:v>THÙNG</x:v>
      </x:c>
      <x:c r="J260" s="59" t="n">
        <x:v>0</x:v>
      </x:c>
      <x:c r="K260" s="59" t="n">
        <x:v>834000</x:v>
      </x:c>
      <x:c r="L260" s="59" t="n">
        <x:v>0</x:v>
      </x:c>
      <x:c r="M260" s="37" t="str">
        <x:v>Siro</x:v>
      </x:c>
      <x:c r="N260" s="37" t="str">
        <x:v>ĐÃ GHÉP - AUTO</x:v>
      </x:c>
      <x:c r="O260" s="61" t="n">
        <x:v>0.903</x:v>
      </x:c>
      <x:c r="P260" s="37" t="n">
        <x:v>10</x:v>
      </x:c>
      <x:c r="Q260" s="30" t="str">
        <x:v>Siro GTP</x:v>
      </x:c>
      <x:c r="R260" s="30" t="str">
        <x:v>Thùng 6 bình</x:v>
      </x:c>
      <x:c r="S260" s="30" t="str">
        <x:v>Chai</x:v>
      </x:c>
      <x:c r="T260" s="37" t="str">
        <x:v>ĐƠN VỊ</x:v>
      </x:c>
      <x:c r="U260" s="59" t="n">
        <x:v>140000</x:v>
      </x:c>
      <x:c r="V260" s="59"/>
      <x:c r="W260" s="117" t="n">
        <x:v>140000</x:v>
      </x:c>
      <x:c r="X260" s="59" t="str">
        <x:f>IFERROR(IF(OR($N260="ĐÃ GHÉP - AUTO",$N260="ĐÃ GHÉP - QUY TẮC"),IF($V260="","",IF($T260="THÙNG",$V260/$F260,$V260)),""),"")</x:f>
      </x:c>
      <x:c r="Y260" s="117" t="n">
        <x:f>IF(OR(W260="",F260=""),"",W260*F260)</x:f>
        <x:v>840000</x:v>
      </x:c>
      <x:c r="Z260" s="59" t="str">
        <x:f>IFERROR(IF(OR($N260="ĐÃ GHÉP - AUTO",$N260="ĐÃ GHÉP - QUY TẮC"),IF($V260="","",IF($T260="THÙNG",$V260,$V260*$F260)),""),"")</x:f>
      </x:c>
      <x:c r="AA260" s="28" t="n">
        <x:f>IFERROR(IF(OR($K260="",$K260=0,$Y260=""),"",($Y260-$K260)/$K260),"")</x:f>
        <x:v>0.007194244604316547</x:v>
      </x:c>
      <x:c r="AB260" s="37" t="str">
        <x:f>IFERROR(IF($N260="CẦN DUYỆT","DUYỆT MAP",IF($N260="CHƯA CÓ GIÁ LẺ","THIẾU GIÁ",IF(OR($K260="",$K260=0,$Y260=""),"OK",IF(ABS(($Y260-$K260)/$K260)&gt;0.15,"LỆCH GIÁ CŨ","OK")))),"OK")</x:f>
        <x:v>OK</x:v>
      </x:c>
      <x:c r="AC260" s="30" t="str">
        <x:v>score=0.903; gap=0.411</x:v>
      </x:c>
      <x:c r="AD260" s="37" t="str">
        <x:v>GTPOII</x:v>
      </x:c>
      <x:c r="AE260" s="38" t="str">
        <x:v>GTPOIIT</x:v>
      </x:c>
      <x:c r="AF260" s="123" t="n">
        <x:v>2550</x:v>
      </x:c>
      <x:c r="AG260" s="112" t="str">
        <x:v>g</x:v>
      </x:c>
      <x:c r="AH260" s="112" t="str">
        <x:v>BÌNH</x:v>
      </x:c>
      <x:c r="AI260" s="112" t="str">
        <x:v>2550 g / BÌNH</x:v>
      </x:c>
      <x:c r="AJ260" s="120" t="n">
        <x:v>140000</x:v>
      </x:c>
      <x:c r="AK260" s="120" t="n">
        <x:v>140000</x:v>
      </x:c>
      <x:c r="AL260" s="120" t="n">
        <x:v>140000</x:v>
      </x:c>
      <x:c r="AM260" s="112" t="str">
        <x:v>GIỮ NGUYÊN - ĐÃ KHỚP</x:v>
      </x:c>
      <x:c r="AN260" s="126" t="n">
        <x:v>573</x:v>
      </x:c>
      <x:c r="AO260" s="126" t="n">
        <x:v>574</x:v>
      </x:c>
      <x:c r="AP260" s="113" t="str">
        <x:v>6 BÌNH / THÙNG</x:v>
      </x:c>
    </x:row>
    <x:row r="261">
      <x:c r="A261" s="71" t="str">
        <x:v>GTP MÔN</x:v>
      </x:c>
      <x:c r="B261" s="30" t="str">
        <x:v>GTP MÔN - THÙNG</x:v>
      </x:c>
      <x:c r="C261" s="37" t="str">
        <x:v>GTPMON</x:v>
      </x:c>
      <x:c r="D261" s="37" t="str">
        <x:v>GTPMONT</x:v>
      </x:c>
      <x:c r="E261" s="37" t="str">
        <x:v>GTPMONT</x:v>
      </x:c>
      <x:c r="F261" s="37" t="n">
        <x:v>6</x:v>
      </x:c>
      <x:c r="G261" s="37" t="n">
        <x:v>16000</x:v>
      </x:c>
      <x:c r="H261" s="37" t="str">
        <x:v>g</x:v>
      </x:c>
      <x:c r="I261" s="37" t="str">
        <x:v>THÙNG</x:v>
      </x:c>
      <x:c r="J261" s="59" t="n">
        <x:v>0</x:v>
      </x:c>
      <x:c r="K261" s="59" t="n">
        <x:v>0</x:v>
      </x:c>
      <x:c r="L261" s="59" t="n">
        <x:v>0</x:v>
      </x:c>
      <x:c r="M261" s="37" t="str">
        <x:v>Siro</x:v>
      </x:c>
      <x:c r="N261" s="37" t="str">
        <x:v>ĐÃ GHÉP - AUTO</x:v>
      </x:c>
      <x:c r="O261" s="61" t="n">
        <x:v>0.872</x:v>
      </x:c>
      <x:c r="P261" s="37" t="n">
        <x:v>10</x:v>
      </x:c>
      <x:c r="Q261" s="30" t="str">
        <x:v>Siro GTP</x:v>
      </x:c>
      <x:c r="R261" s="30" t="str">
        <x:v>Thùng 6 bình</x:v>
      </x:c>
      <x:c r="S261" s="30" t="str">
        <x:v>Chai</x:v>
      </x:c>
      <x:c r="T261" s="37" t="str">
        <x:v>ĐƠN VỊ</x:v>
      </x:c>
      <x:c r="U261" s="59" t="n">
        <x:v>140000</x:v>
      </x:c>
      <x:c r="V261" s="59"/>
      <x:c r="W261" s="117" t="n">
        <x:v>140000</x:v>
      </x:c>
      <x:c r="X261" s="59" t="str">
        <x:f>IFERROR(IF(OR($N261="ĐÃ GHÉP - AUTO",$N261="ĐÃ GHÉP - QUY TẮC"),IF($V261="","",IF($T261="THÙNG",$V261/$F261,$V261)),""),"")</x:f>
      </x:c>
      <x:c r="Y261" s="117" t="n">
        <x:f>IF(OR(W261="",F261=""),"",W261*F261)</x:f>
        <x:v>840000</x:v>
      </x:c>
      <x:c r="Z261" s="59" t="str">
        <x:f>IFERROR(IF(OR($N261="ĐÃ GHÉP - AUTO",$N261="ĐÃ GHÉP - QUY TẮC"),IF($V261="","",IF($T261="THÙNG",$V261,$V261*$F261)),""),"")</x:f>
      </x:c>
      <x:c r="AA261" s="28" t="str">
        <x:f>IFERROR(IF(OR($K261="",$K261=0,$Y261=""),"",($Y261-$K261)/$K261),"")</x:f>
      </x:c>
      <x:c r="AB261" s="37" t="str">
        <x:f>IFERROR(IF($N261="CẦN DUYỆT","DUYỆT MAP",IF($N261="CHƯA CÓ GIÁ LẺ","THIẾU GIÁ",IF(OR($K261="",$K261=0,$Y261=""),"OK",IF(ABS(($Y261-$K261)/$K261)&gt;0.15,"LỆCH GIÁ CŨ","OK")))),"OK")</x:f>
        <x:v>OK</x:v>
      </x:c>
      <x:c r="AC261" s="30" t="str">
        <x:v>score=0.872; gap=0.416</x:v>
      </x:c>
      <x:c r="AD261" s="37" t="str">
        <x:v>GTPMON</x:v>
      </x:c>
      <x:c r="AE261" s="38" t="str">
        <x:v>GTPMONT</x:v>
      </x:c>
      <x:c r="AF261" s="123" t="n">
        <x:v>2550</x:v>
      </x:c>
      <x:c r="AG261" s="112" t="str">
        <x:v>g</x:v>
      </x:c>
      <x:c r="AH261" s="112" t="str">
        <x:v>BÌNH</x:v>
      </x:c>
      <x:c r="AI261" s="112" t="str">
        <x:v>2550 g / BÌNH</x:v>
      </x:c>
      <x:c r="AJ261" s="120" t="n">
        <x:v>140000</x:v>
      </x:c>
      <x:c r="AK261" s="120" t="n">
        <x:v>140000</x:v>
      </x:c>
      <x:c r="AL261" s="120" t="n">
        <x:v>140000</x:v>
      </x:c>
      <x:c r="AM261" s="112" t="str">
        <x:v>GIỮ NGUYÊN - ĐÃ KHỚP</x:v>
      </x:c>
      <x:c r="AN261" s="126" t="n">
        <x:v>575</x:v>
      </x:c>
      <x:c r="AO261" s="126" t="n">
        <x:v>576</x:v>
      </x:c>
      <x:c r="AP261" s="113" t="str">
        <x:v>6 BÌNH / THÙNG</x:v>
      </x:c>
    </x:row>
    <x:row r="262">
      <x:c r="A262" s="71" t="str">
        <x:v>SIRO A+ MÔN</x:v>
      </x:c>
      <x:c r="B262" s="30" t="str">
        <x:v>SIRO A+ MÔN - THÙNG</x:v>
      </x:c>
      <x:c r="C262" s="37" t="str">
        <x:v>SRAMON</x:v>
      </x:c>
      <x:c r="D262" s="37" t="str">
        <x:v>SRAMONT</x:v>
      </x:c>
      <x:c r="E262" s="37" t="str">
        <x:v>SRAMONT</x:v>
      </x:c>
      <x:c r="F262" s="37" t="n">
        <x:v>24</x:v>
      </x:c>
      <x:c r="G262" s="37" t="n">
        <x:v>16000</x:v>
      </x:c>
      <x:c r="H262" s="37" t="str">
        <x:v>g</x:v>
      </x:c>
      <x:c r="I262" s="37" t="str">
        <x:v>THÙNG</x:v>
      </x:c>
      <x:c r="J262" s="59" t="n">
        <x:v>612000</x:v>
      </x:c>
      <x:c r="K262" s="59" t="n">
        <x:v>0</x:v>
      </x:c>
      <x:c r="L262" s="59" t="n">
        <x:v>0</x:v>
      </x:c>
      <x:c r="M262" s="37" t="str">
        <x:v>Siro</x:v>
      </x:c>
      <x:c r="N262" s="37" t="str">
        <x:v>CHƯA CÓ GIÁ LẺ</x:v>
      </x:c>
      <x:c r="O262" s="61" t="n">
        <x:v>0.053</x:v>
      </x:c>
      <x:c r="P262" s="37"/>
      <x:c r="Q262" s="30"/>
      <x:c r="R262" s="30"/>
      <x:c r="S262" s="30"/>
      <x:c r="T262" s="37"/>
      <x:c r="U262" s="59"/>
      <x:c r="V262" s="59"/>
      <x:c r="W262" s="117" t="n">
        <x:v>27000</x:v>
      </x:c>
      <x:c r="X262" s="59" t="str">
        <x:f>IFERROR(IF(OR($N262="ĐÃ GHÉP - AUTO",$N262="ĐÃ GHÉP - QUY TẮC"),IF($V262="","",IF($T262="THÙNG",$V262/$F262,$V262)),""),"")</x:f>
      </x:c>
      <x:c r="Y262" s="117" t="n">
        <x:f>IF(OR(W262="",F262=""),"",W262*F262)</x:f>
        <x:v>648000</x:v>
      </x:c>
      <x:c r="Z262" s="59" t="str">
        <x:f>IFERROR(IF(OR($N262="ĐÃ GHÉP - AUTO",$N262="ĐÃ GHÉP - QUY TẮC"),IF($V262="","",IF($T262="THÙNG",$V262,$V262*$F262)),""),"")</x:f>
      </x:c>
      <x:c r="AA262" s="28" t="str">
        <x:f>IFERROR(IF(OR($K262="",$K262=0,$Y262=""),"",($Y262-$K262)/$K262),"")</x:f>
      </x:c>
      <x:c r="AB262" s="37" t="str">
        <x:f>IFERROR(IF($N262="CẦN DUYỆT","DUYỆT MAP",IF($N262="CHƯA CÓ GIÁ LẺ","THIẾU GIÁ",IF(OR($K262="",$K262=0,$Y262=""),"OK",IF(ABS(($Y262-$K262)/$K262)&gt;0.15,"LỆCH GIÁ CŨ","OK")))),"OK")</x:f>
        <x:v>THIẾU GIÁ</x:v>
      </x:c>
      <x:c r="AC262" s="30" t="str">
        <x:v>ứng viên gần nhất=Siro Sâm Dứa Vina; score=0.053</x:v>
      </x:c>
      <x:c r="AD262" s="37" t="str">
        <x:v>SRAMON</x:v>
      </x:c>
      <x:c r="AE262" s="38" t="str">
        <x:v>SRAMONT</x:v>
      </x:c>
      <x:c r="AF262" s="123" t="n">
        <x:v>0</x:v>
      </x:c>
      <x:c r="AG262" s="112" t="str">
        <x:v>g</x:v>
      </x:c>
      <x:c r="AH262" s="112" t="str">
        <x:v>CHAI</x:v>
      </x:c>
      <x:c r="AI262" s="112" t="str">
        <x:v>0 g / CHAI</x:v>
      </x:c>
      <x:c r="AJ262" s="120" t="n">
        <x:v>27000</x:v>
      </x:c>
      <x:c r="AK262" s="120"/>
      <x:c r="AL262" s="120" t="n">
        <x:v>27000</x:v>
      </x:c>
      <x:c r="AM262" s="112" t="str">
        <x:v>BỔ SUNG GIÁ</x:v>
      </x:c>
      <x:c r="AN262" s="126" t="n">
        <x:v>577</x:v>
      </x:c>
      <x:c r="AO262" s="126" t="n">
        <x:v>578</x:v>
      </x:c>
      <x:c r="AP262" s="113" t="str">
        <x:v>24 CHAI / THÙNG</x:v>
      </x:c>
    </x:row>
    <x:row r="263">
      <x:c r="A263" s="71" t="str">
        <x:v>SIRO MAULIN VẢI</x:v>
      </x:c>
      <x:c r="B263" s="30" t="str">
        <x:v>SIRO MAULIN VẢI - THÙNG</x:v>
      </x:c>
      <x:c r="C263" s="37" t="str">
        <x:v>SRMLVA</x:v>
      </x:c>
      <x:c r="D263" s="37" t="str">
        <x:v>SRMLVAT</x:v>
      </x:c>
      <x:c r="E263" s="37" t="str">
        <x:v>SRMLVAT</x:v>
      </x:c>
      <x:c r="F263" s="37" t="n">
        <x:v>6</x:v>
      </x:c>
      <x:c r="G263" s="37" t="n">
        <x:v>16</x:v>
      </x:c>
      <x:c r="H263" s="37" t="str">
        <x:v>kg</x:v>
      </x:c>
      <x:c r="I263" s="37" t="str">
        <x:v>THÙNG</x:v>
      </x:c>
      <x:c r="J263" s="59" t="n">
        <x:v>0</x:v>
      </x:c>
      <x:c r="K263" s="59" t="n">
        <x:v>0</x:v>
      </x:c>
      <x:c r="L263" s="59" t="n">
        <x:v>0</x:v>
      </x:c>
      <x:c r="M263" s="37" t="str">
        <x:v>Siro</x:v>
      </x:c>
      <x:c r="N263" s="37" t="str">
        <x:v>CHƯA CÓ GIÁ LẺ</x:v>
      </x:c>
      <x:c r="O263" s="61" t="n">
        <x:v>0.062</x:v>
      </x:c>
      <x:c r="P263" s="37"/>
      <x:c r="Q263" s="30"/>
      <x:c r="R263" s="30"/>
      <x:c r="S263" s="30"/>
      <x:c r="T263" s="37"/>
      <x:c r="U263" s="59"/>
      <x:c r="V263" s="59"/>
      <x:c r="W263" s="117" t="n">
        <x:v>220000</x:v>
      </x:c>
      <x:c r="X263" s="59" t="str">
        <x:f>IFERROR(IF(OR($N263="ĐÃ GHÉP - AUTO",$N263="ĐÃ GHÉP - QUY TẮC"),IF($V263="","",IF($T263="THÙNG",$V263/$F263,$V263)),""),"")</x:f>
      </x:c>
      <x:c r="Y263" s="117" t="n">
        <x:f>IF(OR(W263="",F263=""),"",W263*F263)</x:f>
        <x:v>1320000</x:v>
      </x:c>
      <x:c r="Z263" s="59" t="str">
        <x:f>IFERROR(IF(OR($N263="ĐÃ GHÉP - AUTO",$N263="ĐÃ GHÉP - QUY TẮC"),IF($V263="","",IF($T263="THÙNG",$V263,$V263*$F263)),""),"")</x:f>
      </x:c>
      <x:c r="AA263" s="28" t="str">
        <x:f>IFERROR(IF(OR($K263="",$K263=0,$Y263=""),"",($Y263-$K263)/$K263),"")</x:f>
      </x:c>
      <x:c r="AB263" s="37" t="str">
        <x:f>IFERROR(IF($N263="CẦN DUYỆT","DUYỆT MAP",IF($N263="CHƯA CÓ GIÁ LẺ","THIẾU GIÁ",IF(OR($K263="",$K263=0,$Y263=""),"OK",IF(ABS(($Y263-$K263)/$K263)&gt;0.15,"LỆCH GIÁ CŨ","OK")))),"OK")</x:f>
        <x:v>THIẾU GIÁ</x:v>
      </x:c>
      <x:c r="AC263" s="30" t="str">
        <x:v>ứng viên gần nhất=Siro Douxian 2l hoàng kim; score=0.062</x:v>
      </x:c>
      <x:c r="AD263" s="37" t="str">
        <x:v>SRMLVA</x:v>
      </x:c>
      <x:c r="AE263" s="38" t="str">
        <x:v>SRMLVAT</x:v>
      </x:c>
      <x:c r="AF263" s="123" t="n">
        <x:v>2600</x:v>
      </x:c>
      <x:c r="AG263" s="112" t="str">
        <x:v>g</x:v>
      </x:c>
      <x:c r="AH263" s="112" t="str">
        <x:v>BÌNH</x:v>
      </x:c>
      <x:c r="AI263" s="112" t="str">
        <x:v>2600 g / BÌNH</x:v>
      </x:c>
      <x:c r="AJ263" s="120" t="n">
        <x:v>220000</x:v>
      </x:c>
      <x:c r="AK263" s="120"/>
      <x:c r="AL263" s="120" t="n">
        <x:v>220000</x:v>
      </x:c>
      <x:c r="AM263" s="112" t="str">
        <x:v>BỔ SUNG GIÁ</x:v>
      </x:c>
      <x:c r="AN263" s="126" t="n">
        <x:v>580</x:v>
      </x:c>
      <x:c r="AO263" s="126" t="n">
        <x:v>581</x:v>
      </x:c>
      <x:c r="AP263" s="113" t="str">
        <x:v>6 BÌNH / THÙNG</x:v>
      </x:c>
    </x:row>
    <x:row r="264">
      <x:c r="A264" s="71" t="str">
        <x:v>SIRO MAULIN ĐÀO</x:v>
      </x:c>
      <x:c r="B264" s="30" t="str">
        <x:v>SIRO MAULIN ĐÀO - THÙNG</x:v>
      </x:c>
      <x:c r="C264" s="37" t="str">
        <x:v>SRMLDO</x:v>
      </x:c>
      <x:c r="D264" s="37" t="str">
        <x:v>SRMLDOT</x:v>
      </x:c>
      <x:c r="E264" s="37" t="str">
        <x:v>SRMLDOT</x:v>
      </x:c>
      <x:c r="F264" s="37" t="n">
        <x:v>6</x:v>
      </x:c>
      <x:c r="G264" s="37" t="n">
        <x:v>16</x:v>
      </x:c>
      <x:c r="H264" s="37" t="str">
        <x:v>kg</x:v>
      </x:c>
      <x:c r="I264" s="37" t="str">
        <x:v>THÙNG</x:v>
      </x:c>
      <x:c r="J264" s="59" t="n">
        <x:v>0</x:v>
      </x:c>
      <x:c r="K264" s="59" t="n">
        <x:v>0</x:v>
      </x:c>
      <x:c r="L264" s="59" t="n">
        <x:v>0</x:v>
      </x:c>
      <x:c r="M264" s="37" t="str">
        <x:v>Siro</x:v>
      </x:c>
      <x:c r="N264" s="37" t="str">
        <x:v>CHƯA CÓ GIÁ LẺ</x:v>
      </x:c>
      <x:c r="O264" s="61" t="n">
        <x:v>0.19</x:v>
      </x:c>
      <x:c r="P264" s="37"/>
      <x:c r="Q264" s="30"/>
      <x:c r="R264" s="30"/>
      <x:c r="S264" s="30"/>
      <x:c r="T264" s="37"/>
      <x:c r="U264" s="59"/>
      <x:c r="V264" s="59"/>
      <x:c r="W264" s="117" t="n">
        <x:v>220000</x:v>
      </x:c>
      <x:c r="X264" s="59" t="str">
        <x:f>IFERROR(IF(OR($N264="ĐÃ GHÉP - AUTO",$N264="ĐÃ GHÉP - QUY TẮC"),IF($V264="","",IF($T264="THÙNG",$V264/$F264,$V264)),""),"")</x:f>
      </x:c>
      <x:c r="Y264" s="117" t="n">
        <x:f>IF(OR(W264="",F264=""),"",W264*F264)</x:f>
        <x:v>1320000</x:v>
      </x:c>
      <x:c r="Z264" s="59" t="str">
        <x:f>IFERROR(IF(OR($N264="ĐÃ GHÉP - AUTO",$N264="ĐÃ GHÉP - QUY TẮC"),IF($V264="","",IF($T264="THÙNG",$V264,$V264*$F264)),""),"")</x:f>
      </x:c>
      <x:c r="AA264" s="28" t="str">
        <x:f>IFERROR(IF(OR($K264="",$K264=0,$Y264=""),"",($Y264-$K264)/$K264),"")</x:f>
      </x:c>
      <x:c r="AB264" s="37" t="str">
        <x:f>IFERROR(IF($N264="CẦN DUYỆT","DUYỆT MAP",IF($N264="CHƯA CÓ GIÁ LẺ","THIẾU GIÁ",IF(OR($K264="",$K264=0,$Y264=""),"OK",IF(ABS(($Y264-$K264)/$K264)&gt;0.15,"LỆCH GIÁ CŨ","OK")))),"OK")</x:f>
        <x:v>THIẾU GIÁ</x:v>
      </x:c>
      <x:c r="AC264" s="30" t="str">
        <x:v>ứng viên gần nhất=CỐT bí đao wonderfull; score=0.190</x:v>
      </x:c>
      <x:c r="AD264" s="37" t="str">
        <x:v>SRMLDO</x:v>
      </x:c>
      <x:c r="AE264" s="38" t="str">
        <x:v>SRMLDOT</x:v>
      </x:c>
      <x:c r="AF264" s="123" t="n">
        <x:v>2600</x:v>
      </x:c>
      <x:c r="AG264" s="112" t="str">
        <x:v>g</x:v>
      </x:c>
      <x:c r="AH264" s="112" t="str">
        <x:v>BÌNH</x:v>
      </x:c>
      <x:c r="AI264" s="112" t="str">
        <x:v>2600 g / BÌNH</x:v>
      </x:c>
      <x:c r="AJ264" s="120" t="n">
        <x:v>220000</x:v>
      </x:c>
      <x:c r="AK264" s="120"/>
      <x:c r="AL264" s="120" t="n">
        <x:v>220000</x:v>
      </x:c>
      <x:c r="AM264" s="112" t="str">
        <x:v>BỔ SUNG GIÁ</x:v>
      </x:c>
      <x:c r="AN264" s="126" t="n">
        <x:v>582</x:v>
      </x:c>
      <x:c r="AO264" s="126" t="n">
        <x:v>583</x:v>
      </x:c>
      <x:c r="AP264" s="113" t="str">
        <x:v>6 BÌNH / THÙNG</x:v>
      </x:c>
    </x:row>
    <x:row r="265">
      <x:c r="A265" s="71" t="str">
        <x:v>SIRO MAULIN DƯA LƯỚI</x:v>
      </x:c>
      <x:c r="B265" s="30" t="str">
        <x:v>SIRO MAULIN DƯA LƯỚI - THÙNG</x:v>
      </x:c>
      <x:c r="C265" s="37" t="str">
        <x:v>SRMLDL</x:v>
      </x:c>
      <x:c r="D265" s="37" t="str">
        <x:v>SRMLDLT</x:v>
      </x:c>
      <x:c r="E265" s="37" t="str">
        <x:v>SRMLDLT</x:v>
      </x:c>
      <x:c r="F265" s="37" t="n">
        <x:v>6</x:v>
      </x:c>
      <x:c r="G265" s="37" t="n">
        <x:v>16</x:v>
      </x:c>
      <x:c r="H265" s="37" t="str">
        <x:v>kg</x:v>
      </x:c>
      <x:c r="I265" s="37" t="str">
        <x:v>THÙNG</x:v>
      </x:c>
      <x:c r="J265" s="59" t="n">
        <x:v>0</x:v>
      </x:c>
      <x:c r="K265" s="59" t="n">
        <x:v>0</x:v>
      </x:c>
      <x:c r="L265" s="59" t="n">
        <x:v>0</x:v>
      </x:c>
      <x:c r="M265" s="37" t="str">
        <x:v>Siro</x:v>
      </x:c>
      <x:c r="N265" s="37" t="str">
        <x:v>CHƯA CÓ GIÁ LẺ</x:v>
      </x:c>
      <x:c r="O265" s="61" t="n">
        <x:v>0.353</x:v>
      </x:c>
      <x:c r="P265" s="37"/>
      <x:c r="Q265" s="30"/>
      <x:c r="R265" s="30"/>
      <x:c r="S265" s="30"/>
      <x:c r="T265" s="37"/>
      <x:c r="U265" s="59"/>
      <x:c r="V265" s="59"/>
      <x:c r="W265" s="117" t="n">
        <x:v>220000</x:v>
      </x:c>
      <x:c r="X265" s="59" t="str">
        <x:f>IFERROR(IF(OR($N265="ĐÃ GHÉP - AUTO",$N265="ĐÃ GHÉP - QUY TẮC"),IF($V265="","",IF($T265="THÙNG",$V265/$F265,$V265)),""),"")</x:f>
      </x:c>
      <x:c r="Y265" s="117" t="n">
        <x:f>IF(OR(W265="",F265=""),"",W265*F265)</x:f>
        <x:v>1320000</x:v>
      </x:c>
      <x:c r="Z265" s="59" t="str">
        <x:f>IFERROR(IF(OR($N265="ĐÃ GHÉP - AUTO",$N265="ĐÃ GHÉP - QUY TẮC"),IF($V265="","",IF($T265="THÙNG",$V265,$V265*$F265)),""),"")</x:f>
      </x:c>
      <x:c r="AA265" s="28" t="str">
        <x:f>IFERROR(IF(OR($K265="",$K265=0,$Y265=""),"",($Y265-$K265)/$K265),"")</x:f>
      </x:c>
      <x:c r="AB265" s="37" t="str">
        <x:f>IFERROR(IF($N265="CẦN DUYỆT","DUYỆT MAP",IF($N265="CHƯA CÓ GIÁ LẺ","THIẾU GIÁ",IF(OR($K265="",$K265=0,$Y265=""),"OK",IF(ABS(($Y265-$K265)/$K265)&gt;0.15,"LỆCH GIÁ CŨ","OK")))),"OK")</x:f>
        <x:v>THIẾU GIÁ</x:v>
      </x:c>
      <x:c r="AC265" s="30" t="str">
        <x:v>ứng viên gần nhất=Siro Sâm Dứa Vina; score=0.353</x:v>
      </x:c>
      <x:c r="AD265" s="37" t="str">
        <x:v>SRMLDL</x:v>
      </x:c>
      <x:c r="AE265" s="38" t="str">
        <x:v>SRMLDLT</x:v>
      </x:c>
      <x:c r="AF265" s="123" t="n">
        <x:v>2600</x:v>
      </x:c>
      <x:c r="AG265" s="112" t="str">
        <x:v>g</x:v>
      </x:c>
      <x:c r="AH265" s="112" t="str">
        <x:v>BÌNH</x:v>
      </x:c>
      <x:c r="AI265" s="112" t="str">
        <x:v>2600 g / BÌNH</x:v>
      </x:c>
      <x:c r="AJ265" s="120" t="n">
        <x:v>220000</x:v>
      </x:c>
      <x:c r="AK265" s="120"/>
      <x:c r="AL265" s="120" t="n">
        <x:v>220000</x:v>
      </x:c>
      <x:c r="AM265" s="112" t="str">
        <x:v>BỔ SUNG GIÁ</x:v>
      </x:c>
      <x:c r="AN265" s="126" t="n">
        <x:v>584</x:v>
      </x:c>
      <x:c r="AO265" s="126" t="n">
        <x:v>585</x:v>
      </x:c>
      <x:c r="AP265" s="113" t="str">
        <x:v>6 BÌNH / THÙNG</x:v>
      </x:c>
    </x:row>
    <x:row r="266">
      <x:c r="A266" s="71" t="str">
        <x:v>SIRO MAULIN DÂU</x:v>
      </x:c>
      <x:c r="B266" s="30" t="str">
        <x:v>SIRO MAULIN DÂU - THÙNG</x:v>
      </x:c>
      <x:c r="C266" s="37" t="str">
        <x:v>SRMLDA</x:v>
      </x:c>
      <x:c r="D266" s="37" t="str">
        <x:v>SRMLDAT</x:v>
      </x:c>
      <x:c r="E266" s="37" t="str">
        <x:v>SRMLDAT</x:v>
      </x:c>
      <x:c r="F266" s="37" t="n">
        <x:v>6</x:v>
      </x:c>
      <x:c r="G266" s="37" t="n">
        <x:v>16</x:v>
      </x:c>
      <x:c r="H266" s="37" t="str">
        <x:v>kg</x:v>
      </x:c>
      <x:c r="I266" s="37" t="str">
        <x:v>THÙNG</x:v>
      </x:c>
      <x:c r="J266" s="59" t="n">
        <x:v>0</x:v>
      </x:c>
      <x:c r="K266" s="59" t="n">
        <x:v>0</x:v>
      </x:c>
      <x:c r="L266" s="59" t="n">
        <x:v>0</x:v>
      </x:c>
      <x:c r="M266" s="37" t="str">
        <x:v>Siro</x:v>
      </x:c>
      <x:c r="N266" s="37" t="str">
        <x:v>CHƯA CÓ GIÁ LẺ</x:v>
      </x:c>
      <x:c r="O266" s="61" t="n">
        <x:v>0.422</x:v>
      </x:c>
      <x:c r="P266" s="37"/>
      <x:c r="Q266" s="30"/>
      <x:c r="R266" s="30"/>
      <x:c r="S266" s="30"/>
      <x:c r="T266" s="37"/>
      <x:c r="U266" s="59"/>
      <x:c r="V266" s="59"/>
      <x:c r="W266" s="117" t="n">
        <x:v>220000</x:v>
      </x:c>
      <x:c r="X266" s="59" t="str">
        <x:f>IFERROR(IF(OR($N266="ĐÃ GHÉP - AUTO",$N266="ĐÃ GHÉP - QUY TẮC"),IF($V266="","",IF($T266="THÙNG",$V266/$F266,$V266)),""),"")</x:f>
      </x:c>
      <x:c r="Y266" s="117" t="n">
        <x:f>IF(OR(W266="",F266=""),"",W266*F266)</x:f>
        <x:v>1320000</x:v>
      </x:c>
      <x:c r="Z266" s="59" t="str">
        <x:f>IFERROR(IF(OR($N266="ĐÃ GHÉP - AUTO",$N266="ĐÃ GHÉP - QUY TẮC"),IF($V266="","",IF($T266="THÙNG",$V266,$V266*$F266)),""),"")</x:f>
      </x:c>
      <x:c r="AA266" s="28" t="str">
        <x:f>IFERROR(IF(OR($K266="",$K266=0,$Y266=""),"",($Y266-$K266)/$K266),"")</x:f>
      </x:c>
      <x:c r="AB266" s="37" t="str">
        <x:f>IFERROR(IF($N266="CẦN DUYỆT","DUYỆT MAP",IF($N266="CHƯA CÓ GIÁ LẺ","THIẾU GIÁ",IF(OR($K266="",$K266=0,$Y266=""),"OK",IF(ABS(($Y266-$K266)/$K266)&gt;0.15,"LỆCH GIÁ CŨ","OK")))),"OK")</x:f>
        <x:v>THIẾU GIÁ</x:v>
      </x:c>
      <x:c r="AC266" s="30" t="str">
        <x:v>ứng viên gần nhất=Siro GTP dâu , duong den; score=0.422</x:v>
      </x:c>
      <x:c r="AD266" s="37" t="str">
        <x:v>SRMLDA</x:v>
      </x:c>
      <x:c r="AE266" s="38" t="str">
        <x:v>SRMLDAT</x:v>
      </x:c>
      <x:c r="AF266" s="123" t="n">
        <x:v>2600</x:v>
      </x:c>
      <x:c r="AG266" s="112" t="str">
        <x:v>g</x:v>
      </x:c>
      <x:c r="AH266" s="112" t="str">
        <x:v>BÌNH</x:v>
      </x:c>
      <x:c r="AI266" s="112" t="str">
        <x:v>2600 g / BÌNH</x:v>
      </x:c>
      <x:c r="AJ266" s="120" t="n">
        <x:v>220000</x:v>
      </x:c>
      <x:c r="AK266" s="120"/>
      <x:c r="AL266" s="120" t="n">
        <x:v>220000</x:v>
      </x:c>
      <x:c r="AM266" s="112" t="str">
        <x:v>BỔ SUNG GIÁ</x:v>
      </x:c>
      <x:c r="AN266" s="126" t="n">
        <x:v>586</x:v>
      </x:c>
      <x:c r="AO266" s="126" t="n">
        <x:v>587</x:v>
      </x:c>
      <x:c r="AP266" s="113" t="str">
        <x:v>6 BÌNH / THÙNG</x:v>
      </x:c>
    </x:row>
    <x:row r="267">
      <x:c r="A267" s="71" t="str">
        <x:v>SIRO MAMA XOÀI</x:v>
      </x:c>
      <x:c r="B267" s="30" t="str">
        <x:v>SIRO MAMA XOÀI - THÙNG</x:v>
      </x:c>
      <x:c r="C267" s="37" t="str">
        <x:v>SRMMXO</x:v>
      </x:c>
      <x:c r="D267" s="37" t="str">
        <x:v>SRMMXOT</x:v>
      </x:c>
      <x:c r="E267" s="37" t="str">
        <x:v>SRMMXOT</x:v>
      </x:c>
      <x:c r="F267" s="37" t="n">
        <x:v>12</x:v>
      </x:c>
      <x:c r="G267" s="37" t="n">
        <x:v>13000</x:v>
      </x:c>
      <x:c r="H267" s="37" t="str">
        <x:v>g</x:v>
      </x:c>
      <x:c r="I267" s="37" t="str">
        <x:v>THÙNG</x:v>
      </x:c>
      <x:c r="J267" s="59" t="n">
        <x:v>610000</x:v>
      </x:c>
      <x:c r="K267" s="59" t="n">
        <x:v>624000</x:v>
      </x:c>
      <x:c r="L267" s="59" t="n">
        <x:v>0</x:v>
      </x:c>
      <x:c r="M267" s="37" t="str">
        <x:v>Siro</x:v>
      </x:c>
      <x:c r="N267" s="37" t="str">
        <x:v>CHƯA CÓ GIÁ LẺ</x:v>
      </x:c>
      <x:c r="O267" s="61" t="n">
        <x:v>0.061</x:v>
      </x:c>
      <x:c r="P267" s="37"/>
      <x:c r="Q267" s="30"/>
      <x:c r="R267" s="30"/>
      <x:c r="S267" s="30"/>
      <x:c r="T267" s="37"/>
      <x:c r="U267" s="59"/>
      <x:c r="V267" s="59"/>
      <x:c r="W267" s="117" t="n">
        <x:v>53000</x:v>
      </x:c>
      <x:c r="X267" s="59" t="str">
        <x:f>IFERROR(IF(OR($N267="ĐÃ GHÉP - AUTO",$N267="ĐÃ GHÉP - QUY TẮC"),IF($V267="","",IF($T267="THÙNG",$V267/$F267,$V267)),""),"")</x:f>
      </x:c>
      <x:c r="Y267" s="117" t="n">
        <x:f>IF(OR(W267="",F267=""),"",W267*F267)</x:f>
        <x:v>636000</x:v>
      </x:c>
      <x:c r="Z267" s="59" t="str">
        <x:f>IFERROR(IF(OR($N267="ĐÃ GHÉP - AUTO",$N267="ĐÃ GHÉP - QUY TẮC"),IF($V267="","",IF($T267="THÙNG",$V267,$V267*$F267)),""),"")</x:f>
      </x:c>
      <x:c r="AA267" s="28" t="n">
        <x:f>IFERROR(IF(OR($K267="",$K267=0,$Y267=""),"",($Y267-$K267)/$K267),"")</x:f>
        <x:v>0.019230769230769232</x:v>
      </x:c>
      <x:c r="AB267" s="37" t="str">
        <x:f>IFERROR(IF($N267="CẦN DUYỆT","DUYỆT MAP",IF($N267="CHƯA CÓ GIÁ LẺ","THIẾU GIÁ",IF(OR($K267="",$K267=0,$Y267=""),"OK",IF(ABS(($Y267-$K267)/$K267)&gt;0.15,"LỆCH GIÁ CŨ","OK")))),"OK")</x:f>
        <x:v>THIẾU GIÁ</x:v>
      </x:c>
      <x:c r="AC267" s="30" t="str">
        <x:v>ứng viên gần nhất=Siro Gold 700ml; score=0.061</x:v>
      </x:c>
      <x:c r="AD267" s="37" t="str">
        <x:v>SRMMXO</x:v>
      </x:c>
      <x:c r="AE267" s="38" t="str">
        <x:v>SRMMXOT</x:v>
      </x:c>
      <x:c r="AF267" s="123" t="n">
        <x:v>1000</x:v>
      </x:c>
      <x:c r="AG267" s="112" t="str">
        <x:v>g</x:v>
      </x:c>
      <x:c r="AH267" s="112" t="str">
        <x:v>CHAI</x:v>
      </x:c>
      <x:c r="AI267" s="112" t="str">
        <x:v>1000 g / CHAI</x:v>
      </x:c>
      <x:c r="AJ267" s="120" t="n">
        <x:v>53000</x:v>
      </x:c>
      <x:c r="AK267" s="120"/>
      <x:c r="AL267" s="120" t="n">
        <x:v>53000</x:v>
      </x:c>
      <x:c r="AM267" s="112" t="str">
        <x:v>BỔ SUNG GIÁ</x:v>
      </x:c>
      <x:c r="AN267" s="126" t="n">
        <x:v>588</x:v>
      </x:c>
      <x:c r="AO267" s="126" t="n">
        <x:v>589</x:v>
      </x:c>
      <x:c r="AP267" s="113" t="str">
        <x:v>12 CHAI / THÙNG</x:v>
      </x:c>
    </x:row>
    <x:row r="268">
      <x:c r="A268" s="71" t="str">
        <x:v>SIRO MAMA VỎ CAM</x:v>
      </x:c>
      <x:c r="B268" s="30" t="str">
        <x:v>SIRO MAMA VỎ CAM - THÙNG</x:v>
      </x:c>
      <x:c r="C268" s="37" t="str">
        <x:v>SRMMVC</x:v>
      </x:c>
      <x:c r="D268" s="37" t="str">
        <x:v>SRMMVCT</x:v>
      </x:c>
      <x:c r="E268" s="37" t="str">
        <x:v>SRMMVCT</x:v>
      </x:c>
      <x:c r="F268" s="37" t="n">
        <x:v>12</x:v>
      </x:c>
      <x:c r="G268" s="37" t="n">
        <x:v>13000</x:v>
      </x:c>
      <x:c r="H268" s="37" t="str">
        <x:v>g</x:v>
      </x:c>
      <x:c r="I268" s="37" t="str">
        <x:v>THÙNG</x:v>
      </x:c>
      <x:c r="J268" s="59" t="n">
        <x:v>0</x:v>
      </x:c>
      <x:c r="K268" s="59" t="n">
        <x:v>800000</x:v>
      </x:c>
      <x:c r="L268" s="59" t="n">
        <x:v>0</x:v>
      </x:c>
      <x:c r="M268" s="37" t="str">
        <x:v>Siro</x:v>
      </x:c>
      <x:c r="N268" s="37" t="str">
        <x:v>CHƯA CÓ GIÁ LẺ</x:v>
      </x:c>
      <x:c r="O268" s="61" t="n">
        <x:v>0.641</x:v>
      </x:c>
      <x:c r="P268" s="37"/>
      <x:c r="Q268" s="30"/>
      <x:c r="R268" s="30"/>
      <x:c r="S268" s="30"/>
      <x:c r="T268" s="37"/>
      <x:c r="U268" s="59"/>
      <x:c r="V268" s="59"/>
      <x:c r="W268" s="117" t="n">
        <x:v>70000</x:v>
      </x:c>
      <x:c r="X268" s="59" t="str">
        <x:f>IFERROR(IF(OR($N268="ĐÃ GHÉP - AUTO",$N268="ĐÃ GHÉP - QUY TẮC"),IF($V268="","",IF($T268="THÙNG",$V268/$F268,$V268)),""),"")</x:f>
      </x:c>
      <x:c r="Y268" s="117" t="n">
        <x:f>IF(OR(W268="",F268=""),"",W268*F268)</x:f>
        <x:v>840000</x:v>
      </x:c>
      <x:c r="Z268" s="59" t="str">
        <x:f>IFERROR(IF(OR($N268="ĐÃ GHÉP - AUTO",$N268="ĐÃ GHÉP - QUY TẮC"),IF($V268="","",IF($T268="THÙNG",$V268,$V268*$F268)),""),"")</x:f>
      </x:c>
      <x:c r="AA268" s="28" t="n">
        <x:f>IFERROR(IF(OR($K268="",$K268=0,$Y268=""),"",($Y268-$K268)/$K268),"")</x:f>
        <x:v>0.05</x:v>
      </x:c>
      <x:c r="AB268" s="37" t="str">
        <x:f>IFERROR(IF($N268="CẦN DUYỆT","DUYỆT MAP",IF($N268="CHƯA CÓ GIÁ LẺ","THIẾU GIÁ",IF(OR($K268="",$K268=0,$Y268=""),"OK",IF(ABS(($Y268-$K268)/$K268)&gt;0.15,"LỆCH GIÁ CŨ","OK")))),"OK")</x:f>
        <x:v>THIẾU GIÁ</x:v>
      </x:c>
      <x:c r="AC268" s="30" t="str">
        <x:v>ứng viên gần nhất=Siro vỏ cam Gold 700ml; score=0.641</x:v>
      </x:c>
      <x:c r="AD268" s="37" t="str">
        <x:v>SRMMVC</x:v>
      </x:c>
      <x:c r="AE268" s="38" t="str">
        <x:v>SRMMVCT</x:v>
      </x:c>
      <x:c r="AF268" s="123" t="n">
        <x:v>1000</x:v>
      </x:c>
      <x:c r="AG268" s="112" t="str">
        <x:v>g</x:v>
      </x:c>
      <x:c r="AH268" s="112" t="str">
        <x:v>CHAI</x:v>
      </x:c>
      <x:c r="AI268" s="112" t="str">
        <x:v>1000 g / CHAI</x:v>
      </x:c>
      <x:c r="AJ268" s="120" t="n">
        <x:v>70000</x:v>
      </x:c>
      <x:c r="AK268" s="120"/>
      <x:c r="AL268" s="120" t="n">
        <x:v>70000</x:v>
      </x:c>
      <x:c r="AM268" s="112" t="str">
        <x:v>BỔ SUNG GIÁ</x:v>
      </x:c>
      <x:c r="AN268" s="126" t="n">
        <x:v>590</x:v>
      </x:c>
      <x:c r="AO268" s="126" t="n">
        <x:v>591</x:v>
      </x:c>
      <x:c r="AP268" s="113" t="str">
        <x:v>12 CHAI / THÙNG</x:v>
      </x:c>
    </x:row>
    <x:row r="269">
      <x:c r="A269" s="71" t="str">
        <x:v>SIRO MAMA VIỆT QUỐC PHÁP</x:v>
      </x:c>
      <x:c r="B269" s="30" t="str">
        <x:v>SIRO MAMA VIỆT QUỐC PHÁP - THÙNG</x:v>
      </x:c>
      <x:c r="C269" s="37" t="str">
        <x:v>SRMMVP</x:v>
      </x:c>
      <x:c r="D269" s="37" t="str">
        <x:v>SRMMVPT</x:v>
      </x:c>
      <x:c r="E269" s="37" t="str">
        <x:v>SRMMVPT</x:v>
      </x:c>
      <x:c r="F269" s="37" t="n">
        <x:v>12</x:v>
      </x:c>
      <x:c r="G269" s="37" t="n">
        <x:v>13000</x:v>
      </x:c>
      <x:c r="H269" s="37" t="str">
        <x:v>g</x:v>
      </x:c>
      <x:c r="I269" s="37" t="str">
        <x:v>THÙNG</x:v>
      </x:c>
      <x:c r="J269" s="59" t="n">
        <x:v>610000</x:v>
      </x:c>
      <x:c r="K269" s="59" t="n">
        <x:v>624000</x:v>
      </x:c>
      <x:c r="L269" s="59" t="n">
        <x:v>0</x:v>
      </x:c>
      <x:c r="M269" s="37" t="str">
        <x:v>Siro</x:v>
      </x:c>
      <x:c r="N269" s="37" t="str">
        <x:v>CHƯA CÓ GIÁ LẺ</x:v>
      </x:c>
      <x:c r="O269" s="61" t="n">
        <x:v>0.059</x:v>
      </x:c>
      <x:c r="P269" s="37"/>
      <x:c r="Q269" s="30"/>
      <x:c r="R269" s="30"/>
      <x:c r="S269" s="30"/>
      <x:c r="T269" s="37"/>
      <x:c r="U269" s="59"/>
      <x:c r="V269" s="59"/>
      <x:c r="W269" s="117" t="n">
        <x:v>53000</x:v>
      </x:c>
      <x:c r="X269" s="59" t="str">
        <x:f>IFERROR(IF(OR($N269="ĐÃ GHÉP - AUTO",$N269="ĐÃ GHÉP - QUY TẮC"),IF($V269="","",IF($T269="THÙNG",$V269/$F269,$V269)),""),"")</x:f>
      </x:c>
      <x:c r="Y269" s="117" t="n">
        <x:f>IF(OR(W269="",F269=""),"",W269*F269)</x:f>
        <x:v>636000</x:v>
      </x:c>
      <x:c r="Z269" s="59" t="str">
        <x:f>IFERROR(IF(OR($N269="ĐÃ GHÉP - AUTO",$N269="ĐÃ GHÉP - QUY TẮC"),IF($V269="","",IF($T269="THÙNG",$V269,$V269*$F269)),""),"")</x:f>
      </x:c>
      <x:c r="AA269" s="28" t="n">
        <x:f>IFERROR(IF(OR($K269="",$K269=0,$Y269=""),"",($Y269-$K269)/$K269),"")</x:f>
        <x:v>0.019230769230769232</x:v>
      </x:c>
      <x:c r="AB269" s="37" t="str">
        <x:f>IFERROR(IF($N269="CẦN DUYỆT","DUYỆT MAP",IF($N269="CHƯA CÓ GIÁ LẺ","THIẾU GIÁ",IF(OR($K269="",$K269=0,$Y269=""),"OK",IF(ABS(($Y269-$K269)/$K269)&gt;0.15,"LỆCH GIÁ CŨ","OK")))),"OK")</x:f>
        <x:v>THIẾU GIÁ</x:v>
      </x:c>
      <x:c r="AC269" s="30" t="str">
        <x:v>ứng viên gần nhất=Siro Changthai; score=0.059</x:v>
      </x:c>
      <x:c r="AD269" s="37" t="str">
        <x:v>SRMMVP</x:v>
      </x:c>
      <x:c r="AE269" s="38" t="str">
        <x:v>SRMMVPT</x:v>
      </x:c>
      <x:c r="AF269" s="123" t="n">
        <x:v>0</x:v>
      </x:c>
      <x:c r="AG269" s="112" t="str">
        <x:v>g</x:v>
      </x:c>
      <x:c r="AH269" s="112" t="str">
        <x:v>CHAI</x:v>
      </x:c>
      <x:c r="AI269" s="112" t="str">
        <x:v>0 g / CHAI</x:v>
      </x:c>
      <x:c r="AJ269" s="120" t="n">
        <x:v>53000</x:v>
      </x:c>
      <x:c r="AK269" s="120"/>
      <x:c r="AL269" s="120" t="n">
        <x:v>53000</x:v>
      </x:c>
      <x:c r="AM269" s="112" t="str">
        <x:v>BỔ SUNG GIÁ</x:v>
      </x:c>
      <x:c r="AN269" s="126" t="n">
        <x:v>592</x:v>
      </x:c>
      <x:c r="AO269" s="126" t="n">
        <x:v>593</x:v>
      </x:c>
      <x:c r="AP269" s="113" t="str">
        <x:v>12 CHAI / THÙNG</x:v>
      </x:c>
    </x:row>
    <x:row r="270">
      <x:c r="A270" s="71" t="str">
        <x:v>SIRO MAMA TRÀ XANH</x:v>
      </x:c>
      <x:c r="B270" s="30" t="str">
        <x:v>SIRO MAMA TRÀ XANH - THÙNG</x:v>
      </x:c>
      <x:c r="C270" s="37" t="str">
        <x:v>SRMMTX</x:v>
      </x:c>
      <x:c r="D270" s="37" t="str">
        <x:v>SRMMTXT</x:v>
      </x:c>
      <x:c r="E270" s="37" t="str">
        <x:v>SRMMTXT</x:v>
      </x:c>
      <x:c r="F270" s="37" t="n">
        <x:v>12</x:v>
      </x:c>
      <x:c r="G270" s="37" t="n">
        <x:v>13000</x:v>
      </x:c>
      <x:c r="H270" s="37" t="str">
        <x:v>g</x:v>
      </x:c>
      <x:c r="I270" s="37" t="str">
        <x:v>THÙNG</x:v>
      </x:c>
      <x:c r="J270" s="59" t="n">
        <x:v>610000</x:v>
      </x:c>
      <x:c r="K270" s="59" t="n">
        <x:v>624000</x:v>
      </x:c>
      <x:c r="L270" s="59" t="n">
        <x:v>0</x:v>
      </x:c>
      <x:c r="M270" s="37" t="str">
        <x:v>Trà</x:v>
      </x:c>
      <x:c r="N270" s="37" t="str">
        <x:v>CHƯA CÓ GIÁ LẺ</x:v>
      </x:c>
      <x:c r="O270" s="61" t="n">
        <x:v>0.578</x:v>
      </x:c>
      <x:c r="P270" s="37"/>
      <x:c r="Q270" s="30"/>
      <x:c r="R270" s="30"/>
      <x:c r="S270" s="30"/>
      <x:c r="T270" s="37"/>
      <x:c r="U270" s="59"/>
      <x:c r="V270" s="59"/>
      <x:c r="W270" s="117" t="n">
        <x:v>53000</x:v>
      </x:c>
      <x:c r="X270" s="59" t="str">
        <x:f>IFERROR(IF(OR($N270="ĐÃ GHÉP - AUTO",$N270="ĐÃ GHÉP - QUY TẮC"),IF($V270="","",IF($T270="THÙNG",$V270/$F270,$V270)),""),"")</x:f>
      </x:c>
      <x:c r="Y270" s="117" t="n">
        <x:f>IF(OR(W270="",F270=""),"",W270*F270)</x:f>
        <x:v>636000</x:v>
      </x:c>
      <x:c r="Z270" s="59" t="str">
        <x:f>IFERROR(IF(OR($N270="ĐÃ GHÉP - AUTO",$N270="ĐÃ GHÉP - QUY TẮC"),IF($V270="","",IF($T270="THÙNG",$V270,$V270*$F270)),""),"")</x:f>
      </x:c>
      <x:c r="AA270" s="28" t="n">
        <x:f>IFERROR(IF(OR($K270="",$K270=0,$Y270=""),"",($Y270-$K270)/$K270),"")</x:f>
        <x:v>0.019230769230769232</x:v>
      </x:c>
      <x:c r="AB270" s="37" t="str">
        <x:f>IFERROR(IF($N270="CẦN DUYỆT","DUYỆT MAP",IF($N270="CHƯA CÓ GIÁ LẺ","THIẾU GIÁ",IF(OR($K270="",$K270=0,$Y270=""),"OK",IF(ABS(($Y270-$K270)/$K270)&gt;0.15,"LỆCH GIÁ CŨ","OK")))),"OK")</x:f>
        <x:v>THIẾU GIÁ</x:v>
      </x:c>
      <x:c r="AC270" s="30" t="str">
        <x:v>ứng viên gần nhất=Trà Thái xanh thường; score=0.578</x:v>
      </x:c>
      <x:c r="AD270" s="37" t="str">
        <x:v>SRMMTX</x:v>
      </x:c>
      <x:c r="AE270" s="38" t="str">
        <x:v>SRMMTXT</x:v>
      </x:c>
      <x:c r="AF270" s="123" t="n">
        <x:v>0</x:v>
      </x:c>
      <x:c r="AG270" s="112" t="str">
        <x:v>g</x:v>
      </x:c>
      <x:c r="AH270" s="112" t="str">
        <x:v>CHAI</x:v>
      </x:c>
      <x:c r="AI270" s="112" t="str">
        <x:v>0 g / CHAI</x:v>
      </x:c>
      <x:c r="AJ270" s="120" t="n">
        <x:v>53000</x:v>
      </x:c>
      <x:c r="AK270" s="120"/>
      <x:c r="AL270" s="120" t="n">
        <x:v>53000</x:v>
      </x:c>
      <x:c r="AM270" s="112" t="str">
        <x:v>BỔ SUNG GIÁ</x:v>
      </x:c>
      <x:c r="AN270" s="126" t="n">
        <x:v>594</x:v>
      </x:c>
      <x:c r="AO270" s="126" t="n">
        <x:v>595</x:v>
      </x:c>
      <x:c r="AP270" s="113" t="str">
        <x:v>12 CHAI / THÙNG</x:v>
      </x:c>
    </x:row>
    <x:row r="271">
      <x:c r="A271" s="71" t="str">
        <x:v>SIRO MAMA TRÀ ĐÀO</x:v>
      </x:c>
      <x:c r="B271" s="30" t="str">
        <x:v>SIRO MAMA TRÀ ĐÀO - THÙNG</x:v>
      </x:c>
      <x:c r="C271" s="37" t="str">
        <x:v>SRMMTD</x:v>
      </x:c>
      <x:c r="D271" s="37" t="str">
        <x:v>SRMMTDT</x:v>
      </x:c>
      <x:c r="E271" s="37" t="str">
        <x:v>SRMMTDT</x:v>
      </x:c>
      <x:c r="F271" s="37" t="n">
        <x:v>12</x:v>
      </x:c>
      <x:c r="G271" s="37" t="n">
        <x:v>13000</x:v>
      </x:c>
      <x:c r="H271" s="37" t="str">
        <x:v>g</x:v>
      </x:c>
      <x:c r="I271" s="37" t="str">
        <x:v>THÙNG</x:v>
      </x:c>
      <x:c r="J271" s="59" t="n">
        <x:v>610000</x:v>
      </x:c>
      <x:c r="K271" s="59" t="n">
        <x:v>624000</x:v>
      </x:c>
      <x:c r="L271" s="59" t="n">
        <x:v>0</x:v>
      </x:c>
      <x:c r="M271" s="37" t="str">
        <x:v>Trà</x:v>
      </x:c>
      <x:c r="N271" s="37" t="str">
        <x:v>CHƯA CÓ GIÁ LẺ</x:v>
      </x:c>
      <x:c r="O271" s="61" t="n">
        <x:v>0.339</x:v>
      </x:c>
      <x:c r="P271" s="37"/>
      <x:c r="Q271" s="30"/>
      <x:c r="R271" s="30"/>
      <x:c r="S271" s="30"/>
      <x:c r="T271" s="37"/>
      <x:c r="U271" s="59"/>
      <x:c r="V271" s="59"/>
      <x:c r="W271" s="117" t="n">
        <x:v>53000</x:v>
      </x:c>
      <x:c r="X271" s="59" t="str">
        <x:f>IFERROR(IF(OR($N271="ĐÃ GHÉP - AUTO",$N271="ĐÃ GHÉP - QUY TẮC"),IF($V271="","",IF($T271="THÙNG",$V271/$F271,$V271)),""),"")</x:f>
      </x:c>
      <x:c r="Y271" s="117" t="n">
        <x:f>IF(OR(W271="",F271=""),"",W271*F271)</x:f>
        <x:v>636000</x:v>
      </x:c>
      <x:c r="Z271" s="59" t="str">
        <x:f>IFERROR(IF(OR($N271="ĐÃ GHÉP - AUTO",$N271="ĐÃ GHÉP - QUY TẮC"),IF($V271="","",IF($T271="THÙNG",$V271,$V271*$F271)),""),"")</x:f>
      </x:c>
      <x:c r="AA271" s="28" t="n">
        <x:f>IFERROR(IF(OR($K271="",$K271=0,$Y271=""),"",($Y271-$K271)/$K271),"")</x:f>
        <x:v>0.019230769230769232</x:v>
      </x:c>
      <x:c r="AB271" s="37" t="str">
        <x:f>IFERROR(IF($N271="CẦN DUYỆT","DUYỆT MAP",IF($N271="CHƯA CÓ GIÁ LẺ","THIẾU GIÁ",IF(OR($K271="",$K271=0,$Y271=""),"OK",IF(ABS(($Y271-$K271)/$K271)&gt;0.15,"LỆCH GIÁ CŨ","OK")))),"OK")</x:f>
        <x:v>THIẾU GIÁ</x:v>
      </x:c>
      <x:c r="AC271" s="30" t="str">
        <x:v>ứng viên gần nhất=Trà đào túi lọc TNB; score=0.339</x:v>
      </x:c>
      <x:c r="AD271" s="37" t="str">
        <x:v>SRMMTD</x:v>
      </x:c>
      <x:c r="AE271" s="38" t="str">
        <x:v>SRMMTDT</x:v>
      </x:c>
      <x:c r="AF271" s="123" t="n">
        <x:v>0</x:v>
      </x:c>
      <x:c r="AG271" s="112" t="str">
        <x:v>g</x:v>
      </x:c>
      <x:c r="AH271" s="112" t="str">
        <x:v>CHAI</x:v>
      </x:c>
      <x:c r="AI271" s="112" t="str">
        <x:v>0 g / CHAI</x:v>
      </x:c>
      <x:c r="AJ271" s="120" t="n">
        <x:v>53000</x:v>
      </x:c>
      <x:c r="AK271" s="120"/>
      <x:c r="AL271" s="120" t="n">
        <x:v>53000</x:v>
      </x:c>
      <x:c r="AM271" s="112" t="str">
        <x:v>BỔ SUNG GIÁ</x:v>
      </x:c>
      <x:c r="AN271" s="126" t="n">
        <x:v>596</x:v>
      </x:c>
      <x:c r="AO271" s="126" t="n">
        <x:v>597</x:v>
      </x:c>
      <x:c r="AP271" s="113" t="str">
        <x:v>12 CHAI / THÙNG</x:v>
      </x:c>
    </x:row>
    <x:row r="272">
      <x:c r="A272" s="71" t="str">
        <x:v>SIRO MAMA THƠM</x:v>
      </x:c>
      <x:c r="B272" s="30" t="str">
        <x:v>SIRO MAMA THƠM - THÙNG</x:v>
      </x:c>
      <x:c r="C272" s="37" t="str">
        <x:v>SRMMTH</x:v>
      </x:c>
      <x:c r="D272" s="37" t="str">
        <x:v>SRMMTHT</x:v>
      </x:c>
      <x:c r="E272" s="37" t="str">
        <x:v>SRMMTHT</x:v>
      </x:c>
      <x:c r="F272" s="37" t="n">
        <x:v>12</x:v>
      </x:c>
      <x:c r="G272" s="37" t="n">
        <x:v>13000</x:v>
      </x:c>
      <x:c r="H272" s="37" t="str">
        <x:v>g</x:v>
      </x:c>
      <x:c r="I272" s="37" t="str">
        <x:v>THÙNG</x:v>
      </x:c>
      <x:c r="J272" s="59" t="n">
        <x:v>610000</x:v>
      </x:c>
      <x:c r="K272" s="59" t="n">
        <x:v>624000</x:v>
      </x:c>
      <x:c r="L272" s="59" t="n">
        <x:v>0</x:v>
      </x:c>
      <x:c r="M272" s="37" t="str">
        <x:v>Siro</x:v>
      </x:c>
      <x:c r="N272" s="37" t="str">
        <x:v>CHƯA CÓ GIÁ LẺ</x:v>
      </x:c>
      <x:c r="O272" s="61" t="n">
        <x:v>0.061</x:v>
      </x:c>
      <x:c r="P272" s="37"/>
      <x:c r="Q272" s="30"/>
      <x:c r="R272" s="30"/>
      <x:c r="S272" s="30"/>
      <x:c r="T272" s="37"/>
      <x:c r="U272" s="59"/>
      <x:c r="V272" s="59"/>
      <x:c r="W272" s="117" t="n">
        <x:v>53000</x:v>
      </x:c>
      <x:c r="X272" s="59" t="str">
        <x:f>IFERROR(IF(OR($N272="ĐÃ GHÉP - AUTO",$N272="ĐÃ GHÉP - QUY TẮC"),IF($V272="","",IF($T272="THÙNG",$V272/$F272,$V272)),""),"")</x:f>
      </x:c>
      <x:c r="Y272" s="117" t="n">
        <x:f>IF(OR(W272="",F272=""),"",W272*F272)</x:f>
        <x:v>636000</x:v>
      </x:c>
      <x:c r="Z272" s="59" t="str">
        <x:f>IFERROR(IF(OR($N272="ĐÃ GHÉP - AUTO",$N272="ĐÃ GHÉP - QUY TẮC"),IF($V272="","",IF($T272="THÙNG",$V272,$V272*$F272)),""),"")</x:f>
      </x:c>
      <x:c r="AA272" s="28" t="n">
        <x:f>IFERROR(IF(OR($K272="",$K272=0,$Y272=""),"",($Y272-$K272)/$K272),"")</x:f>
        <x:v>0.019230769230769232</x:v>
      </x:c>
      <x:c r="AB272" s="37" t="str">
        <x:f>IFERROR(IF($N272="CẦN DUYỆT","DUYỆT MAP",IF($N272="CHƯA CÓ GIÁ LẺ","THIẾU GIÁ",IF(OR($K272="",$K272=0,$Y272=""),"OK",IF(ABS(($Y272-$K272)/$K272)&gt;0.15,"LỆCH GIÁ CŨ","OK")))),"OK")</x:f>
        <x:v>THIẾU GIÁ</x:v>
      </x:c>
      <x:c r="AC272" s="30" t="str">
        <x:v>ứng viên gần nhất=Siro Gold 700ml; score=0.061</x:v>
      </x:c>
      <x:c r="AD272" s="37" t="str">
        <x:v>SRMMTH</x:v>
      </x:c>
      <x:c r="AE272" s="38" t="str">
        <x:v>SRMMTHT</x:v>
      </x:c>
      <x:c r="AF272" s="123" t="n">
        <x:v>1000</x:v>
      </x:c>
      <x:c r="AG272" s="112" t="str">
        <x:v>g</x:v>
      </x:c>
      <x:c r="AH272" s="112" t="str">
        <x:v>CHAI</x:v>
      </x:c>
      <x:c r="AI272" s="112" t="str">
        <x:v>1000 g / CHAI</x:v>
      </x:c>
      <x:c r="AJ272" s="120" t="n">
        <x:v>53000</x:v>
      </x:c>
      <x:c r="AK272" s="120"/>
      <x:c r="AL272" s="120" t="n">
        <x:v>53000</x:v>
      </x:c>
      <x:c r="AM272" s="112" t="str">
        <x:v>BỔ SUNG GIÁ</x:v>
      </x:c>
      <x:c r="AN272" s="126" t="n">
        <x:v>598</x:v>
      </x:c>
      <x:c r="AO272" s="126" t="n">
        <x:v>599</x:v>
      </x:c>
      <x:c r="AP272" s="113" t="str">
        <x:v>12 CHAI / THÙNG</x:v>
      </x:c>
    </x:row>
    <x:row r="273">
      <x:c r="A273" s="71" t="str">
        <x:v>SIRO MAMA SOCOLA</x:v>
      </x:c>
      <x:c r="B273" s="30" t="str">
        <x:v>SIRO MAMA SOCOLA - THÙNG</x:v>
      </x:c>
      <x:c r="C273" s="37" t="str">
        <x:v>SRMMSO</x:v>
      </x:c>
      <x:c r="D273" s="37" t="str">
        <x:v>SRMMSOT</x:v>
      </x:c>
      <x:c r="E273" s="37" t="str">
        <x:v>SRMMSOT</x:v>
      </x:c>
      <x:c r="F273" s="37" t="n">
        <x:v>12</x:v>
      </x:c>
      <x:c r="G273" s="37" t="n">
        <x:v>13000</x:v>
      </x:c>
      <x:c r="H273" s="37" t="str">
        <x:v>g</x:v>
      </x:c>
      <x:c r="I273" s="37" t="str">
        <x:v>THÙNG</x:v>
      </x:c>
      <x:c r="J273" s="59" t="n">
        <x:v>610000</x:v>
      </x:c>
      <x:c r="K273" s="59" t="n">
        <x:v>624000</x:v>
      </x:c>
      <x:c r="L273" s="59" t="n">
        <x:v>0</x:v>
      </x:c>
      <x:c r="M273" s="37" t="str">
        <x:v>Siro</x:v>
      </x:c>
      <x:c r="N273" s="37" t="str">
        <x:v>CHƯA CÓ GIÁ LẺ</x:v>
      </x:c>
      <x:c r="O273" s="61" t="n">
        <x:v>0.067</x:v>
      </x:c>
      <x:c r="P273" s="37"/>
      <x:c r="Q273" s="30"/>
      <x:c r="R273" s="30"/>
      <x:c r="S273" s="30"/>
      <x:c r="T273" s="37"/>
      <x:c r="U273" s="59"/>
      <x:c r="V273" s="59"/>
      <x:c r="W273" s="117" t="n">
        <x:v>53000</x:v>
      </x:c>
      <x:c r="X273" s="59" t="str">
        <x:f>IFERROR(IF(OR($N273="ĐÃ GHÉP - AUTO",$N273="ĐÃ GHÉP - QUY TẮC"),IF($V273="","",IF($T273="THÙNG",$V273/$F273,$V273)),""),"")</x:f>
      </x:c>
      <x:c r="Y273" s="117" t="n">
        <x:f>IF(OR(W273="",F273=""),"",W273*F273)</x:f>
        <x:v>636000</x:v>
      </x:c>
      <x:c r="Z273" s="59" t="str">
        <x:f>IFERROR(IF(OR($N273="ĐÃ GHÉP - AUTO",$N273="ĐÃ GHÉP - QUY TẮC"),IF($V273="","",IF($T273="THÙNG",$V273,$V273*$F273)),""),"")</x:f>
      </x:c>
      <x:c r="AA273" s="28" t="n">
        <x:f>IFERROR(IF(OR($K273="",$K273=0,$Y273=""),"",($Y273-$K273)/$K273),"")</x:f>
        <x:v>0.019230769230769232</x:v>
      </x:c>
      <x:c r="AB273" s="37" t="str">
        <x:f>IFERROR(IF($N273="CẦN DUYỆT","DUYỆT MAP",IF($N273="CHƯA CÓ GIÁ LẺ","THIẾU GIÁ",IF(OR($K273="",$K273=0,$Y273=""),"OK",IF(ABS(($Y273-$K273)/$K273)&gt;0.15,"LỆCH GIÁ CŨ","OK")))),"OK")</x:f>
        <x:v>THIẾU GIÁ</x:v>
      </x:c>
      <x:c r="AC273" s="30" t="str">
        <x:v>ứng viên gần nhất=Siro Gold 700ml; score=0.067</x:v>
      </x:c>
      <x:c r="AD273" s="37" t="str">
        <x:v>SRMMSO</x:v>
      </x:c>
      <x:c r="AE273" s="38" t="str">
        <x:v>SRMMSOT</x:v>
      </x:c>
      <x:c r="AF273" s="123" t="n">
        <x:v>1000</x:v>
      </x:c>
      <x:c r="AG273" s="112" t="str">
        <x:v>g</x:v>
      </x:c>
      <x:c r="AH273" s="112" t="str">
        <x:v>CHAI</x:v>
      </x:c>
      <x:c r="AI273" s="112" t="str">
        <x:v>1000 g / CHAI</x:v>
      </x:c>
      <x:c r="AJ273" s="120" t="n">
        <x:v>53000</x:v>
      </x:c>
      <x:c r="AK273" s="120"/>
      <x:c r="AL273" s="120" t="n">
        <x:v>53000</x:v>
      </x:c>
      <x:c r="AM273" s="112" t="str">
        <x:v>BỔ SUNG GIÁ</x:v>
      </x:c>
      <x:c r="AN273" s="126" t="n">
        <x:v>600</x:v>
      </x:c>
      <x:c r="AO273" s="126" t="n">
        <x:v>601</x:v>
      </x:c>
      <x:c r="AP273" s="113" t="str">
        <x:v>12 CHAI / THÙNG</x:v>
      </x:c>
    </x:row>
    <x:row r="274">
      <x:c r="A274" s="71" t="str">
        <x:v>SIRO MAMA SẢ</x:v>
      </x:c>
      <x:c r="B274" s="30" t="str">
        <x:v>SIRO MAMA SẢ - THÙNG</x:v>
      </x:c>
      <x:c r="C274" s="37" t="str">
        <x:v>SRMMSA</x:v>
      </x:c>
      <x:c r="D274" s="37" t="str">
        <x:v>SRMMSAT</x:v>
      </x:c>
      <x:c r="E274" s="37" t="str">
        <x:v>SRMMSAT</x:v>
      </x:c>
      <x:c r="F274" s="37" t="n">
        <x:v>12</x:v>
      </x:c>
      <x:c r="G274" s="37" t="n">
        <x:v>13000</x:v>
      </x:c>
      <x:c r="H274" s="37" t="str">
        <x:v>g</x:v>
      </x:c>
      <x:c r="I274" s="37" t="str">
        <x:v>THÙNG</x:v>
      </x:c>
      <x:c r="J274" s="59" t="n">
        <x:v>610000</x:v>
      </x:c>
      <x:c r="K274" s="59" t="n">
        <x:v>624000</x:v>
      </x:c>
      <x:c r="L274" s="59" t="n">
        <x:v>0</x:v>
      </x:c>
      <x:c r="M274" s="37" t="str">
        <x:v>Siro</x:v>
      </x:c>
      <x:c r="N274" s="37" t="str">
        <x:v>CHƯA CÓ GIÁ LẺ</x:v>
      </x:c>
      <x:c r="O274" s="61" t="n">
        <x:v>0.059</x:v>
      </x:c>
      <x:c r="P274" s="37"/>
      <x:c r="Q274" s="30"/>
      <x:c r="R274" s="30"/>
      <x:c r="S274" s="30"/>
      <x:c r="T274" s="37"/>
      <x:c r="U274" s="59"/>
      <x:c r="V274" s="59"/>
      <x:c r="W274" s="117" t="n">
        <x:v>53000</x:v>
      </x:c>
      <x:c r="X274" s="59" t="str">
        <x:f>IFERROR(IF(OR($N274="ĐÃ GHÉP - AUTO",$N274="ĐÃ GHÉP - QUY TẮC"),IF($V274="","",IF($T274="THÙNG",$V274/$F274,$V274)),""),"")</x:f>
      </x:c>
      <x:c r="Y274" s="117" t="n">
        <x:f>IF(OR(W274="",F274=""),"",W274*F274)</x:f>
        <x:v>636000</x:v>
      </x:c>
      <x:c r="Z274" s="59" t="str">
        <x:f>IFERROR(IF(OR($N274="ĐÃ GHÉP - AUTO",$N274="ĐÃ GHÉP - QUY TẮC"),IF($V274="","",IF($T274="THÙNG",$V274,$V274*$F274)),""),"")</x:f>
      </x:c>
      <x:c r="AA274" s="28" t="n">
        <x:f>IFERROR(IF(OR($K274="",$K274=0,$Y274=""),"",($Y274-$K274)/$K274),"")</x:f>
        <x:v>0.019230769230769232</x:v>
      </x:c>
      <x:c r="AB274" s="37" t="str">
        <x:f>IFERROR(IF($N274="CẦN DUYỆT","DUYỆT MAP",IF($N274="CHƯA CÓ GIÁ LẺ","THIẾU GIÁ",IF(OR($K274="",$K274=0,$Y274=""),"OK",IF(ABS(($Y274-$K274)/$K274)&gt;0.15,"LỆCH GIÁ CŨ","OK")))),"OK")</x:f>
        <x:v>THIẾU GIÁ</x:v>
      </x:c>
      <x:c r="AC274" s="30" t="str">
        <x:v>ứng viên gần nhất=Siro Sâm Dứa Vina; score=0.059</x:v>
      </x:c>
      <x:c r="AD274" s="37" t="str">
        <x:v>SRMMSA</x:v>
      </x:c>
      <x:c r="AE274" s="38" t="str">
        <x:v>SRMMSAT</x:v>
      </x:c>
      <x:c r="AF274" s="123" t="n">
        <x:v>0</x:v>
      </x:c>
      <x:c r="AG274" s="112" t="str">
        <x:v>g</x:v>
      </x:c>
      <x:c r="AH274" s="112" t="str">
        <x:v>CHAI</x:v>
      </x:c>
      <x:c r="AI274" s="112" t="str">
        <x:v>0 g / CHAI</x:v>
      </x:c>
      <x:c r="AJ274" s="120" t="n">
        <x:v>53000</x:v>
      </x:c>
      <x:c r="AK274" s="120"/>
      <x:c r="AL274" s="120" t="n">
        <x:v>53000</x:v>
      </x:c>
      <x:c r="AM274" s="112" t="str">
        <x:v>BỔ SUNG GIÁ</x:v>
      </x:c>
      <x:c r="AN274" s="126" t="n">
        <x:v>602</x:v>
      </x:c>
      <x:c r="AO274" s="126" t="n">
        <x:v>603</x:v>
      </x:c>
      <x:c r="AP274" s="113" t="str">
        <x:v>12 CHAI / THÙNG</x:v>
      </x:c>
    </x:row>
    <x:row r="275">
      <x:c r="A275" s="71" t="str">
        <x:v>SIRO MAMA PHÚC BỒN TỬ</x:v>
      </x:c>
      <x:c r="B275" s="30" t="str">
        <x:v>SIRO MAMA PHÚC BỒN TỬ - THÙNG</x:v>
      </x:c>
      <x:c r="C275" s="37" t="str">
        <x:v>SRMMPB</x:v>
      </x:c>
      <x:c r="D275" s="37" t="str">
        <x:v>SRMMPBT</x:v>
      </x:c>
      <x:c r="E275" s="37" t="str">
        <x:v>SRMMPBT</x:v>
      </x:c>
      <x:c r="F275" s="37" t="n">
        <x:v>12</x:v>
      </x:c>
      <x:c r="G275" s="37" t="n">
        <x:v>13000</x:v>
      </x:c>
      <x:c r="H275" s="37" t="str">
        <x:v>g</x:v>
      </x:c>
      <x:c r="I275" s="37" t="str">
        <x:v>THÙNG</x:v>
      </x:c>
      <x:c r="J275" s="59" t="n">
        <x:v>610000</x:v>
      </x:c>
      <x:c r="K275" s="59" t="n">
        <x:v>624000</x:v>
      </x:c>
      <x:c r="L275" s="59" t="n">
        <x:v>0</x:v>
      </x:c>
      <x:c r="M275" s="37" t="str">
        <x:v>Siro</x:v>
      </x:c>
      <x:c r="N275" s="37" t="str">
        <x:v>CHƯA CÓ GIÁ LẺ</x:v>
      </x:c>
      <x:c r="O275" s="61" t="n">
        <x:v>0.051</x:v>
      </x:c>
      <x:c r="P275" s="37"/>
      <x:c r="Q275" s="30"/>
      <x:c r="R275" s="30"/>
      <x:c r="S275" s="30"/>
      <x:c r="T275" s="37"/>
      <x:c r="U275" s="59"/>
      <x:c r="V275" s="59"/>
      <x:c r="W275" s="117" t="n">
        <x:v>53000</x:v>
      </x:c>
      <x:c r="X275" s="59" t="str">
        <x:f>IFERROR(IF(OR($N275="ĐÃ GHÉP - AUTO",$N275="ĐÃ GHÉP - QUY TẮC"),IF($V275="","",IF($T275="THÙNG",$V275/$F275,$V275)),""),"")</x:f>
      </x:c>
      <x:c r="Y275" s="117" t="n">
        <x:f>IF(OR(W275="",F275=""),"",W275*F275)</x:f>
        <x:v>636000</x:v>
      </x:c>
      <x:c r="Z275" s="59" t="str">
        <x:f>IFERROR(IF(OR($N275="ĐÃ GHÉP - AUTO",$N275="ĐÃ GHÉP - QUY TẮC"),IF($V275="","",IF($T275="THÙNG",$V275,$V275*$F275)),""),"")</x:f>
      </x:c>
      <x:c r="AA275" s="28" t="n">
        <x:f>IFERROR(IF(OR($K275="",$K275=0,$Y275=""),"",($Y275-$K275)/$K275),"")</x:f>
        <x:v>0.019230769230769232</x:v>
      </x:c>
      <x:c r="AB275" s="37" t="str">
        <x:f>IFERROR(IF($N275="CẦN DUYỆT","DUYỆT MAP",IF($N275="CHƯA CÓ GIÁ LẺ","THIẾU GIÁ",IF(OR($K275="",$K275=0,$Y275=""),"OK",IF(ABS(($Y275-$K275)/$K275)&gt;0.15,"LỆCH GIÁ CŨ","OK")))),"OK")</x:f>
        <x:v>THIẾU GIÁ</x:v>
      </x:c>
      <x:c r="AC275" s="30" t="str">
        <x:v>ứng viên gần nhất=Siro Changthai; score=0.051</x:v>
      </x:c>
      <x:c r="AD275" s="37" t="str">
        <x:v>SRMMPB</x:v>
      </x:c>
      <x:c r="AE275" s="38" t="str">
        <x:v>SRMMPBT</x:v>
      </x:c>
      <x:c r="AF275" s="123" t="n">
        <x:v>1000</x:v>
      </x:c>
      <x:c r="AG275" s="112" t="str">
        <x:v>g</x:v>
      </x:c>
      <x:c r="AH275" s="112" t="str">
        <x:v>CHAI</x:v>
      </x:c>
      <x:c r="AI275" s="112" t="str">
        <x:v>1000 g / CHAI</x:v>
      </x:c>
      <x:c r="AJ275" s="120" t="n">
        <x:v>53000</x:v>
      </x:c>
      <x:c r="AK275" s="120"/>
      <x:c r="AL275" s="120" t="n">
        <x:v>53000</x:v>
      </x:c>
      <x:c r="AM275" s="112" t="str">
        <x:v>BỔ SUNG GIÁ</x:v>
      </x:c>
      <x:c r="AN275" s="126" t="n">
        <x:v>604</x:v>
      </x:c>
      <x:c r="AO275" s="126" t="n">
        <x:v>605</x:v>
      </x:c>
      <x:c r="AP275" s="113" t="str">
        <x:v>12 CHAI / THÙNG</x:v>
      </x:c>
    </x:row>
    <x:row r="276">
      <x:c r="A276" s="71" t="str">
        <x:v>SIRO MAMA MÃNG CẦU</x:v>
      </x:c>
      <x:c r="B276" s="30" t="str">
        <x:v>SIRO MAMA MÃNG CẦU - THÙNG</x:v>
      </x:c>
      <x:c r="C276" s="37" t="str">
        <x:v>SRMMMC</x:v>
      </x:c>
      <x:c r="D276" s="37" t="str">
        <x:v>SRMMMCT</x:v>
      </x:c>
      <x:c r="E276" s="37" t="str">
        <x:v>SRMMMCT</x:v>
      </x:c>
      <x:c r="F276" s="37" t="n">
        <x:v>12</x:v>
      </x:c>
      <x:c r="G276" s="37" t="n">
        <x:v>13000</x:v>
      </x:c>
      <x:c r="H276" s="37" t="str">
        <x:v>g</x:v>
      </x:c>
      <x:c r="I276" s="37" t="str">
        <x:v>THÙNG</x:v>
      </x:c>
      <x:c r="J276" s="59" t="n">
        <x:v>610000</x:v>
      </x:c>
      <x:c r="K276" s="59" t="n">
        <x:v>624000</x:v>
      </x:c>
      <x:c r="L276" s="59" t="n">
        <x:v>0</x:v>
      </x:c>
      <x:c r="M276" s="37" t="str">
        <x:v>Siro</x:v>
      </x:c>
      <x:c r="N276" s="37" t="str">
        <x:v>CHƯA CÓ GIÁ LẺ</x:v>
      </x:c>
      <x:c r="O276" s="61" t="n">
        <x:v>0.064</x:v>
      </x:c>
      <x:c r="P276" s="37"/>
      <x:c r="Q276" s="30"/>
      <x:c r="R276" s="30"/>
      <x:c r="S276" s="30"/>
      <x:c r="T276" s="37"/>
      <x:c r="U276" s="59"/>
      <x:c r="V276" s="59"/>
      <x:c r="W276" s="117" t="n">
        <x:v>53000</x:v>
      </x:c>
      <x:c r="X276" s="59" t="str">
        <x:f>IFERROR(IF(OR($N276="ĐÃ GHÉP - AUTO",$N276="ĐÃ GHÉP - QUY TẮC"),IF($V276="","",IF($T276="THÙNG",$V276/$F276,$V276)),""),"")</x:f>
      </x:c>
      <x:c r="Y276" s="117" t="n">
        <x:f>IF(OR(W276="",F276=""),"",W276*F276)</x:f>
        <x:v>636000</x:v>
      </x:c>
      <x:c r="Z276" s="59" t="str">
        <x:f>IFERROR(IF(OR($N276="ĐÃ GHÉP - AUTO",$N276="ĐÃ GHÉP - QUY TẮC"),IF($V276="","",IF($T276="THÙNG",$V276,$V276*$F276)),""),"")</x:f>
      </x:c>
      <x:c r="AA276" s="28" t="n">
        <x:f>IFERROR(IF(OR($K276="",$K276=0,$Y276=""),"",($Y276-$K276)/$K276),"")</x:f>
        <x:v>0.019230769230769232</x:v>
      </x:c>
      <x:c r="AB276" s="37" t="str">
        <x:f>IFERROR(IF($N276="CẦN DUYỆT","DUYỆT MAP",IF($N276="CHƯA CÓ GIÁ LẺ","THIẾU GIÁ",IF(OR($K276="",$K276=0,$Y276=""),"OK",IF(ABS(($Y276-$K276)/$K276)&gt;0.15,"LỆCH GIÁ CŨ","OK")))),"OK")</x:f>
        <x:v>THIẾU GIÁ</x:v>
      </x:c>
      <x:c r="AC276" s="30" t="str">
        <x:v>ứng viên gần nhất=Siro Changthai; score=0.064</x:v>
      </x:c>
      <x:c r="AD276" s="37" t="str">
        <x:v>SRMMMC</x:v>
      </x:c>
      <x:c r="AE276" s="38" t="str">
        <x:v>SRMMMCT</x:v>
      </x:c>
      <x:c r="AF276" s="123" t="n">
        <x:v>1000</x:v>
      </x:c>
      <x:c r="AG276" s="112" t="str">
        <x:v>g</x:v>
      </x:c>
      <x:c r="AH276" s="112" t="str">
        <x:v>CHAI</x:v>
      </x:c>
      <x:c r="AI276" s="112" t="str">
        <x:v>1000 g / CHAI</x:v>
      </x:c>
      <x:c r="AJ276" s="120" t="n">
        <x:v>53000</x:v>
      </x:c>
      <x:c r="AK276" s="120"/>
      <x:c r="AL276" s="120" t="n">
        <x:v>53000</x:v>
      </x:c>
      <x:c r="AM276" s="112" t="str">
        <x:v>BỔ SUNG GIÁ</x:v>
      </x:c>
      <x:c r="AN276" s="126" t="n">
        <x:v>606</x:v>
      </x:c>
      <x:c r="AO276" s="126" t="n">
        <x:v>607</x:v>
      </x:c>
      <x:c r="AP276" s="113" t="str">
        <x:v>12 CHAI / THÙNG</x:v>
      </x:c>
    </x:row>
    <x:row r="277">
      <x:c r="A277" s="71" t="str">
        <x:v>SIRO MAMA LỰU</x:v>
      </x:c>
      <x:c r="B277" s="30" t="str">
        <x:v>SIRO MAMA LỰU - THÙNG</x:v>
      </x:c>
      <x:c r="C277" s="37" t="str">
        <x:v>SRMMLU</x:v>
      </x:c>
      <x:c r="D277" s="37" t="str">
        <x:v>SRMMLUT</x:v>
      </x:c>
      <x:c r="E277" s="37" t="str">
        <x:v>SRMMLUT</x:v>
      </x:c>
      <x:c r="F277" s="37" t="n">
        <x:v>12</x:v>
      </x:c>
      <x:c r="G277" s="37" t="n">
        <x:v>13000</x:v>
      </x:c>
      <x:c r="H277" s="37" t="str">
        <x:v>g</x:v>
      </x:c>
      <x:c r="I277" s="37" t="str">
        <x:v>THÙNG</x:v>
      </x:c>
      <x:c r="J277" s="59" t="n">
        <x:v>610000</x:v>
      </x:c>
      <x:c r="K277" s="59" t="n">
        <x:v>624000</x:v>
      </x:c>
      <x:c r="L277" s="59" t="n">
        <x:v>0</x:v>
      </x:c>
      <x:c r="M277" s="37" t="str">
        <x:v>Siro</x:v>
      </x:c>
      <x:c r="N277" s="37" t="str">
        <x:v>CHƯA CÓ GIÁ LẺ</x:v>
      </x:c>
      <x:c r="O277" s="61" t="n">
        <x:v>0.063</x:v>
      </x:c>
      <x:c r="P277" s="37"/>
      <x:c r="Q277" s="30"/>
      <x:c r="R277" s="30"/>
      <x:c r="S277" s="30"/>
      <x:c r="T277" s="37"/>
      <x:c r="U277" s="59"/>
      <x:c r="V277" s="59"/>
      <x:c r="W277" s="117" t="n">
        <x:v>53000</x:v>
      </x:c>
      <x:c r="X277" s="59" t="str">
        <x:f>IFERROR(IF(OR($N277="ĐÃ GHÉP - AUTO",$N277="ĐÃ GHÉP - QUY TẮC"),IF($V277="","",IF($T277="THÙNG",$V277/$F277,$V277)),""),"")</x:f>
      </x:c>
      <x:c r="Y277" s="117" t="n">
        <x:f>IF(OR(W277="",F277=""),"",W277*F277)</x:f>
        <x:v>636000</x:v>
      </x:c>
      <x:c r="Z277" s="59" t="str">
        <x:f>IFERROR(IF(OR($N277="ĐÃ GHÉP - AUTO",$N277="ĐÃ GHÉP - QUY TẮC"),IF($V277="","",IF($T277="THÙNG",$V277,$V277*$F277)),""),"")</x:f>
      </x:c>
      <x:c r="AA277" s="28" t="n">
        <x:f>IFERROR(IF(OR($K277="",$K277=0,$Y277=""),"",($Y277-$K277)/$K277),"")</x:f>
        <x:v>0.019230769230769232</x:v>
      </x:c>
      <x:c r="AB277" s="37" t="str">
        <x:f>IFERROR(IF($N277="CẦN DUYỆT","DUYỆT MAP",IF($N277="CHƯA CÓ GIÁ LẺ","THIẾU GIÁ",IF(OR($K277="",$K277=0,$Y277=""),"OK",IF(ABS(($Y277-$K277)/$K277)&gt;0.15,"LỆCH GIÁ CŨ","OK")))),"OK")</x:f>
        <x:v>THIẾU GIÁ</x:v>
      </x:c>
      <x:c r="AC277" s="30" t="str">
        <x:v>ứng viên gần nhất=Siro Sâm Dứa Vina; score=0.063</x:v>
      </x:c>
      <x:c r="AD277" s="37" t="str">
        <x:v>SRMMLU</x:v>
      </x:c>
      <x:c r="AE277" s="38" t="str">
        <x:v>SRMMLUT</x:v>
      </x:c>
      <x:c r="AF277" s="123" t="n">
        <x:v>1000</x:v>
      </x:c>
      <x:c r="AG277" s="112" t="str">
        <x:v>g</x:v>
      </x:c>
      <x:c r="AH277" s="112" t="str">
        <x:v>CHAI</x:v>
      </x:c>
      <x:c r="AI277" s="112" t="str">
        <x:v>1000 g / CHAI</x:v>
      </x:c>
      <x:c r="AJ277" s="120" t="n">
        <x:v>53000</x:v>
      </x:c>
      <x:c r="AK277" s="120"/>
      <x:c r="AL277" s="120" t="n">
        <x:v>53000</x:v>
      </x:c>
      <x:c r="AM277" s="112" t="str">
        <x:v>BỔ SUNG GIÁ</x:v>
      </x:c>
      <x:c r="AN277" s="126" t="n">
        <x:v>608</x:v>
      </x:c>
      <x:c r="AO277" s="126" t="n">
        <x:v>609</x:v>
      </x:c>
      <x:c r="AP277" s="113" t="str">
        <x:v>12 CHAI / THÙNG</x:v>
      </x:c>
    </x:row>
    <x:row r="278">
      <x:c r="A278" s="71" t="str">
        <x:v>SIRO MAMA LÁ DỨA</x:v>
      </x:c>
      <x:c r="B278" s="30" t="str">
        <x:v>SIRO MAMA LÁ DỨA - THÙNG</x:v>
      </x:c>
      <x:c r="C278" s="37" t="str">
        <x:v>SRMMLD</x:v>
      </x:c>
      <x:c r="D278" s="37" t="str">
        <x:v>SRMMLDT</x:v>
      </x:c>
      <x:c r="E278" s="37" t="str">
        <x:v>SRMMLDT</x:v>
      </x:c>
      <x:c r="F278" s="37" t="n">
        <x:v>12</x:v>
      </x:c>
      <x:c r="G278" s="37" t="n">
        <x:v>13000</x:v>
      </x:c>
      <x:c r="H278" s="37" t="str">
        <x:v>g</x:v>
      </x:c>
      <x:c r="I278" s="37" t="str">
        <x:v>THÙNG</x:v>
      </x:c>
      <x:c r="J278" s="59" t="n">
        <x:v>610000</x:v>
      </x:c>
      <x:c r="K278" s="59" t="n">
        <x:v>624000</x:v>
      </x:c>
      <x:c r="L278" s="59" t="n">
        <x:v>0</x:v>
      </x:c>
      <x:c r="M278" s="37" t="str">
        <x:v>Siro</x:v>
      </x:c>
      <x:c r="N278" s="37" t="str">
        <x:v>CHƯA CÓ GIÁ LẺ</x:v>
      </x:c>
      <x:c r="O278" s="61" t="n">
        <x:v>0.418</x:v>
      </x:c>
      <x:c r="P278" s="37"/>
      <x:c r="Q278" s="30"/>
      <x:c r="R278" s="30"/>
      <x:c r="S278" s="30"/>
      <x:c r="T278" s="37"/>
      <x:c r="U278" s="59"/>
      <x:c r="V278" s="59"/>
      <x:c r="W278" s="117" t="n">
        <x:v>53000</x:v>
      </x:c>
      <x:c r="X278" s="59" t="str">
        <x:f>IFERROR(IF(OR($N278="ĐÃ GHÉP - AUTO",$N278="ĐÃ GHÉP - QUY TẮC"),IF($V278="","",IF($T278="THÙNG",$V278/$F278,$V278)),""),"")</x:f>
      </x:c>
      <x:c r="Y278" s="117" t="n">
        <x:f>IF(OR(W278="",F278=""),"",W278*F278)</x:f>
        <x:v>636000</x:v>
      </x:c>
      <x:c r="Z278" s="59" t="str">
        <x:f>IFERROR(IF(OR($N278="ĐÃ GHÉP - AUTO",$N278="ĐÃ GHÉP - QUY TẮC"),IF($V278="","",IF($T278="THÙNG",$V278,$V278*$F278)),""),"")</x:f>
      </x:c>
      <x:c r="AA278" s="28" t="n">
        <x:f>IFERROR(IF(OR($K278="",$K278=0,$Y278=""),"",($Y278-$K278)/$K278),"")</x:f>
        <x:v>0.019230769230769232</x:v>
      </x:c>
      <x:c r="AB278" s="37" t="str">
        <x:f>IFERROR(IF($N278="CẦN DUYỆT","DUYỆT MAP",IF($N278="CHƯA CÓ GIÁ LẺ","THIẾU GIÁ",IF(OR($K278="",$K278=0,$Y278=""),"OK",IF(ABS(($Y278-$K278)/$K278)&gt;0.15,"LỆCH GIÁ CŨ","OK")))),"OK")</x:f>
        <x:v>THIẾU GIÁ</x:v>
      </x:c>
      <x:c r="AC278" s="30" t="str">
        <x:v>ứng viên gần nhất=Siro Sâm Dứa Vina; score=0.418</x:v>
      </x:c>
      <x:c r="AD278" s="37" t="str">
        <x:v>SRMMLD</x:v>
      </x:c>
      <x:c r="AE278" s="38" t="str">
        <x:v>SRMMLDT</x:v>
      </x:c>
      <x:c r="AF278" s="123" t="n">
        <x:v>0</x:v>
      </x:c>
      <x:c r="AG278" s="112" t="str">
        <x:v>g</x:v>
      </x:c>
      <x:c r="AH278" s="112" t="str">
        <x:v>CHAI</x:v>
      </x:c>
      <x:c r="AI278" s="112" t="str">
        <x:v>0 g / CHAI</x:v>
      </x:c>
      <x:c r="AJ278" s="120" t="n">
        <x:v>53000</x:v>
      </x:c>
      <x:c r="AK278" s="120"/>
      <x:c r="AL278" s="120" t="n">
        <x:v>53000</x:v>
      </x:c>
      <x:c r="AM278" s="112" t="str">
        <x:v>BỔ SUNG GIÁ</x:v>
      </x:c>
      <x:c r="AN278" s="126" t="n">
        <x:v>610</x:v>
      </x:c>
      <x:c r="AO278" s="126" t="n">
        <x:v>611</x:v>
      </x:c>
      <x:c r="AP278" s="113" t="str">
        <x:v>12 CHAI / THÙNG</x:v>
      </x:c>
    </x:row>
    <x:row r="279">
      <x:c r="A279" s="71" t="str">
        <x:v>SIRO MAMA KIWI</x:v>
      </x:c>
      <x:c r="B279" s="30" t="str">
        <x:v>SIRO MAMA KIWI - THÙNG</x:v>
      </x:c>
      <x:c r="C279" s="37" t="str">
        <x:v>SRMMKW</x:v>
      </x:c>
      <x:c r="D279" s="37" t="str">
        <x:v>SRMMKWT</x:v>
      </x:c>
      <x:c r="E279" s="37" t="str">
        <x:v>SRMMKWT</x:v>
      </x:c>
      <x:c r="F279" s="37" t="n">
        <x:v>12</x:v>
      </x:c>
      <x:c r="G279" s="37" t="n">
        <x:v>13000</x:v>
      </x:c>
      <x:c r="H279" s="37" t="str">
        <x:v>g</x:v>
      </x:c>
      <x:c r="I279" s="37" t="str">
        <x:v>THÙNG</x:v>
      </x:c>
      <x:c r="J279" s="59" t="n">
        <x:v>610000</x:v>
      </x:c>
      <x:c r="K279" s="59" t="n">
        <x:v>624000</x:v>
      </x:c>
      <x:c r="L279" s="59" t="n">
        <x:v>0</x:v>
      </x:c>
      <x:c r="M279" s="37" t="str">
        <x:v>Siro</x:v>
      </x:c>
      <x:c r="N279" s="37" t="str">
        <x:v>CHƯA CÓ GIÁ LẺ</x:v>
      </x:c>
      <x:c r="O279" s="61" t="n">
        <x:v>0.059</x:v>
      </x:c>
      <x:c r="P279" s="37"/>
      <x:c r="Q279" s="30"/>
      <x:c r="R279" s="30"/>
      <x:c r="S279" s="30"/>
      <x:c r="T279" s="37"/>
      <x:c r="U279" s="59"/>
      <x:c r="V279" s="59"/>
      <x:c r="W279" s="117" t="n">
        <x:v>53000</x:v>
      </x:c>
      <x:c r="X279" s="59" t="str">
        <x:f>IFERROR(IF(OR($N279="ĐÃ GHÉP - AUTO",$N279="ĐÃ GHÉP - QUY TẮC"),IF($V279="","",IF($T279="THÙNG",$V279/$F279,$V279)),""),"")</x:f>
      </x:c>
      <x:c r="Y279" s="117" t="n">
        <x:f>IF(OR(W279="",F279=""),"",W279*F279)</x:f>
        <x:v>636000</x:v>
      </x:c>
      <x:c r="Z279" s="59" t="str">
        <x:f>IFERROR(IF(OR($N279="ĐÃ GHÉP - AUTO",$N279="ĐÃ GHÉP - QUY TẮC"),IF($V279="","",IF($T279="THÙNG",$V279,$V279*$F279)),""),"")</x:f>
      </x:c>
      <x:c r="AA279" s="28" t="n">
        <x:f>IFERROR(IF(OR($K279="",$K279=0,$Y279=""),"",($Y279-$K279)/$K279),"")</x:f>
        <x:v>0.019230769230769232</x:v>
      </x:c>
      <x:c r="AB279" s="37" t="str">
        <x:f>IFERROR(IF($N279="CẦN DUYỆT","DUYỆT MAP",IF($N279="CHƯA CÓ GIÁ LẺ","THIẾU GIÁ",IF(OR($K279="",$K279=0,$Y279=""),"OK",IF(ABS(($Y279-$K279)/$K279)&gt;0.15,"LỆCH GIÁ CŨ","OK")))),"OK")</x:f>
        <x:v>THIẾU GIÁ</x:v>
      </x:c>
      <x:c r="AC279" s="30" t="str">
        <x:v>ứng viên gần nhất=Siro Thái PIXE; score=0.059</x:v>
      </x:c>
      <x:c r="AD279" s="37" t="str">
        <x:v>SRMMKW</x:v>
      </x:c>
      <x:c r="AE279" s="38" t="str">
        <x:v>SRMMKWT</x:v>
      </x:c>
      <x:c r="AF279" s="123" t="n">
        <x:v>1000</x:v>
      </x:c>
      <x:c r="AG279" s="112" t="str">
        <x:v>g</x:v>
      </x:c>
      <x:c r="AH279" s="112" t="str">
        <x:v>CHAI</x:v>
      </x:c>
      <x:c r="AI279" s="112" t="str">
        <x:v>1000 g / CHAI</x:v>
      </x:c>
      <x:c r="AJ279" s="120" t="n">
        <x:v>53000</x:v>
      </x:c>
      <x:c r="AK279" s="120"/>
      <x:c r="AL279" s="120" t="n">
        <x:v>53000</x:v>
      </x:c>
      <x:c r="AM279" s="112" t="str">
        <x:v>BỔ SUNG GIÁ</x:v>
      </x:c>
      <x:c r="AN279" s="126" t="n">
        <x:v>612</x:v>
      </x:c>
      <x:c r="AO279" s="126" t="n">
        <x:v>613</x:v>
      </x:c>
      <x:c r="AP279" s="113" t="str">
        <x:v>12 CHAI / THÙNG</x:v>
      </x:c>
    </x:row>
    <x:row r="280">
      <x:c r="A280" s="71" t="str">
        <x:v>SIRO MAMA HOA HỒNG</x:v>
      </x:c>
      <x:c r="B280" s="30" t="str">
        <x:v>SIRO MAMA HOA HỒNG - THÙNG</x:v>
      </x:c>
      <x:c r="C280" s="37" t="str">
        <x:v>SRMMHH</x:v>
      </x:c>
      <x:c r="D280" s="37" t="str">
        <x:v>SRMMHHT</x:v>
      </x:c>
      <x:c r="E280" s="37" t="str">
        <x:v>SRMMHHT</x:v>
      </x:c>
      <x:c r="F280" s="37" t="n">
        <x:v>12</x:v>
      </x:c>
      <x:c r="G280" s="37" t="n">
        <x:v>13000</x:v>
      </x:c>
      <x:c r="H280" s="37" t="str">
        <x:v>g</x:v>
      </x:c>
      <x:c r="I280" s="37" t="str">
        <x:v>THÙNG</x:v>
      </x:c>
      <x:c r="J280" s="59" t="n">
        <x:v>610000</x:v>
      </x:c>
      <x:c r="K280" s="59" t="n">
        <x:v>624000</x:v>
      </x:c>
      <x:c r="L280" s="59" t="n">
        <x:v>0</x:v>
      </x:c>
      <x:c r="M280" s="37" t="str">
        <x:v>Siro</x:v>
      </x:c>
      <x:c r="N280" s="37" t="str">
        <x:v>CHƯA CÓ GIÁ LẺ</x:v>
      </x:c>
      <x:c r="O280" s="61" t="n">
        <x:v>0.071</x:v>
      </x:c>
      <x:c r="P280" s="37"/>
      <x:c r="Q280" s="30"/>
      <x:c r="R280" s="30"/>
      <x:c r="S280" s="30"/>
      <x:c r="T280" s="37"/>
      <x:c r="U280" s="59"/>
      <x:c r="V280" s="59"/>
      <x:c r="W280" s="117" t="n">
        <x:v>53000</x:v>
      </x:c>
      <x:c r="X280" s="59" t="str">
        <x:f>IFERROR(IF(OR($N280="ĐÃ GHÉP - AUTO",$N280="ĐÃ GHÉP - QUY TẮC"),IF($V280="","",IF($T280="THÙNG",$V280/$F280,$V280)),""),"")</x:f>
      </x:c>
      <x:c r="Y280" s="117" t="n">
        <x:f>IF(OR(W280="",F280=""),"",W280*F280)</x:f>
        <x:v>636000</x:v>
      </x:c>
      <x:c r="Z280" s="59" t="str">
        <x:f>IFERROR(IF(OR($N280="ĐÃ GHÉP - AUTO",$N280="ĐÃ GHÉP - QUY TẮC"),IF($V280="","",IF($T280="THÙNG",$V280,$V280*$F280)),""),"")</x:f>
      </x:c>
      <x:c r="AA280" s="28" t="n">
        <x:f>IFERROR(IF(OR($K280="",$K280=0,$Y280=""),"",($Y280-$K280)/$K280),"")</x:f>
        <x:v>0.019230769230769232</x:v>
      </x:c>
      <x:c r="AB280" s="37" t="str">
        <x:f>IFERROR(IF($N280="CẦN DUYỆT","DUYỆT MAP",IF($N280="CHƯA CÓ GIÁ LẺ","THIẾU GIÁ",IF(OR($K280="",$K280=0,$Y280=""),"OK",IF(ABS(($Y280-$K280)/$K280)&gt;0.15,"LỆCH GIÁ CŨ","OK")))),"OK")</x:f>
        <x:v>THIẾU GIÁ</x:v>
      </x:c>
      <x:c r="AC280" s="30" t="str">
        <x:v>ứng viên gần nhất=Siro Changthai; score=0.071</x:v>
      </x:c>
      <x:c r="AD280" s="37" t="str">
        <x:v>SRMMHH</x:v>
      </x:c>
      <x:c r="AE280" s="38" t="str">
        <x:v>SRMMHHT</x:v>
      </x:c>
      <x:c r="AF280" s="123" t="n">
        <x:v>0</x:v>
      </x:c>
      <x:c r="AG280" s="112" t="str">
        <x:v>g</x:v>
      </x:c>
      <x:c r="AH280" s="112" t="str">
        <x:v>CHAI</x:v>
      </x:c>
      <x:c r="AI280" s="112" t="str">
        <x:v>0 g / CHAI</x:v>
      </x:c>
      <x:c r="AJ280" s="120" t="n">
        <x:v>53000</x:v>
      </x:c>
      <x:c r="AK280" s="120"/>
      <x:c r="AL280" s="120" t="n">
        <x:v>53000</x:v>
      </x:c>
      <x:c r="AM280" s="112" t="str">
        <x:v>BỔ SUNG GIÁ</x:v>
      </x:c>
      <x:c r="AN280" s="126" t="n">
        <x:v>614</x:v>
      </x:c>
      <x:c r="AO280" s="126" t="n">
        <x:v>615</x:v>
      </x:c>
      <x:c r="AP280" s="113" t="str">
        <x:v>12 CHAI / THÙNG</x:v>
      </x:c>
    </x:row>
    <x:row r="281">
      <x:c r="A281" s="71" t="str">
        <x:v>SIRO MAMA DƯA HẤU</x:v>
      </x:c>
      <x:c r="B281" s="30" t="str">
        <x:v>SIRO MAMA DƯA HẤU - THÙNG</x:v>
      </x:c>
      <x:c r="C281" s="37" t="str">
        <x:v>SRMMDH</x:v>
      </x:c>
      <x:c r="D281" s="37" t="str">
        <x:v>SRMMDHT</x:v>
      </x:c>
      <x:c r="E281" s="37" t="str">
        <x:v>SRMMDHT</x:v>
      </x:c>
      <x:c r="F281" s="37" t="n">
        <x:v>12</x:v>
      </x:c>
      <x:c r="G281" s="37" t="n">
        <x:v>0</x:v>
      </x:c>
      <x:c r="H281" s="37" t="str">
        <x:v>g</x:v>
      </x:c>
      <x:c r="I281" s="37" t="str">
        <x:v>THÙNG</x:v>
      </x:c>
      <x:c r="J281" s="59" t="n">
        <x:v>610000</x:v>
      </x:c>
      <x:c r="K281" s="59" t="n">
        <x:v>624000</x:v>
      </x:c>
      <x:c r="L281" s="59" t="n">
        <x:v>0</x:v>
      </x:c>
      <x:c r="M281" s="37" t="str">
        <x:v>Siro</x:v>
      </x:c>
      <x:c r="N281" s="37" t="str">
        <x:v>CHƯA CÓ GIÁ LẺ</x:v>
      </x:c>
      <x:c r="O281" s="61" t="n">
        <x:v>0.423</x:v>
      </x:c>
      <x:c r="P281" s="37"/>
      <x:c r="Q281" s="30"/>
      <x:c r="R281" s="30"/>
      <x:c r="S281" s="30"/>
      <x:c r="T281" s="37"/>
      <x:c r="U281" s="59"/>
      <x:c r="V281" s="59"/>
      <x:c r="W281" s="117" t="n">
        <x:v>53000</x:v>
      </x:c>
      <x:c r="X281" s="59" t="str">
        <x:f>IFERROR(IF(OR($N281="ĐÃ GHÉP - AUTO",$N281="ĐÃ GHÉP - QUY TẮC"),IF($V281="","",IF($T281="THÙNG",$V281/$F281,$V281)),""),"")</x:f>
      </x:c>
      <x:c r="Y281" s="117" t="n">
        <x:f>IF(OR(W281="",F281=""),"",W281*F281)</x:f>
        <x:v>636000</x:v>
      </x:c>
      <x:c r="Z281" s="59" t="str">
        <x:f>IFERROR(IF(OR($N281="ĐÃ GHÉP - AUTO",$N281="ĐÃ GHÉP - QUY TẮC"),IF($V281="","",IF($T281="THÙNG",$V281,$V281*$F281)),""),"")</x:f>
      </x:c>
      <x:c r="AA281" s="28" t="n">
        <x:f>IFERROR(IF(OR($K281="",$K281=0,$Y281=""),"",($Y281-$K281)/$K281),"")</x:f>
        <x:v>0.019230769230769232</x:v>
      </x:c>
      <x:c r="AB281" s="37" t="str">
        <x:f>IFERROR(IF($N281="CẦN DUYỆT","DUYỆT MAP",IF($N281="CHƯA CÓ GIÁ LẺ","THIẾU GIÁ",IF(OR($K281="",$K281=0,$Y281=""),"OK",IF(ABS(($Y281-$K281)/$K281)&gt;0.15,"LỆCH GIÁ CŨ","OK")))),"OK")</x:f>
        <x:v>THIẾU GIÁ</x:v>
      </x:c>
      <x:c r="AC281" s="30" t="str">
        <x:v>ứng viên gần nhất=Siro Sâm Dứa Vina; score=0.423</x:v>
      </x:c>
      <x:c r="AD281" s="37" t="str">
        <x:v>SRMMDH</x:v>
      </x:c>
      <x:c r="AE281" s="38" t="str">
        <x:v>SRMMDHT</x:v>
      </x:c>
      <x:c r="AF281" s="123" t="n">
        <x:v>0</x:v>
      </x:c>
      <x:c r="AG281" s="112" t="str">
        <x:v>g</x:v>
      </x:c>
      <x:c r="AH281" s="112" t="str">
        <x:v>CHAI</x:v>
      </x:c>
      <x:c r="AI281" s="112" t="str">
        <x:v>0 g / CHAI</x:v>
      </x:c>
      <x:c r="AJ281" s="120" t="n">
        <x:v>53000</x:v>
      </x:c>
      <x:c r="AK281" s="120"/>
      <x:c r="AL281" s="120" t="n">
        <x:v>53000</x:v>
      </x:c>
      <x:c r="AM281" s="112" t="str">
        <x:v>BỔ SUNG GIÁ</x:v>
      </x:c>
      <x:c r="AN281" s="126" t="n">
        <x:v>616</x:v>
      </x:c>
      <x:c r="AO281" s="126" t="n">
        <x:v>617</x:v>
      </x:c>
      <x:c r="AP281" s="113" t="str">
        <x:v>12 CHAI / THÙNG</x:v>
      </x:c>
    </x:row>
    <x:row r="282">
      <x:c r="A282" s="71" t="str">
        <x:v>SIRO MAMA CHANH DÂY</x:v>
      </x:c>
      <x:c r="B282" s="30" t="str">
        <x:v>SIRO MAMA CHANH DÂY - THÙNG</x:v>
      </x:c>
      <x:c r="C282" s="37" t="str">
        <x:v>SRMMCD</x:v>
      </x:c>
      <x:c r="D282" s="37" t="str">
        <x:v>SRMMCDT</x:v>
      </x:c>
      <x:c r="E282" s="37" t="str">
        <x:v>SRMMCDT</x:v>
      </x:c>
      <x:c r="F282" s="37" t="n">
        <x:v>12</x:v>
      </x:c>
      <x:c r="G282" s="37" t="n">
        <x:v>13000</x:v>
      </x:c>
      <x:c r="H282" s="37" t="str">
        <x:v>g</x:v>
      </x:c>
      <x:c r="I282" s="37" t="str">
        <x:v>THÙNG</x:v>
      </x:c>
      <x:c r="J282" s="59" t="n">
        <x:v>610000</x:v>
      </x:c>
      <x:c r="K282" s="59" t="n">
        <x:v>624000</x:v>
      </x:c>
      <x:c r="L282" s="59" t="n">
        <x:v>0</x:v>
      </x:c>
      <x:c r="M282" s="37" t="str">
        <x:v>Siro</x:v>
      </x:c>
      <x:c r="N282" s="37" t="str">
        <x:v>CHƯA CÓ GIÁ LẺ</x:v>
      </x:c>
      <x:c r="O282" s="61" t="n">
        <x:v>0.08</x:v>
      </x:c>
      <x:c r="P282" s="37"/>
      <x:c r="Q282" s="30"/>
      <x:c r="R282" s="30"/>
      <x:c r="S282" s="30"/>
      <x:c r="T282" s="37"/>
      <x:c r="U282" s="59"/>
      <x:c r="V282" s="59"/>
      <x:c r="W282" s="117" t="n">
        <x:v>53000</x:v>
      </x:c>
      <x:c r="X282" s="59" t="str">
        <x:f>IFERROR(IF(OR($N282="ĐÃ GHÉP - AUTO",$N282="ĐÃ GHÉP - QUY TẮC"),IF($V282="","",IF($T282="THÙNG",$V282/$F282,$V282)),""),"")</x:f>
      </x:c>
      <x:c r="Y282" s="117" t="n">
        <x:f>IF(OR(W282="",F282=""),"",W282*F282)</x:f>
        <x:v>636000</x:v>
      </x:c>
      <x:c r="Z282" s="59" t="str">
        <x:f>IFERROR(IF(OR($N282="ĐÃ GHÉP - AUTO",$N282="ĐÃ GHÉP - QUY TẮC"),IF($V282="","",IF($T282="THÙNG",$V282,$V282*$F282)),""),"")</x:f>
      </x:c>
      <x:c r="AA282" s="28" t="n">
        <x:f>IFERROR(IF(OR($K282="",$K282=0,$Y282=""),"",($Y282-$K282)/$K282),"")</x:f>
        <x:v>0.019230769230769232</x:v>
      </x:c>
      <x:c r="AB282" s="37" t="str">
        <x:f>IFERROR(IF($N282="CẦN DUYỆT","DUYỆT MAP",IF($N282="CHƯA CÓ GIÁ LẺ","THIẾU GIÁ",IF(OR($K282="",$K282=0,$Y282=""),"OK",IF(ABS(($Y282-$K282)/$K282)&gt;0.15,"LỆCH GIÁ CŨ","OK")))),"OK")</x:f>
        <x:v>THIẾU GIÁ</x:v>
      </x:c>
      <x:c r="AC282" s="30" t="str">
        <x:v>ứng viên gần nhất=Siro Changthai; score=0.080</x:v>
      </x:c>
      <x:c r="AD282" s="37" t="str">
        <x:v>SRMMCD</x:v>
      </x:c>
      <x:c r="AE282" s="38" t="str">
        <x:v>SRMMCDT</x:v>
      </x:c>
      <x:c r="AF282" s="123" t="n">
        <x:v>1000</x:v>
      </x:c>
      <x:c r="AG282" s="112" t="str">
        <x:v>g</x:v>
      </x:c>
      <x:c r="AH282" s="112" t="str">
        <x:v>CHAI</x:v>
      </x:c>
      <x:c r="AI282" s="112" t="str">
        <x:v>1000 g / CHAI</x:v>
      </x:c>
      <x:c r="AJ282" s="120" t="n">
        <x:v>53000</x:v>
      </x:c>
      <x:c r="AK282" s="120"/>
      <x:c r="AL282" s="120" t="n">
        <x:v>53000</x:v>
      </x:c>
      <x:c r="AM282" s="112" t="str">
        <x:v>BỔ SUNG GIÁ</x:v>
      </x:c>
      <x:c r="AN282" s="126" t="n">
        <x:v>618</x:v>
      </x:c>
      <x:c r="AO282" s="126" t="n">
        <x:v>619</x:v>
      </x:c>
      <x:c r="AP282" s="113" t="str">
        <x:v>12 CHAI / THÙNG</x:v>
      </x:c>
    </x:row>
    <x:row r="283">
      <x:c r="A283" s="71" t="str">
        <x:v>SIRO MAMA CHANH</x:v>
      </x:c>
      <x:c r="B283" s="30" t="str">
        <x:v>SIRO MAMA CHANH - THÙNG</x:v>
      </x:c>
      <x:c r="C283" s="37" t="str">
        <x:v>SRMMCH</x:v>
      </x:c>
      <x:c r="D283" s="37" t="str">
        <x:v>SRMMCHT</x:v>
      </x:c>
      <x:c r="E283" s="37" t="str">
        <x:v>SRMMCHT</x:v>
      </x:c>
      <x:c r="F283" s="37" t="n">
        <x:v>12</x:v>
      </x:c>
      <x:c r="G283" s="37" t="n">
        <x:v>13000</x:v>
      </x:c>
      <x:c r="H283" s="37" t="str">
        <x:v>g</x:v>
      </x:c>
      <x:c r="I283" s="37" t="str">
        <x:v>THÙNG</x:v>
      </x:c>
      <x:c r="J283" s="59" t="n">
        <x:v>610000</x:v>
      </x:c>
      <x:c r="K283" s="59" t="n">
        <x:v>624000</x:v>
      </x:c>
      <x:c r="L283" s="59" t="n">
        <x:v>0</x:v>
      </x:c>
      <x:c r="M283" s="37" t="str">
        <x:v>Siro</x:v>
      </x:c>
      <x:c r="N283" s="37" t="str">
        <x:v>CHƯA CÓ GIÁ LẺ</x:v>
      </x:c>
      <x:c r="O283" s="61" t="n">
        <x:v>0.085</x:v>
      </x:c>
      <x:c r="P283" s="37"/>
      <x:c r="Q283" s="30"/>
      <x:c r="R283" s="30"/>
      <x:c r="S283" s="30"/>
      <x:c r="T283" s="37"/>
      <x:c r="U283" s="59"/>
      <x:c r="V283" s="59"/>
      <x:c r="W283" s="117" t="n">
        <x:v>53000</x:v>
      </x:c>
      <x:c r="X283" s="59" t="str">
        <x:f>IFERROR(IF(OR($N283="ĐÃ GHÉP - AUTO",$N283="ĐÃ GHÉP - QUY TẮC"),IF($V283="","",IF($T283="THÙNG",$V283/$F283,$V283)),""),"")</x:f>
      </x:c>
      <x:c r="Y283" s="117" t="n">
        <x:f>IF(OR(W283="",F283=""),"",W283*F283)</x:f>
        <x:v>636000</x:v>
      </x:c>
      <x:c r="Z283" s="59" t="str">
        <x:f>IFERROR(IF(OR($N283="ĐÃ GHÉP - AUTO",$N283="ĐÃ GHÉP - QUY TẮC"),IF($V283="","",IF($T283="THÙNG",$V283,$V283*$F283)),""),"")</x:f>
      </x:c>
      <x:c r="AA283" s="28" t="n">
        <x:f>IFERROR(IF(OR($K283="",$K283=0,$Y283=""),"",($Y283-$K283)/$K283),"")</x:f>
        <x:v>0.019230769230769232</x:v>
      </x:c>
      <x:c r="AB283" s="37" t="str">
        <x:f>IFERROR(IF($N283="CẦN DUYỆT","DUYỆT MAP",IF($N283="CHƯA CÓ GIÁ LẺ","THIẾU GIÁ",IF(OR($K283="",$K283=0,$Y283=""),"OK",IF(ABS(($Y283-$K283)/$K283)&gt;0.15,"LỆCH GIÁ CŨ","OK")))),"OK")</x:f>
        <x:v>THIẾU GIÁ</x:v>
      </x:c>
      <x:c r="AC283" s="30" t="str">
        <x:v>ứng viên gần nhất=Siro Changthai; score=0.085</x:v>
      </x:c>
      <x:c r="AD283" s="37" t="str">
        <x:v>SRMMCH</x:v>
      </x:c>
      <x:c r="AE283" s="38" t="str">
        <x:v>SRMMCHT</x:v>
      </x:c>
      <x:c r="AF283" s="123" t="n">
        <x:v>0</x:v>
      </x:c>
      <x:c r="AG283" s="112" t="str">
        <x:v>g</x:v>
      </x:c>
      <x:c r="AH283" s="112" t="str">
        <x:v>CHAI</x:v>
      </x:c>
      <x:c r="AI283" s="112" t="str">
        <x:v>0 g / CHAI</x:v>
      </x:c>
      <x:c r="AJ283" s="120" t="n">
        <x:v>53000</x:v>
      </x:c>
      <x:c r="AK283" s="120"/>
      <x:c r="AL283" s="120" t="n">
        <x:v>53000</x:v>
      </x:c>
      <x:c r="AM283" s="112" t="str">
        <x:v>BỔ SUNG GIÁ</x:v>
      </x:c>
      <x:c r="AN283" s="126" t="n">
        <x:v>620</x:v>
      </x:c>
      <x:c r="AO283" s="126" t="n">
        <x:v>621</x:v>
      </x:c>
      <x:c r="AP283" s="113" t="str">
        <x:v>12 CHAI / THÙNG</x:v>
      </x:c>
    </x:row>
    <x:row r="284">
      <x:c r="A284" s="71" t="str">
        <x:v>SIRO MAMA CARAMEN</x:v>
      </x:c>
      <x:c r="B284" s="30" t="str">
        <x:v>SIRO MAMA CARAMEN - THÙNG</x:v>
      </x:c>
      <x:c r="C284" s="37" t="str">
        <x:v>SRMMCR</x:v>
      </x:c>
      <x:c r="D284" s="37" t="str">
        <x:v>SRMMCRT</x:v>
      </x:c>
      <x:c r="E284" s="37" t="str">
        <x:v>SRMMCRT</x:v>
      </x:c>
      <x:c r="F284" s="37" t="n">
        <x:v>12</x:v>
      </x:c>
      <x:c r="G284" s="37" t="n">
        <x:v>13000</x:v>
      </x:c>
      <x:c r="H284" s="37" t="str">
        <x:v>g</x:v>
      </x:c>
      <x:c r="I284" s="37" t="str">
        <x:v>THÙNG</x:v>
      </x:c>
      <x:c r="J284" s="59" t="n">
        <x:v>610000</x:v>
      </x:c>
      <x:c r="K284" s="59" t="n">
        <x:v>624000</x:v>
      </x:c>
      <x:c r="L284" s="59" t="n">
        <x:v>0</x:v>
      </x:c>
      <x:c r="M284" s="37" t="str">
        <x:v>Siro</x:v>
      </x:c>
      <x:c r="N284" s="37" t="str">
        <x:v>CHƯA CÓ GIÁ LẺ</x:v>
      </x:c>
      <x:c r="O284" s="61" t="n">
        <x:v>0.065</x:v>
      </x:c>
      <x:c r="P284" s="37"/>
      <x:c r="Q284" s="30"/>
      <x:c r="R284" s="30"/>
      <x:c r="S284" s="30"/>
      <x:c r="T284" s="37"/>
      <x:c r="U284" s="59"/>
      <x:c r="V284" s="59"/>
      <x:c r="W284" s="117" t="n">
        <x:v>53000</x:v>
      </x:c>
      <x:c r="X284" s="59" t="str">
        <x:f>IFERROR(IF(OR($N284="ĐÃ GHÉP - AUTO",$N284="ĐÃ GHÉP - QUY TẮC"),IF($V284="","",IF($T284="THÙNG",$V284/$F284,$V284)),""),"")</x:f>
      </x:c>
      <x:c r="Y284" s="117" t="n">
        <x:f>IF(OR(W284="",F284=""),"",W284*F284)</x:f>
        <x:v>636000</x:v>
      </x:c>
      <x:c r="Z284" s="59" t="str">
        <x:f>IFERROR(IF(OR($N284="ĐÃ GHÉP - AUTO",$N284="ĐÃ GHÉP - QUY TẮC"),IF($V284="","",IF($T284="THÙNG",$V284,$V284*$F284)),""),"")</x:f>
      </x:c>
      <x:c r="AA284" s="28" t="n">
        <x:f>IFERROR(IF(OR($K284="",$K284=0,$Y284=""),"",($Y284-$K284)/$K284),"")</x:f>
        <x:v>0.019230769230769232</x:v>
      </x:c>
      <x:c r="AB284" s="37" t="str">
        <x:f>IFERROR(IF($N284="CẦN DUYỆT","DUYỆT MAP",IF($N284="CHƯA CÓ GIÁ LẺ","THIẾU GIÁ",IF(OR($K284="",$K284=0,$Y284=""),"OK",IF(ABS(($Y284-$K284)/$K284)&gt;0.15,"LỆCH GIÁ CŨ","OK")))),"OK")</x:f>
        <x:v>THIẾU GIÁ</x:v>
      </x:c>
      <x:c r="AC284" s="30" t="str">
        <x:v>ứng viên gần nhất=Siro Changthai; score=0.065</x:v>
      </x:c>
      <x:c r="AD284" s="37" t="str">
        <x:v>SRMMCR</x:v>
      </x:c>
      <x:c r="AE284" s="38" t="str">
        <x:v>SRMMCRT</x:v>
      </x:c>
      <x:c r="AF284" s="123" t="n">
        <x:v>1000</x:v>
      </x:c>
      <x:c r="AG284" s="112" t="str">
        <x:v>g</x:v>
      </x:c>
      <x:c r="AH284" s="112" t="str">
        <x:v>CHAI</x:v>
      </x:c>
      <x:c r="AI284" s="112" t="str">
        <x:v>1000 g / CHAI</x:v>
      </x:c>
      <x:c r="AJ284" s="120" t="n">
        <x:v>53000</x:v>
      </x:c>
      <x:c r="AK284" s="120"/>
      <x:c r="AL284" s="120" t="n">
        <x:v>53000</x:v>
      </x:c>
      <x:c r="AM284" s="112" t="str">
        <x:v>BỔ SUNG GIÁ</x:v>
      </x:c>
      <x:c r="AN284" s="126" t="n">
        <x:v>622</x:v>
      </x:c>
      <x:c r="AO284" s="126" t="n">
        <x:v>623</x:v>
      </x:c>
      <x:c r="AP284" s="113" t="str">
        <x:v>12 CHAI / THÙNG</x:v>
      </x:c>
    </x:row>
    <x:row r="285">
      <x:c r="A285" s="71" t="str">
        <x:v>SIRO MAMA CAM</x:v>
      </x:c>
      <x:c r="B285" s="30" t="str">
        <x:v>SIRO MAMA CAM - THÙNG</x:v>
      </x:c>
      <x:c r="C285" s="37" t="str">
        <x:v>SRMMCA</x:v>
      </x:c>
      <x:c r="D285" s="37" t="str">
        <x:v>SRMMCAT</x:v>
      </x:c>
      <x:c r="E285" s="37" t="str">
        <x:v>SRMMCAT</x:v>
      </x:c>
      <x:c r="F285" s="37" t="n">
        <x:v>12</x:v>
      </x:c>
      <x:c r="G285" s="37" t="n">
        <x:v>13000</x:v>
      </x:c>
      <x:c r="H285" s="37" t="str">
        <x:v>g</x:v>
      </x:c>
      <x:c r="I285" s="37" t="str">
        <x:v>THÙNG</x:v>
      </x:c>
      <x:c r="J285" s="59" t="n">
        <x:v>610000</x:v>
      </x:c>
      <x:c r="K285" s="59" t="n">
        <x:v>624000</x:v>
      </x:c>
      <x:c r="L285" s="59" t="n">
        <x:v>0</x:v>
      </x:c>
      <x:c r="M285" s="37" t="str">
        <x:v>Siro</x:v>
      </x:c>
      <x:c r="N285" s="37" t="str">
        <x:v>CHƯA CÓ GIÁ LẺ</x:v>
      </x:c>
      <x:c r="O285" s="61" t="n">
        <x:v>0.419</x:v>
      </x:c>
      <x:c r="P285" s="37"/>
      <x:c r="Q285" s="30"/>
      <x:c r="R285" s="30"/>
      <x:c r="S285" s="30"/>
      <x:c r="T285" s="37"/>
      <x:c r="U285" s="59"/>
      <x:c r="V285" s="59"/>
      <x:c r="W285" s="117" t="n">
        <x:v>53000</x:v>
      </x:c>
      <x:c r="X285" s="59" t="str">
        <x:f>IFERROR(IF(OR($N285="ĐÃ GHÉP - AUTO",$N285="ĐÃ GHÉP - QUY TẮC"),IF($V285="","",IF($T285="THÙNG",$V285/$F285,$V285)),""),"")</x:f>
      </x:c>
      <x:c r="Y285" s="117" t="n">
        <x:f>IF(OR(W285="",F285=""),"",W285*F285)</x:f>
        <x:v>636000</x:v>
      </x:c>
      <x:c r="Z285" s="59" t="str">
        <x:f>IFERROR(IF(OR($N285="ĐÃ GHÉP - AUTO",$N285="ĐÃ GHÉP - QUY TẮC"),IF($V285="","",IF($T285="THÙNG",$V285,$V285*$F285)),""),"")</x:f>
      </x:c>
      <x:c r="AA285" s="28" t="n">
        <x:f>IFERROR(IF(OR($K285="",$K285=0,$Y285=""),"",($Y285-$K285)/$K285),"")</x:f>
        <x:v>0.019230769230769232</x:v>
      </x:c>
      <x:c r="AB285" s="37" t="str">
        <x:f>IFERROR(IF($N285="CẦN DUYỆT","DUYỆT MAP",IF($N285="CHƯA CÓ GIÁ LẺ","THIẾU GIÁ",IF(OR($K285="",$K285=0,$Y285=""),"OK",IF(ABS(($Y285-$K285)/$K285)&gt;0.15,"LỆCH GIÁ CŨ","OK")))),"OK")</x:f>
        <x:v>THIẾU GIÁ</x:v>
      </x:c>
      <x:c r="AC285" s="30" t="str">
        <x:v>ứng viên gần nhất=Siro vỏ cam Gold 700ml; score=0.419</x:v>
      </x:c>
      <x:c r="AD285" s="37" t="str">
        <x:v>SRMMCA</x:v>
      </x:c>
      <x:c r="AE285" s="38" t="str">
        <x:v>SRMMCAT</x:v>
      </x:c>
      <x:c r="AF285" s="123" t="n">
        <x:v>0</x:v>
      </x:c>
      <x:c r="AG285" s="112" t="str">
        <x:v>g</x:v>
      </x:c>
      <x:c r="AH285" s="112" t="str">
        <x:v>CHAI</x:v>
      </x:c>
      <x:c r="AI285" s="112" t="str">
        <x:v>0 g / CHAI</x:v>
      </x:c>
      <x:c r="AJ285" s="120" t="n">
        <x:v>53000</x:v>
      </x:c>
      <x:c r="AK285" s="120"/>
      <x:c r="AL285" s="120" t="n">
        <x:v>53000</x:v>
      </x:c>
      <x:c r="AM285" s="112" t="str">
        <x:v>BỔ SUNG GIÁ</x:v>
      </x:c>
      <x:c r="AN285" s="126" t="n">
        <x:v>624</x:v>
      </x:c>
      <x:c r="AO285" s="126" t="n">
        <x:v>625</x:v>
      </x:c>
      <x:c r="AP285" s="113" t="str">
        <x:v>12 CHAI / THÙNG</x:v>
      </x:c>
    </x:row>
    <x:row r="286">
      <x:c r="A286" s="71" t="str">
        <x:v>SIRO VUÔNG KIWI</x:v>
      </x:c>
      <x:c r="B286" s="30" t="str">
        <x:v>SIRO VUÔNG KIWI - THÙNG</x:v>
      </x:c>
      <x:c r="C286" s="37" t="str">
        <x:v>SRKWIV</x:v>
      </x:c>
      <x:c r="D286" s="37" t="str">
        <x:v>SRKWIVT</x:v>
      </x:c>
      <x:c r="E286" s="37" t="str">
        <x:v>SRKWIVT</x:v>
      </x:c>
      <x:c r="F286" s="37" t="n">
        <x:v>6</x:v>
      </x:c>
      <x:c r="G286" s="37" t="n">
        <x:v>16000</x:v>
      </x:c>
      <x:c r="H286" s="37" t="str">
        <x:v>g</x:v>
      </x:c>
      <x:c r="I286" s="37" t="str">
        <x:v>THÙNG</x:v>
      </x:c>
      <x:c r="J286" s="59" t="n">
        <x:v>0</x:v>
      </x:c>
      <x:c r="K286" s="59" t="n">
        <x:v>0</x:v>
      </x:c>
      <x:c r="L286" s="59" t="n">
        <x:v>0</x:v>
      </x:c>
      <x:c r="M286" s="37" t="str">
        <x:v>Siro</x:v>
      </x:c>
      <x:c r="N286" s="37" t="str">
        <x:v>CHƯA CÓ GIÁ LẺ</x:v>
      </x:c>
      <x:c r="O286" s="61" t="n">
        <x:v>0.064</x:v>
      </x:c>
      <x:c r="P286" s="37"/>
      <x:c r="Q286" s="30"/>
      <x:c r="R286" s="30"/>
      <x:c r="S286" s="30"/>
      <x:c r="T286" s="37"/>
      <x:c r="U286" s="59"/>
      <x:c r="V286" s="59"/>
      <x:c r="W286" s="117" t="n">
        <x:v>85000</x:v>
      </x:c>
      <x:c r="X286" s="59" t="str">
        <x:f>IFERROR(IF(OR($N286="ĐÃ GHÉP - AUTO",$N286="ĐÃ GHÉP - QUY TẮC"),IF($V286="","",IF($T286="THÙNG",$V286/$F286,$V286)),""),"")</x:f>
      </x:c>
      <x:c r="Y286" s="117" t="n">
        <x:f>IF(OR(W286="",F286=""),"",W286*F286)</x:f>
        <x:v>510000</x:v>
      </x:c>
      <x:c r="Z286" s="59" t="str">
        <x:f>IFERROR(IF(OR($N286="ĐÃ GHÉP - AUTO",$N286="ĐÃ GHÉP - QUY TẮC"),IF($V286="","",IF($T286="THÙNG",$V286,$V286*$F286)),""),"")</x:f>
      </x:c>
      <x:c r="AA286" s="28" t="str">
        <x:f>IFERROR(IF(OR($K286="",$K286=0,$Y286=""),"",($Y286-$K286)/$K286),"")</x:f>
      </x:c>
      <x:c r="AB286" s="37" t="str">
        <x:f>IFERROR(IF($N286="CẦN DUYỆT","DUYỆT MAP",IF($N286="CHƯA CÓ GIÁ LẺ","THIẾU GIÁ",IF(OR($K286="",$K286=0,$Y286=""),"OK",IF(ABS(($Y286-$K286)/$K286)&gt;0.15,"LỆCH GIÁ CŨ","OK")))),"OK")</x:f>
        <x:v>THIẾU GIÁ</x:v>
      </x:c>
      <x:c r="AC286" s="30" t="str">
        <x:v>ứng viên gần nhất=SIRO ĐĐ hoàng kim; score=0.064</x:v>
      </x:c>
      <x:c r="AD286" s="37" t="str">
        <x:v>SRKWIV</x:v>
      </x:c>
      <x:c r="AE286" s="38" t="str">
        <x:v>SRKWIVT</x:v>
      </x:c>
      <x:c r="AF286" s="123" t="n">
        <x:v>2650</x:v>
      </x:c>
      <x:c r="AG286" s="112" t="str">
        <x:v>g</x:v>
      </x:c>
      <x:c r="AH286" s="112" t="str">
        <x:v>BÌNH</x:v>
      </x:c>
      <x:c r="AI286" s="112" t="str">
        <x:v>2650 g / BÌNH</x:v>
      </x:c>
      <x:c r="AJ286" s="120" t="n">
        <x:v>85000</x:v>
      </x:c>
      <x:c r="AK286" s="120"/>
      <x:c r="AL286" s="120" t="n">
        <x:v>85000</x:v>
      </x:c>
      <x:c r="AM286" s="112" t="str">
        <x:v>BỔ SUNG GIÁ</x:v>
      </x:c>
      <x:c r="AN286" s="126" t="n">
        <x:v>626</x:v>
      </x:c>
      <x:c r="AO286" s="126" t="n">
        <x:v>627</x:v>
      </x:c>
      <x:c r="AP286" s="113" t="str">
        <x:v>6 BÌNH / THÙNG</x:v>
      </x:c>
    </x:row>
    <x:row r="287">
      <x:c r="A287" s="71" t="str">
        <x:v>SIRO A+ KIWI</x:v>
      </x:c>
      <x:c r="B287" s="30" t="str">
        <x:v>SIRO A+ KIWI - THÙNG</x:v>
      </x:c>
      <x:c r="C287" s="37" t="str">
        <x:v>SRAKWI</x:v>
      </x:c>
      <x:c r="D287" s="37" t="str">
        <x:v>SRAKWIT</x:v>
      </x:c>
      <x:c r="E287" s="37" t="str">
        <x:v>SRAKWIT</x:v>
      </x:c>
      <x:c r="F287" s="37" t="n">
        <x:v>24</x:v>
      </x:c>
      <x:c r="G287" s="37" t="n">
        <x:v>16000</x:v>
      </x:c>
      <x:c r="H287" s="37" t="str">
        <x:v>g</x:v>
      </x:c>
      <x:c r="I287" s="37" t="str">
        <x:v>THÙNG</x:v>
      </x:c>
      <x:c r="J287" s="59" t="n">
        <x:v>612000</x:v>
      </x:c>
      <x:c r="K287" s="59" t="n">
        <x:v>0</x:v>
      </x:c>
      <x:c r="L287" s="59" t="n">
        <x:v>0</x:v>
      </x:c>
      <x:c r="M287" s="37" t="str">
        <x:v>Siro</x:v>
      </x:c>
      <x:c r="N287" s="37" t="str">
        <x:v>CHƯA CÓ GIÁ LẺ</x:v>
      </x:c>
      <x:c r="O287" s="61" t="n">
        <x:v>0.056</x:v>
      </x:c>
      <x:c r="P287" s="37"/>
      <x:c r="Q287" s="30"/>
      <x:c r="R287" s="30"/>
      <x:c r="S287" s="30"/>
      <x:c r="T287" s="37"/>
      <x:c r="U287" s="59"/>
      <x:c r="V287" s="59"/>
      <x:c r="W287" s="117" t="n">
        <x:v>27000</x:v>
      </x:c>
      <x:c r="X287" s="59" t="str">
        <x:f>IFERROR(IF(OR($N287="ĐÃ GHÉP - AUTO",$N287="ĐÃ GHÉP - QUY TẮC"),IF($V287="","",IF($T287="THÙNG",$V287/$F287,$V287)),""),"")</x:f>
      </x:c>
      <x:c r="Y287" s="117" t="n">
        <x:f>IF(OR(W287="",F287=""),"",W287*F287)</x:f>
        <x:v>648000</x:v>
      </x:c>
      <x:c r="Z287" s="59" t="str">
        <x:f>IFERROR(IF(OR($N287="ĐÃ GHÉP - AUTO",$N287="ĐÃ GHÉP - QUY TẮC"),IF($V287="","",IF($T287="THÙNG",$V287,$V287*$F287)),""),"")</x:f>
      </x:c>
      <x:c r="AA287" s="28" t="str">
        <x:f>IFERROR(IF(OR($K287="",$K287=0,$Y287=""),"",($Y287-$K287)/$K287),"")</x:f>
      </x:c>
      <x:c r="AB287" s="37" t="str">
        <x:f>IFERROR(IF($N287="CẦN DUYỆT","DUYỆT MAP",IF($N287="CHƯA CÓ GIÁ LẺ","THIẾU GIÁ",IF(OR($K287="",$K287=0,$Y287=""),"OK",IF(ABS(($Y287-$K287)/$K287)&gt;0.15,"LỆCH GIÁ CŨ","OK")))),"OK")</x:f>
        <x:v>THIẾU GIÁ</x:v>
      </x:c>
      <x:c r="AC287" s="30" t="str">
        <x:v>ứng viên gần nhất=Siro Carisa; score=0.056</x:v>
      </x:c>
      <x:c r="AD287" s="37" t="str">
        <x:v>SRAKWI</x:v>
      </x:c>
      <x:c r="AE287" s="38" t="str">
        <x:v>SRAKWIT</x:v>
      </x:c>
      <x:c r="AF287" s="123" t="n">
        <x:v>0</x:v>
      </x:c>
      <x:c r="AG287" s="112" t="str">
        <x:v>g</x:v>
      </x:c>
      <x:c r="AH287" s="112" t="str">
        <x:v>CHAI</x:v>
      </x:c>
      <x:c r="AI287" s="112" t="str">
        <x:v>0 g / CHAI</x:v>
      </x:c>
      <x:c r="AJ287" s="120" t="n">
        <x:v>27000</x:v>
      </x:c>
      <x:c r="AK287" s="120"/>
      <x:c r="AL287" s="120" t="n">
        <x:v>27000</x:v>
      </x:c>
      <x:c r="AM287" s="112" t="str">
        <x:v>BỔ SUNG GIÁ</x:v>
      </x:c>
      <x:c r="AN287" s="126" t="n">
        <x:v>628</x:v>
      </x:c>
      <x:c r="AO287" s="126" t="n">
        <x:v>629</x:v>
      </x:c>
      <x:c r="AP287" s="113" t="str">
        <x:v>24 CHAI / THÙNG</x:v>
      </x:c>
    </x:row>
    <x:row r="288">
      <x:c r="A288" s="71" t="str">
        <x:v>SIRO GOLD 2L VỎ CAM</x:v>
      </x:c>
      <x:c r="B288" s="30" t="str">
        <x:v>SIRO GOLD 2L VỎ CAM - THÙNG</x:v>
      </x:c>
      <x:c r="C288" s="37" t="str">
        <x:v>SRG2VC</x:v>
      </x:c>
      <x:c r="D288" s="37" t="str">
        <x:v>SRG2VCT</x:v>
      </x:c>
      <x:c r="E288" s="37" t="str">
        <x:v>SRG2VCT</x:v>
      </x:c>
      <x:c r="F288" s="37" t="n">
        <x:v>6</x:v>
      </x:c>
      <x:c r="G288" s="37" t="n">
        <x:v>16000</x:v>
      </x:c>
      <x:c r="H288" s="37" t="str">
        <x:v>g</x:v>
      </x:c>
      <x:c r="I288" s="37" t="str">
        <x:v>THÙNG</x:v>
      </x:c>
      <x:c r="J288" s="59" t="n">
        <x:v>0</x:v>
      </x:c>
      <x:c r="K288" s="59" t="n">
        <x:v>0</x:v>
      </x:c>
      <x:c r="L288" s="59" t="n">
        <x:v>0</x:v>
      </x:c>
      <x:c r="M288" s="37" t="str">
        <x:v>Siro</x:v>
      </x:c>
      <x:c r="N288" s="37" t="str">
        <x:v>ĐÃ GHÉP - AUTO</x:v>
      </x:c>
      <x:c r="O288" s="61" t="n">
        <x:v>0.802</x:v>
      </x:c>
      <x:c r="P288" s="37" t="n">
        <x:v>7</x:v>
      </x:c>
      <x:c r="Q288" s="30" t="str">
        <x:v>Siro Gold 2l</x:v>
      </x:c>
      <x:c r="R288" s="30" t="str">
        <x:v>Thùng 4 bình</x:v>
      </x:c>
      <x:c r="S288" s="30" t="str">
        <x:v>bình</x:v>
      </x:c>
      <x:c r="T288" s="37" t="str">
        <x:v>ĐƠN VỊ</x:v>
      </x:c>
      <x:c r="U288" s="59" t="n">
        <x:v>140000</x:v>
      </x:c>
      <x:c r="V288" s="59"/>
      <x:c r="W288" s="117" t="n">
        <x:v>140000</x:v>
      </x:c>
      <x:c r="X288" s="59" t="str">
        <x:f>IFERROR(IF(OR($N288="ĐÃ GHÉP - AUTO",$N288="ĐÃ GHÉP - QUY TẮC"),IF($V288="","",IF($T288="THÙNG",$V288/$F288,$V288)),""),"")</x:f>
      </x:c>
      <x:c r="Y288" s="117" t="n">
        <x:f>IF(OR(W288="",F288=""),"",W288*F288)</x:f>
        <x:v>840000</x:v>
      </x:c>
      <x:c r="Z288" s="59" t="str">
        <x:f>IFERROR(IF(OR($N288="ĐÃ GHÉP - AUTO",$N288="ĐÃ GHÉP - QUY TẮC"),IF($V288="","",IF($T288="THÙNG",$V288,$V288*$F288)),""),"")</x:f>
      </x:c>
      <x:c r="AA288" s="28" t="str">
        <x:f>IFERROR(IF(OR($K288="",$K288=0,$Y288=""),"",($Y288-$K288)/$K288),"")</x:f>
      </x:c>
      <x:c r="AB288" s="37" t="str">
        <x:f>IFERROR(IF($N288="CẦN DUYỆT","DUYỆT MAP",IF($N288="CHƯA CÓ GIÁ LẺ","THIẾU GIÁ",IF(OR($K288="",$K288=0,$Y288=""),"OK",IF(ABS(($Y288-$K288)/$K288)&gt;0.15,"LỆCH GIÁ CŨ","OK")))),"OK")</x:f>
        <x:v>OK</x:v>
      </x:c>
      <x:c r="AC288" s="30" t="str">
        <x:v>score=0.802; gap=0.115</x:v>
      </x:c>
      <x:c r="AD288" s="37" t="str">
        <x:v>SRG2VC</x:v>
      </x:c>
      <x:c r="AE288" s="38" t="str">
        <x:v>SRG2VCT</x:v>
      </x:c>
      <x:c r="AF288" s="123" t="n">
        <x:v>2</x:v>
      </x:c>
      <x:c r="AG288" s="112" t="str">
        <x:v>kg</x:v>
      </x:c>
      <x:c r="AH288" s="112" t="str">
        <x:v>CAN</x:v>
      </x:c>
      <x:c r="AI288" s="112" t="str">
        <x:v>2 kg / CAN</x:v>
      </x:c>
      <x:c r="AJ288" s="120" t="n">
        <x:v>0</x:v>
      </x:c>
      <x:c r="AK288" s="120" t="n">
        <x:v>140000</x:v>
      </x:c>
      <x:c r="AL288" s="120" t="n">
        <x:v>140000</x:v>
      </x:c>
      <x:c r="AM288" s="112" t="str">
        <x:v>DS SP GIÁ 0 - GIỮ GIÁ CŨ</x:v>
      </x:c>
      <x:c r="AN288" s="126" t="n">
        <x:v>630</x:v>
      </x:c>
      <x:c r="AO288" s="126" t="n">
        <x:v>631</x:v>
      </x:c>
      <x:c r="AP288" s="113" t="str">
        <x:v>6 CAN / THÙNG</x:v>
      </x:c>
    </x:row>
    <x:row r="289">
      <x:c r="A289" s="71" t="str">
        <x:v>SIRO GOLD 2L VIỆT QUỐC</x:v>
      </x:c>
      <x:c r="B289" s="30" t="str">
        <x:v>SIRO GOLD 2L VIỆT QUỐC - THÙNG</x:v>
      </x:c>
      <x:c r="C289" s="37" t="str">
        <x:v>SRG2VQ</x:v>
      </x:c>
      <x:c r="D289" s="37" t="str">
        <x:v>SRG2VQT</x:v>
      </x:c>
      <x:c r="E289" s="37" t="str">
        <x:v>SRG2VQT</x:v>
      </x:c>
      <x:c r="F289" s="37" t="n">
        <x:v>6</x:v>
      </x:c>
      <x:c r="G289" s="37" t="n">
        <x:v>16000</x:v>
      </x:c>
      <x:c r="H289" s="37" t="str">
        <x:v>g</x:v>
      </x:c>
      <x:c r="I289" s="37" t="str">
        <x:v>THÙNG</x:v>
      </x:c>
      <x:c r="J289" s="59" t="n">
        <x:v>0</x:v>
      </x:c>
      <x:c r="K289" s="59" t="n">
        <x:v>0</x:v>
      </x:c>
      <x:c r="L289" s="59" t="n">
        <x:v>0</x:v>
      </x:c>
      <x:c r="M289" s="37" t="str">
        <x:v>Siro</x:v>
      </x:c>
      <x:c r="N289" s="37" t="str">
        <x:v>ĐÃ GHÉP - AUTO</x:v>
      </x:c>
      <x:c r="O289" s="61" t="n">
        <x:v>0.809</x:v>
      </x:c>
      <x:c r="P289" s="37" t="n">
        <x:v>7</x:v>
      </x:c>
      <x:c r="Q289" s="30" t="str">
        <x:v>Siro Gold 2l</x:v>
      </x:c>
      <x:c r="R289" s="30" t="str">
        <x:v>Thùng 4 bình</x:v>
      </x:c>
      <x:c r="S289" s="30" t="str">
        <x:v>bình</x:v>
      </x:c>
      <x:c r="T289" s="37" t="str">
        <x:v>ĐƠN VỊ</x:v>
      </x:c>
      <x:c r="U289" s="59" t="n">
        <x:v>140000</x:v>
      </x:c>
      <x:c r="V289" s="59"/>
      <x:c r="W289" s="117" t="n">
        <x:v>140000</x:v>
      </x:c>
      <x:c r="X289" s="59" t="str">
        <x:f>IFERROR(IF(OR($N289="ĐÃ GHÉP - AUTO",$N289="ĐÃ GHÉP - QUY TẮC"),IF($V289="","",IF($T289="THÙNG",$V289/$F289,$V289)),""),"")</x:f>
      </x:c>
      <x:c r="Y289" s="117" t="n">
        <x:f>IF(OR(W289="",F289=""),"",W289*F289)</x:f>
        <x:v>840000</x:v>
      </x:c>
      <x:c r="Z289" s="59" t="str">
        <x:f>IFERROR(IF(OR($N289="ĐÃ GHÉP - AUTO",$N289="ĐÃ GHÉP - QUY TẮC"),IF($V289="","",IF($T289="THÙNG",$V289,$V289*$F289)),""),"")</x:f>
      </x:c>
      <x:c r="AA289" s="28" t="str">
        <x:f>IFERROR(IF(OR($K289="",$K289=0,$Y289=""),"",($Y289-$K289)/$K289),"")</x:f>
      </x:c>
      <x:c r="AB289" s="37" t="str">
        <x:f>IFERROR(IF($N289="CẦN DUYỆT","DUYỆT MAP",IF($N289="CHƯA CÓ GIÁ LẺ","THIẾU GIÁ",IF(OR($K289="",$K289=0,$Y289=""),"OK",IF(ABS(($Y289-$K289)/$K289)&gt;0.15,"LỆCH GIÁ CŨ","OK")))),"OK")</x:f>
        <x:v>OK</x:v>
      </x:c>
      <x:c r="AC289" s="30" t="str">
        <x:v>score=0.809; gap=0.359</x:v>
      </x:c>
      <x:c r="AD289" s="37" t="str">
        <x:v>SRG2VQ</x:v>
      </x:c>
      <x:c r="AE289" s="38" t="str">
        <x:v>SRG2VQT</x:v>
      </x:c>
      <x:c r="AF289" s="123" t="n">
        <x:v>2</x:v>
      </x:c>
      <x:c r="AG289" s="112" t="str">
        <x:v>kg</x:v>
      </x:c>
      <x:c r="AH289" s="112" t="str">
        <x:v>CAN</x:v>
      </x:c>
      <x:c r="AI289" s="112" t="str">
        <x:v>2 kg / CAN</x:v>
      </x:c>
      <x:c r="AJ289" s="120" t="n">
        <x:v>140000</x:v>
      </x:c>
      <x:c r="AK289" s="120" t="n">
        <x:v>140000</x:v>
      </x:c>
      <x:c r="AL289" s="120" t="n">
        <x:v>140000</x:v>
      </x:c>
      <x:c r="AM289" s="112" t="str">
        <x:v>GIỮ NGUYÊN - ĐÃ KHỚP</x:v>
      </x:c>
      <x:c r="AN289" s="126" t="n">
        <x:v>632</x:v>
      </x:c>
      <x:c r="AO289" s="126" t="n">
        <x:v>633</x:v>
      </x:c>
      <x:c r="AP289" s="113" t="str">
        <x:v>6 CAN / THÙNG</x:v>
      </x:c>
    </x:row>
    <x:row r="290">
      <x:c r="A290" s="71" t="str">
        <x:v>SIRO GOLD 2L VẢI</x:v>
      </x:c>
      <x:c r="B290" s="30" t="str">
        <x:v>SIRO GOLD 2L VẢI - THÙNG</x:v>
      </x:c>
      <x:c r="C290" s="37" t="str">
        <x:v>SRG2VA</x:v>
      </x:c>
      <x:c r="D290" s="37" t="str">
        <x:v>SRG2VAT</x:v>
      </x:c>
      <x:c r="E290" s="37" t="str">
        <x:v>SRG2VAT</x:v>
      </x:c>
      <x:c r="F290" s="37" t="n">
        <x:v>6</x:v>
      </x:c>
      <x:c r="G290" s="37" t="n">
        <x:v>16000</x:v>
      </x:c>
      <x:c r="H290" s="37" t="str">
        <x:v>g</x:v>
      </x:c>
      <x:c r="I290" s="37" t="str">
        <x:v>THÙNG</x:v>
      </x:c>
      <x:c r="J290" s="59" t="n">
        <x:v>0</x:v>
      </x:c>
      <x:c r="K290" s="59" t="n">
        <x:v>0</x:v>
      </x:c>
      <x:c r="L290" s="59" t="n">
        <x:v>0</x:v>
      </x:c>
      <x:c r="M290" s="37" t="str">
        <x:v>Siro</x:v>
      </x:c>
      <x:c r="N290" s="37" t="str">
        <x:v>ĐÃ GHÉP - AUTO</x:v>
      </x:c>
      <x:c r="O290" s="61" t="n">
        <x:v>0.838</x:v>
      </x:c>
      <x:c r="P290" s="37" t="n">
        <x:v>7</x:v>
      </x:c>
      <x:c r="Q290" s="30" t="str">
        <x:v>Siro Gold 2l</x:v>
      </x:c>
      <x:c r="R290" s="30" t="str">
        <x:v>Thùng 4 bình</x:v>
      </x:c>
      <x:c r="S290" s="30" t="str">
        <x:v>bình</x:v>
      </x:c>
      <x:c r="T290" s="37" t="str">
        <x:v>ĐƠN VỊ</x:v>
      </x:c>
      <x:c r="U290" s="59" t="n">
        <x:v>140000</x:v>
      </x:c>
      <x:c r="V290" s="59"/>
      <x:c r="W290" s="117" t="n">
        <x:v>140000</x:v>
      </x:c>
      <x:c r="X290" s="59" t="str">
        <x:f>IFERROR(IF(OR($N290="ĐÃ GHÉP - AUTO",$N290="ĐÃ GHÉP - QUY TẮC"),IF($V290="","",IF($T290="THÙNG",$V290/$F290,$V290)),""),"")</x:f>
      </x:c>
      <x:c r="Y290" s="117" t="n">
        <x:f>IF(OR(W290="",F290=""),"",W290*F290)</x:f>
        <x:v>840000</x:v>
      </x:c>
      <x:c r="Z290" s="59" t="str">
        <x:f>IFERROR(IF(OR($N290="ĐÃ GHÉP - AUTO",$N290="ĐÃ GHÉP - QUY TẮC"),IF($V290="","",IF($T290="THÙNG",$V290,$V290*$F290)),""),"")</x:f>
      </x:c>
      <x:c r="AA290" s="28" t="str">
        <x:f>IFERROR(IF(OR($K290="",$K290=0,$Y290=""),"",($Y290-$K290)/$K290),"")</x:f>
      </x:c>
      <x:c r="AB290" s="37" t="str">
        <x:f>IFERROR(IF($N290="CẦN DUYỆT","DUYỆT MAP",IF($N290="CHƯA CÓ GIÁ LẺ","THIẾU GIÁ",IF(OR($K290="",$K290=0,$Y290=""),"OK",IF(ABS(($Y290-$K290)/$K290)&gt;0.15,"LỆCH GIÁ CŨ","OK")))),"OK")</x:f>
        <x:v>OK</x:v>
      </x:c>
      <x:c r="AC290" s="30" t="str">
        <x:v>score=0.838; gap=0.415</x:v>
      </x:c>
      <x:c r="AD290" s="37" t="str">
        <x:v>SRG2VA</x:v>
      </x:c>
      <x:c r="AE290" s="38" t="str">
        <x:v>SRG2VAT</x:v>
      </x:c>
      <x:c r="AF290" s="123" t="n">
        <x:v>2</x:v>
      </x:c>
      <x:c r="AG290" s="112" t="str">
        <x:v>kg</x:v>
      </x:c>
      <x:c r="AH290" s="112" t="str">
        <x:v>CAN</x:v>
      </x:c>
      <x:c r="AI290" s="112" t="str">
        <x:v>2 kg / CAN</x:v>
      </x:c>
      <x:c r="AJ290" s="120" t="n">
        <x:v>140000</x:v>
      </x:c>
      <x:c r="AK290" s="120" t="n">
        <x:v>140000</x:v>
      </x:c>
      <x:c r="AL290" s="120" t="n">
        <x:v>140000</x:v>
      </x:c>
      <x:c r="AM290" s="112" t="str">
        <x:v>GIỮ NGUYÊN - ĐÃ KHỚP</x:v>
      </x:c>
      <x:c r="AN290" s="126" t="n">
        <x:v>634</x:v>
      </x:c>
      <x:c r="AO290" s="126" t="n">
        <x:v>635</x:v>
      </x:c>
      <x:c r="AP290" s="113" t="str">
        <x:v>6 CAN / THÙNG</x:v>
      </x:c>
    </x:row>
    <x:row r="291">
      <x:c r="A291" s="71" t="str">
        <x:v>SIRO GOLD 2L ĐÀO</x:v>
      </x:c>
      <x:c r="B291" s="30" t="str">
        <x:v>SIRO GOLD 2L ĐÀO - THÙNG</x:v>
      </x:c>
      <x:c r="C291" s="37" t="str">
        <x:v>SRG2DO</x:v>
      </x:c>
      <x:c r="D291" s="37" t="str">
        <x:v>SRG2DOT</x:v>
      </x:c>
      <x:c r="E291" s="37" t="str">
        <x:v>SRG2DOT</x:v>
      </x:c>
      <x:c r="F291" s="37" t="n">
        <x:v>6</x:v>
      </x:c>
      <x:c r="G291" s="37" t="n">
        <x:v>16000</x:v>
      </x:c>
      <x:c r="H291" s="37" t="str">
        <x:v>g</x:v>
      </x:c>
      <x:c r="I291" s="37" t="str">
        <x:v>THÙNG</x:v>
      </x:c>
      <x:c r="J291" s="59" t="n">
        <x:v>0</x:v>
      </x:c>
      <x:c r="K291" s="59" t="n">
        <x:v>0</x:v>
      </x:c>
      <x:c r="L291" s="59" t="n">
        <x:v>0</x:v>
      </x:c>
      <x:c r="M291" s="37" t="str">
        <x:v>Siro</x:v>
      </x:c>
      <x:c r="N291" s="37" t="str">
        <x:v>ĐÃ GHÉP - AUTO</x:v>
      </x:c>
      <x:c r="O291" s="61" t="n">
        <x:v>0.839</x:v>
      </x:c>
      <x:c r="P291" s="37" t="n">
        <x:v>7</x:v>
      </x:c>
      <x:c r="Q291" s="30" t="str">
        <x:v>Siro Gold 2l</x:v>
      </x:c>
      <x:c r="R291" s="30" t="str">
        <x:v>Thùng 4 bình</x:v>
      </x:c>
      <x:c r="S291" s="30" t="str">
        <x:v>bình</x:v>
      </x:c>
      <x:c r="T291" s="37" t="str">
        <x:v>ĐƠN VỊ</x:v>
      </x:c>
      <x:c r="U291" s="59" t="n">
        <x:v>140000</x:v>
      </x:c>
      <x:c r="V291" s="59"/>
      <x:c r="W291" s="117" t="n">
        <x:v>140000</x:v>
      </x:c>
      <x:c r="X291" s="59" t="str">
        <x:f>IFERROR(IF(OR($N291="ĐÃ GHÉP - AUTO",$N291="ĐÃ GHÉP - QUY TẮC"),IF($V291="","",IF($T291="THÙNG",$V291/$F291,$V291)),""),"")</x:f>
      </x:c>
      <x:c r="Y291" s="117" t="n">
        <x:f>IF(OR(W291="",F291=""),"",W291*F291)</x:f>
        <x:v>840000</x:v>
      </x:c>
      <x:c r="Z291" s="59" t="str">
        <x:f>IFERROR(IF(OR($N291="ĐÃ GHÉP - AUTO",$N291="ĐÃ GHÉP - QUY TẮC"),IF($V291="","",IF($T291="THÙNG",$V291,$V291*$F291)),""),"")</x:f>
      </x:c>
      <x:c r="AA291" s="28" t="str">
        <x:f>IFERROR(IF(OR($K291="",$K291=0,$Y291=""),"",($Y291-$K291)/$K291),"")</x:f>
      </x:c>
      <x:c r="AB291" s="37" t="str">
        <x:f>IFERROR(IF($N291="CẦN DUYỆT","DUYỆT MAP",IF($N291="CHƯA CÓ GIÁ LẺ","THIẾU GIÁ",IF(OR($K291="",$K291=0,$Y291=""),"OK",IF(ABS(($Y291-$K291)/$K291)&gt;0.15,"LỆCH GIÁ CŨ","OK")))),"OK")</x:f>
        <x:v>OK</x:v>
      </x:c>
      <x:c r="AC291" s="30" t="str">
        <x:v>score=0.839; gap=0.416</x:v>
      </x:c>
      <x:c r="AD291" s="37" t="str">
        <x:v>SRG2DO</x:v>
      </x:c>
      <x:c r="AE291" s="38" t="str">
        <x:v>SRG2DOT</x:v>
      </x:c>
      <x:c r="AF291" s="123" t="n">
        <x:v>2</x:v>
      </x:c>
      <x:c r="AG291" s="112" t="str">
        <x:v>kg</x:v>
      </x:c>
      <x:c r="AH291" s="112" t="str">
        <x:v>CAN</x:v>
      </x:c>
      <x:c r="AI291" s="112" t="str">
        <x:v>2 kg / CAN</x:v>
      </x:c>
      <x:c r="AJ291" s="120" t="n">
        <x:v>140000</x:v>
      </x:c>
      <x:c r="AK291" s="120" t="n">
        <x:v>140000</x:v>
      </x:c>
      <x:c r="AL291" s="120" t="n">
        <x:v>140000</x:v>
      </x:c>
      <x:c r="AM291" s="112" t="str">
        <x:v>GIỮ NGUYÊN - ĐÃ KHỚP</x:v>
      </x:c>
      <x:c r="AN291" s="126" t="n">
        <x:v>636</x:v>
      </x:c>
      <x:c r="AO291" s="126" t="n">
        <x:v>637</x:v>
      </x:c>
      <x:c r="AP291" s="113" t="str">
        <x:v>6 CAN / THÙNG</x:v>
      </x:c>
    </x:row>
    <x:row r="292">
      <x:c r="A292" s="71" t="str">
        <x:v>SIRO GOLD 2L DƯA LƯỚI</x:v>
      </x:c>
      <x:c r="B292" s="30" t="str">
        <x:v>SIRO GOLD 2L DƯA LƯỚI - THÙNG</x:v>
      </x:c>
      <x:c r="C292" s="37" t="str">
        <x:v>SRG2DL</x:v>
      </x:c>
      <x:c r="D292" s="37" t="str">
        <x:v>SRG2DLT</x:v>
      </x:c>
      <x:c r="E292" s="37" t="str">
        <x:v>SRG2DLT</x:v>
      </x:c>
      <x:c r="F292" s="37" t="n">
        <x:v>6</x:v>
      </x:c>
      <x:c r="G292" s="37" t="n">
        <x:v>16000</x:v>
      </x:c>
      <x:c r="H292" s="37" t="str">
        <x:v>g</x:v>
      </x:c>
      <x:c r="I292" s="37" t="str">
        <x:v>THÙNG</x:v>
      </x:c>
      <x:c r="J292" s="59" t="n">
        <x:v>0</x:v>
      </x:c>
      <x:c r="K292" s="59" t="n">
        <x:v>0</x:v>
      </x:c>
      <x:c r="L292" s="59" t="n">
        <x:v>0</x:v>
      </x:c>
      <x:c r="M292" s="37" t="str">
        <x:v>Siro</x:v>
      </x:c>
      <x:c r="N292" s="37" t="str">
        <x:v>ĐÃ GHÉP - AUTO</x:v>
      </x:c>
      <x:c r="O292" s="61" t="n">
        <x:v>0.813</x:v>
      </x:c>
      <x:c r="P292" s="37" t="n">
        <x:v>7</x:v>
      </x:c>
      <x:c r="Q292" s="30" t="str">
        <x:v>Siro Gold 2l</x:v>
      </x:c>
      <x:c r="R292" s="30" t="str">
        <x:v>Thùng 4 bình</x:v>
      </x:c>
      <x:c r="S292" s="30" t="str">
        <x:v>bình</x:v>
      </x:c>
      <x:c r="T292" s="37" t="str">
        <x:v>ĐƠN VỊ</x:v>
      </x:c>
      <x:c r="U292" s="59" t="n">
        <x:v>140000</x:v>
      </x:c>
      <x:c r="V292" s="59"/>
      <x:c r="W292" s="117" t="n">
        <x:v>140000</x:v>
      </x:c>
      <x:c r="X292" s="59" t="str">
        <x:f>IFERROR(IF(OR($N292="ĐÃ GHÉP - AUTO",$N292="ĐÃ GHÉP - QUY TẮC"),IF($V292="","",IF($T292="THÙNG",$V292/$F292,$V292)),""),"")</x:f>
      </x:c>
      <x:c r="Y292" s="117" t="n">
        <x:f>IF(OR(W292="",F292=""),"",W292*F292)</x:f>
        <x:v>840000</x:v>
      </x:c>
      <x:c r="Z292" s="59" t="str">
        <x:f>IFERROR(IF(OR($N292="ĐÃ GHÉP - AUTO",$N292="ĐÃ GHÉP - QUY TẮC"),IF($V292="","",IF($T292="THÙNG",$V292,$V292*$F292)),""),"")</x:f>
      </x:c>
      <x:c r="AA292" s="28" t="str">
        <x:f>IFERROR(IF(OR($K292="",$K292=0,$Y292=""),"",($Y292-$K292)/$K292),"")</x:f>
      </x:c>
      <x:c r="AB292" s="37" t="str">
        <x:f>IFERROR(IF($N292="CẦN DUYỆT","DUYỆT MAP",IF($N292="CHƯA CÓ GIÁ LẺ","THIẾU GIÁ",IF(OR($K292="",$K292=0,$Y292=""),"OK",IF(ABS(($Y292-$K292)/$K292)&gt;0.15,"LỆCH GIÁ CŨ","OK")))),"OK")</x:f>
        <x:v>OK</x:v>
      </x:c>
      <x:c r="AC292" s="30" t="str">
        <x:v>score=0.813; gap=0.362</x:v>
      </x:c>
      <x:c r="AD292" s="37" t="str">
        <x:v>SRG2DL</x:v>
      </x:c>
      <x:c r="AE292" s="38" t="str">
        <x:v>SRG2DLT</x:v>
      </x:c>
      <x:c r="AF292" s="123" t="n">
        <x:v>2</x:v>
      </x:c>
      <x:c r="AG292" s="112" t="str">
        <x:v>kg</x:v>
      </x:c>
      <x:c r="AH292" s="112" t="str">
        <x:v>CAN</x:v>
      </x:c>
      <x:c r="AI292" s="112" t="str">
        <x:v>2 kg / CAN</x:v>
      </x:c>
      <x:c r="AJ292" s="120" t="n">
        <x:v>140000</x:v>
      </x:c>
      <x:c r="AK292" s="120" t="n">
        <x:v>140000</x:v>
      </x:c>
      <x:c r="AL292" s="120" t="n">
        <x:v>140000</x:v>
      </x:c>
      <x:c r="AM292" s="112" t="str">
        <x:v>GIỮ NGUYÊN - ĐÃ KHỚP</x:v>
      </x:c>
      <x:c r="AN292" s="126" t="n">
        <x:v>638</x:v>
      </x:c>
      <x:c r="AO292" s="126" t="n">
        <x:v>639</x:v>
      </x:c>
      <x:c r="AP292" s="113" t="str">
        <x:v>6 CAN / THÙNG</x:v>
      </x:c>
    </x:row>
    <x:row r="293">
      <x:c r="A293" s="71" t="str">
        <x:v>SIRO GOLD 2L DÂU</x:v>
      </x:c>
      <x:c r="B293" s="30" t="str">
        <x:v>SIRO GOLD 2L DÂU - THÙNG</x:v>
      </x:c>
      <x:c r="C293" s="37" t="str">
        <x:v>SRG2DA</x:v>
      </x:c>
      <x:c r="D293" s="37" t="str">
        <x:v>SRG2DAT</x:v>
      </x:c>
      <x:c r="E293" s="37" t="str">
        <x:v>SRG2DAT</x:v>
      </x:c>
      <x:c r="F293" s="37" t="n">
        <x:v>6</x:v>
      </x:c>
      <x:c r="G293" s="37" t="n">
        <x:v>16000</x:v>
      </x:c>
      <x:c r="H293" s="37" t="str">
        <x:v>g</x:v>
      </x:c>
      <x:c r="I293" s="37" t="str">
        <x:v>THÙNG</x:v>
      </x:c>
      <x:c r="J293" s="59" t="n">
        <x:v>0</x:v>
      </x:c>
      <x:c r="K293" s="59" t="n">
        <x:v>0</x:v>
      </x:c>
      <x:c r="L293" s="59" t="n">
        <x:v>0</x:v>
      </x:c>
      <x:c r="M293" s="37" t="str">
        <x:v>Siro</x:v>
      </x:c>
      <x:c r="N293" s="37" t="str">
        <x:v>ĐÃ GHÉP - AUTO</x:v>
      </x:c>
      <x:c r="O293" s="61" t="n">
        <x:v>0.839</x:v>
      </x:c>
      <x:c r="P293" s="37" t="n">
        <x:v>7</x:v>
      </x:c>
      <x:c r="Q293" s="30" t="str">
        <x:v>Siro Gold 2l</x:v>
      </x:c>
      <x:c r="R293" s="30" t="str">
        <x:v>Thùng 4 bình</x:v>
      </x:c>
      <x:c r="S293" s="30" t="str">
        <x:v>bình</x:v>
      </x:c>
      <x:c r="T293" s="37" t="str">
        <x:v>ĐƠN VỊ</x:v>
      </x:c>
      <x:c r="U293" s="59" t="n">
        <x:v>140000</x:v>
      </x:c>
      <x:c r="V293" s="59"/>
      <x:c r="W293" s="117" t="n">
        <x:v>140000</x:v>
      </x:c>
      <x:c r="X293" s="59" t="str">
        <x:f>IFERROR(IF(OR($N293="ĐÃ GHÉP - AUTO",$N293="ĐÃ GHÉP - QUY TẮC"),IF($V293="","",IF($T293="THÙNG",$V293/$F293,$V293)),""),"")</x:f>
      </x:c>
      <x:c r="Y293" s="117" t="n">
        <x:f>IF(OR(W293="",F293=""),"",W293*F293)</x:f>
        <x:v>840000</x:v>
      </x:c>
      <x:c r="Z293" s="59" t="str">
        <x:f>IFERROR(IF(OR($N293="ĐÃ GHÉP - AUTO",$N293="ĐÃ GHÉP - QUY TẮC"),IF($V293="","",IF($T293="THÙNG",$V293,$V293*$F293)),""),"")</x:f>
      </x:c>
      <x:c r="AA293" s="28" t="str">
        <x:f>IFERROR(IF(OR($K293="",$K293=0,$Y293=""),"",($Y293-$K293)/$K293),"")</x:f>
      </x:c>
      <x:c r="AB293" s="37" t="str">
        <x:f>IFERROR(IF($N293="CẦN DUYỆT","DUYỆT MAP",IF($N293="CHƯA CÓ GIÁ LẺ","THIẾU GIÁ",IF(OR($K293="",$K293=0,$Y293=""),"OK",IF(ABS(($Y293-$K293)/$K293)&gt;0.15,"LỆCH GIÁ CŨ","OK")))),"OK")</x:f>
        <x:v>OK</x:v>
      </x:c>
      <x:c r="AC293" s="30" t="str">
        <x:v>score=0.839; gap=0.415</x:v>
      </x:c>
      <x:c r="AD293" s="37" t="str">
        <x:v>SRG2DA</x:v>
      </x:c>
      <x:c r="AE293" s="38" t="str">
        <x:v>SRG2DAT</x:v>
      </x:c>
      <x:c r="AF293" s="123" t="n">
        <x:v>2</x:v>
      </x:c>
      <x:c r="AG293" s="112" t="str">
        <x:v>kg</x:v>
      </x:c>
      <x:c r="AH293" s="112" t="str">
        <x:v>CAN</x:v>
      </x:c>
      <x:c r="AI293" s="112" t="str">
        <x:v>2 kg / CAN</x:v>
      </x:c>
      <x:c r="AJ293" s="120" t="n">
        <x:v>140000</x:v>
      </x:c>
      <x:c r="AK293" s="120" t="n">
        <x:v>140000</x:v>
      </x:c>
      <x:c r="AL293" s="120" t="n">
        <x:v>140000</x:v>
      </x:c>
      <x:c r="AM293" s="112" t="str">
        <x:v>GIỮ NGUYÊN - ĐÃ KHỚP</x:v>
      </x:c>
      <x:c r="AN293" s="126" t="n">
        <x:v>640</x:v>
      </x:c>
      <x:c r="AO293" s="126" t="n">
        <x:v>641</x:v>
      </x:c>
      <x:c r="AP293" s="113" t="str">
        <x:v>6 CAN / THÙNG</x:v>
      </x:c>
    </x:row>
    <x:row r="294">
      <x:c r="A294" s="71" t="str">
        <x:v>SIRO GOLD 2L CHANH</x:v>
      </x:c>
      <x:c r="B294" s="30" t="str">
        <x:v>SIRO GOLD 2L CHANH - THÙNG</x:v>
      </x:c>
      <x:c r="C294" s="37" t="str">
        <x:v>SRG2CH</x:v>
      </x:c>
      <x:c r="D294" s="37" t="str">
        <x:v>SRG2CHT</x:v>
      </x:c>
      <x:c r="E294" s="37" t="str">
        <x:v>SRG2CHT</x:v>
      </x:c>
      <x:c r="F294" s="37" t="n">
        <x:v>6</x:v>
      </x:c>
      <x:c r="G294" s="37" t="n">
        <x:v>16000</x:v>
      </x:c>
      <x:c r="H294" s="37" t="str">
        <x:v>g</x:v>
      </x:c>
      <x:c r="I294" s="37" t="str">
        <x:v>THÙNG</x:v>
      </x:c>
      <x:c r="J294" s="59" t="n">
        <x:v>0</x:v>
      </x:c>
      <x:c r="K294" s="59" t="n">
        <x:v>0</x:v>
      </x:c>
      <x:c r="L294" s="59" t="n">
        <x:v>0</x:v>
      </x:c>
      <x:c r="M294" s="37" t="str">
        <x:v>Siro</x:v>
      </x:c>
      <x:c r="N294" s="37" t="str">
        <x:v>ĐÃ GHÉP - AUTO</x:v>
      </x:c>
      <x:c r="O294" s="61" t="n">
        <x:v>0.837</x:v>
      </x:c>
      <x:c r="P294" s="37" t="n">
        <x:v>7</x:v>
      </x:c>
      <x:c r="Q294" s="30" t="str">
        <x:v>Siro Gold 2l</x:v>
      </x:c>
      <x:c r="R294" s="30" t="str">
        <x:v>Thùng 4 bình</x:v>
      </x:c>
      <x:c r="S294" s="30" t="str">
        <x:v>bình</x:v>
      </x:c>
      <x:c r="T294" s="37" t="str">
        <x:v>ĐƠN VỊ</x:v>
      </x:c>
      <x:c r="U294" s="59" t="n">
        <x:v>140000</x:v>
      </x:c>
      <x:c r="V294" s="59"/>
      <x:c r="W294" s="117" t="n">
        <x:v>140000</x:v>
      </x:c>
      <x:c r="X294" s="59" t="str">
        <x:f>IFERROR(IF(OR($N294="ĐÃ GHÉP - AUTO",$N294="ĐÃ GHÉP - QUY TẮC"),IF($V294="","",IF($T294="THÙNG",$V294/$F294,$V294)),""),"")</x:f>
      </x:c>
      <x:c r="Y294" s="117" t="n">
        <x:f>IF(OR(W294="",F294=""),"",W294*F294)</x:f>
        <x:v>840000</x:v>
      </x:c>
      <x:c r="Z294" s="59" t="str">
        <x:f>IFERROR(IF(OR($N294="ĐÃ GHÉP - AUTO",$N294="ĐÃ GHÉP - QUY TẮC"),IF($V294="","",IF($T294="THÙNG",$V294,$V294*$F294)),""),"")</x:f>
      </x:c>
      <x:c r="AA294" s="28" t="str">
        <x:f>IFERROR(IF(OR($K294="",$K294=0,$Y294=""),"",($Y294-$K294)/$K294),"")</x:f>
      </x:c>
      <x:c r="AB294" s="37" t="str">
        <x:f>IFERROR(IF($N294="CẦN DUYỆT","DUYỆT MAP",IF($N294="CHƯA CÓ GIÁ LẺ","THIẾU GIÁ",IF(OR($K294="",$K294=0,$Y294=""),"OK",IF(ABS(($Y294-$K294)/$K294)&gt;0.15,"LỆCH GIÁ CŨ","OK")))),"OK")</x:f>
        <x:v>OK</x:v>
      </x:c>
      <x:c r="AC294" s="30" t="str">
        <x:v>score=0.837; gap=0.417</x:v>
      </x:c>
      <x:c r="AD294" s="37" t="str">
        <x:v>SRG2CH</x:v>
      </x:c>
      <x:c r="AE294" s="38" t="str">
        <x:v>SRG2CHT</x:v>
      </x:c>
      <x:c r="AF294" s="123" t="n">
        <x:v>2</x:v>
      </x:c>
      <x:c r="AG294" s="112" t="str">
        <x:v>kg</x:v>
      </x:c>
      <x:c r="AH294" s="112" t="str">
        <x:v>CAN</x:v>
      </x:c>
      <x:c r="AI294" s="112" t="str">
        <x:v>2 kg / CAN</x:v>
      </x:c>
      <x:c r="AJ294" s="120" t="n">
        <x:v>140000</x:v>
      </x:c>
      <x:c r="AK294" s="120" t="n">
        <x:v>140000</x:v>
      </x:c>
      <x:c r="AL294" s="120" t="n">
        <x:v>140000</x:v>
      </x:c>
      <x:c r="AM294" s="112" t="str">
        <x:v>GIỮ NGUYÊN - ĐÃ KHỚP</x:v>
      </x:c>
      <x:c r="AN294" s="126" t="n">
        <x:v>642</x:v>
      </x:c>
      <x:c r="AO294" s="126" t="n">
        <x:v>643</x:v>
      </x:c>
      <x:c r="AP294" s="113" t="str">
        <x:v>6 CAN / THÙNG</x:v>
      </x:c>
    </x:row>
    <x:row r="295">
      <x:c r="A295" s="71" t="str">
        <x:v>SIRO VUÔNG ĐƯỜNG ĐEN</x:v>
      </x:c>
      <x:c r="B295" s="30" t="str">
        <x:v>SIRO VUÔNG ĐƯỜNG ĐEN - THÙNG</x:v>
      </x:c>
      <x:c r="C295" s="37" t="str">
        <x:v>SRDDEV</x:v>
      </x:c>
      <x:c r="D295" s="37" t="str">
        <x:v>SRDDEVT</x:v>
      </x:c>
      <x:c r="E295" s="37" t="str">
        <x:v>SRDDEVT</x:v>
      </x:c>
      <x:c r="F295" s="37" t="n">
        <x:v>6</x:v>
      </x:c>
      <x:c r="G295" s="37" t="n">
        <x:v>16000</x:v>
      </x:c>
      <x:c r="H295" s="37" t="str">
        <x:v>g</x:v>
      </x:c>
      <x:c r="I295" s="37" t="str">
        <x:v>THÙNG</x:v>
      </x:c>
      <x:c r="J295" s="59" t="n">
        <x:v>0</x:v>
      </x:c>
      <x:c r="K295" s="59" t="n">
        <x:v>0</x:v>
      </x:c>
      <x:c r="L295" s="59" t="n">
        <x:v>0</x:v>
      </x:c>
      <x:c r="M295" s="37" t="str">
        <x:v>Siro</x:v>
      </x:c>
      <x:c r="N295" s="37" t="str">
        <x:v>CHƯA CÓ GIÁ LẺ</x:v>
      </x:c>
      <x:c r="O295" s="61" t="n">
        <x:v>0.628</x:v>
      </x:c>
      <x:c r="P295" s="37"/>
      <x:c r="Q295" s="30"/>
      <x:c r="R295" s="30"/>
      <x:c r="S295" s="30"/>
      <x:c r="T295" s="37"/>
      <x:c r="U295" s="59"/>
      <x:c r="V295" s="59"/>
      <x:c r="W295" s="117" t="n">
        <x:v>125000</x:v>
      </x:c>
      <x:c r="X295" s="59" t="str">
        <x:f>IFERROR(IF(OR($N295="ĐÃ GHÉP - AUTO",$N295="ĐÃ GHÉP - QUY TẮC"),IF($V295="","",IF($T295="THÙNG",$V295/$F295,$V295)),""),"")</x:f>
      </x:c>
      <x:c r="Y295" s="117" t="n">
        <x:f>IF(OR(W295="",F295=""),"",W295*F295)</x:f>
        <x:v>750000</x:v>
      </x:c>
      <x:c r="Z295" s="59" t="str">
        <x:f>IFERROR(IF(OR($N295="ĐÃ GHÉP - AUTO",$N295="ĐÃ GHÉP - QUY TẮC"),IF($V295="","",IF($T295="THÙNG",$V295,$V295*$F295)),""),"")</x:f>
      </x:c>
      <x:c r="AA295" s="28" t="str">
        <x:f>IFERROR(IF(OR($K295="",$K295=0,$Y295=""),"",($Y295-$K295)/$K295),"")</x:f>
      </x:c>
      <x:c r="AB295" s="37" t="str">
        <x:f>IFERROR(IF($N295="CẦN DUYỆT","DUYỆT MAP",IF($N295="CHƯA CÓ GIÁ LẺ","THIẾU GIÁ",IF(OR($K295="",$K295=0,$Y295=""),"OK",IF(ABS(($Y295-$K295)/$K295)&gt;0.15,"LỆCH GIÁ CŨ","OK")))),"OK")</x:f>
        <x:v>THIẾU GIÁ</x:v>
      </x:c>
      <x:c r="AC295" s="30" t="str">
        <x:v>ứng viên gần nhất=Siro GTP dâu , duong den; score=0.628</x:v>
      </x:c>
      <x:c r="AD295" s="37" t="str">
        <x:v>SRDDEV</x:v>
      </x:c>
      <x:c r="AE295" s="38" t="str">
        <x:v>SRDDEVT</x:v>
      </x:c>
      <x:c r="AF295" s="123" t="n">
        <x:v>2650</x:v>
      </x:c>
      <x:c r="AG295" s="112" t="str">
        <x:v>g</x:v>
      </x:c>
      <x:c r="AH295" s="112" t="str">
        <x:v>BÌNH</x:v>
      </x:c>
      <x:c r="AI295" s="112" t="str">
        <x:v>2650 g / BÌNH</x:v>
      </x:c>
      <x:c r="AJ295" s="120" t="n">
        <x:v>125000</x:v>
      </x:c>
      <x:c r="AK295" s="120"/>
      <x:c r="AL295" s="120" t="n">
        <x:v>125000</x:v>
      </x:c>
      <x:c r="AM295" s="112" t="str">
        <x:v>BỔ SUNG GIÁ</x:v>
      </x:c>
      <x:c r="AN295" s="126" t="n">
        <x:v>644</x:v>
      </x:c>
      <x:c r="AO295" s="126" t="n">
        <x:v>645</x:v>
      </x:c>
      <x:c r="AP295" s="113" t="str">
        <x:v>6 BÌNH / THÙNG</x:v>
      </x:c>
    </x:row>
    <x:row r="296">
      <x:c r="A296" s="71" t="str">
        <x:v>SIRO TRÒN ĐƯỜNG ĐEN</x:v>
      </x:c>
      <x:c r="B296" s="30" t="str">
        <x:v>SIRO TRÒN ĐƯỜNG ĐEN - THÙNG</x:v>
      </x:c>
      <x:c r="C296" s="37" t="str">
        <x:v>SRDDET</x:v>
      </x:c>
      <x:c r="D296" s="37" t="str">
        <x:v>SRDDETT</x:v>
      </x:c>
      <x:c r="E296" s="37" t="str">
        <x:v>SRDDETT</x:v>
      </x:c>
      <x:c r="F296" s="37" t="n">
        <x:v>6</x:v>
      </x:c>
      <x:c r="G296" s="37" t="n">
        <x:v>0</x:v>
      </x:c>
      <x:c r="H296" s="37" t="str">
        <x:v>g</x:v>
      </x:c>
      <x:c r="I296" s="37" t="str">
        <x:v>THÙNG</x:v>
      </x:c>
      <x:c r="J296" s="59" t="n">
        <x:v>0</x:v>
      </x:c>
      <x:c r="K296" s="59" t="n">
        <x:v>0</x:v>
      </x:c>
      <x:c r="L296" s="59" t="n">
        <x:v>0</x:v>
      </x:c>
      <x:c r="M296" s="37" t="str">
        <x:v>Siro</x:v>
      </x:c>
      <x:c r="N296" s="37" t="str">
        <x:v>CHƯA CÓ GIÁ LẺ</x:v>
      </x:c>
      <x:c r="O296" s="61" t="n">
        <x:v>0.639</x:v>
      </x:c>
      <x:c r="P296" s="37"/>
      <x:c r="Q296" s="30"/>
      <x:c r="R296" s="30"/>
      <x:c r="S296" s="30"/>
      <x:c r="T296" s="37"/>
      <x:c r="U296" s="59"/>
      <x:c r="V296" s="59"/>
      <x:c r="W296" s="117" t="n">
        <x:v>125000</x:v>
      </x:c>
      <x:c r="X296" s="59" t="str">
        <x:f>IFERROR(IF(OR($N296="ĐÃ GHÉP - AUTO",$N296="ĐÃ GHÉP - QUY TẮC"),IF($V296="","",IF($T296="THÙNG",$V296/$F296,$V296)),""),"")</x:f>
      </x:c>
      <x:c r="Y296" s="117" t="n">
        <x:f>IF(OR(W296="",F296=""),"",W296*F296)</x:f>
        <x:v>750000</x:v>
      </x:c>
      <x:c r="Z296" s="59" t="str">
        <x:f>IFERROR(IF(OR($N296="ĐÃ GHÉP - AUTO",$N296="ĐÃ GHÉP - QUY TẮC"),IF($V296="","",IF($T296="THÙNG",$V296,$V296*$F296)),""),"")</x:f>
      </x:c>
      <x:c r="AA296" s="28" t="str">
        <x:f>IFERROR(IF(OR($K296="",$K296=0,$Y296=""),"",($Y296-$K296)/$K296),"")</x:f>
      </x:c>
      <x:c r="AB296" s="37" t="str">
        <x:f>IFERROR(IF($N296="CẦN DUYỆT","DUYỆT MAP",IF($N296="CHƯA CÓ GIÁ LẺ","THIẾU GIÁ",IF(OR($K296="",$K296=0,$Y296=""),"OK",IF(ABS(($Y296-$K296)/$K296)&gt;0.15,"LỆCH GIÁ CŨ","OK")))),"OK")</x:f>
        <x:v>THIẾU GIÁ</x:v>
      </x:c>
      <x:c r="AC296" s="30" t="str">
        <x:v>ứng viên gần nhất=Siro GTP dâu , duong den; score=0.639</x:v>
      </x:c>
      <x:c r="AD296" s="37" t="str">
        <x:v>SRDDET</x:v>
      </x:c>
      <x:c r="AE296" s="38" t="str">
        <x:v>SRDDETT</x:v>
      </x:c>
      <x:c r="AF296" s="123" t="n">
        <x:v>2650</x:v>
      </x:c>
      <x:c r="AG296" s="112" t="str">
        <x:v>g</x:v>
      </x:c>
      <x:c r="AH296" s="112" t="str">
        <x:v>BÌNH</x:v>
      </x:c>
      <x:c r="AI296" s="112" t="str">
        <x:v>2650 g / BÌNH</x:v>
      </x:c>
      <x:c r="AJ296" s="120" t="n">
        <x:v>125000</x:v>
      </x:c>
      <x:c r="AK296" s="120"/>
      <x:c r="AL296" s="120" t="n">
        <x:v>125000</x:v>
      </x:c>
      <x:c r="AM296" s="112" t="str">
        <x:v>BỔ SUNG GIÁ</x:v>
      </x:c>
      <x:c r="AN296" s="126" t="n">
        <x:v>646</x:v>
      </x:c>
      <x:c r="AO296" s="126" t="n">
        <x:v>647</x:v>
      </x:c>
      <x:c r="AP296" s="113" t="str">
        <x:v>6 BÌNH / THÙNG</x:v>
      </x:c>
    </x:row>
    <x:row r="297">
      <x:c r="A297" s="71" t="str">
        <x:v>SIRO A+ ĐƯỜNG ĐEN</x:v>
      </x:c>
      <x:c r="B297" s="30" t="str">
        <x:v>SIRO A+ ĐƯỜNG ĐEN - THÙNG</x:v>
      </x:c>
      <x:c r="C297" s="37" t="str">
        <x:v>SRADDE</x:v>
      </x:c>
      <x:c r="D297" s="37" t="str">
        <x:v>SRADDET</x:v>
      </x:c>
      <x:c r="E297" s="37" t="str">
        <x:v>SRADDET</x:v>
      </x:c>
      <x:c r="F297" s="37" t="n">
        <x:v>24</x:v>
      </x:c>
      <x:c r="G297" s="37" t="n">
        <x:v>16000</x:v>
      </x:c>
      <x:c r="H297" s="37" t="str">
        <x:v>g</x:v>
      </x:c>
      <x:c r="I297" s="37" t="str">
        <x:v>THÙNG</x:v>
      </x:c>
      <x:c r="J297" s="59" t="n">
        <x:v>612000</x:v>
      </x:c>
      <x:c r="K297" s="59" t="n">
        <x:v>0</x:v>
      </x:c>
      <x:c r="L297" s="59" t="n">
        <x:v>0</x:v>
      </x:c>
      <x:c r="M297" s="37" t="str">
        <x:v>Siro</x:v>
      </x:c>
      <x:c r="N297" s="37" t="str">
        <x:v>CHƯA CÓ GIÁ LẺ</x:v>
      </x:c>
      <x:c r="O297" s="61" t="n">
        <x:v>0.611</x:v>
      </x:c>
      <x:c r="P297" s="37"/>
      <x:c r="Q297" s="30"/>
      <x:c r="R297" s="30"/>
      <x:c r="S297" s="30"/>
      <x:c r="T297" s="37"/>
      <x:c r="U297" s="59"/>
      <x:c r="V297" s="59"/>
      <x:c r="W297" s="117" t="n">
        <x:v>27000</x:v>
      </x:c>
      <x:c r="X297" s="59" t="str">
        <x:f>IFERROR(IF(OR($N297="ĐÃ GHÉP - AUTO",$N297="ĐÃ GHÉP - QUY TẮC"),IF($V297="","",IF($T297="THÙNG",$V297/$F297,$V297)),""),"")</x:f>
      </x:c>
      <x:c r="Y297" s="117" t="n">
        <x:f>IF(OR(W297="",F297=""),"",W297*F297)</x:f>
        <x:v>648000</x:v>
      </x:c>
      <x:c r="Z297" s="59" t="str">
        <x:f>IFERROR(IF(OR($N297="ĐÃ GHÉP - AUTO",$N297="ĐÃ GHÉP - QUY TẮC"),IF($V297="","",IF($T297="THÙNG",$V297,$V297*$F297)),""),"")</x:f>
      </x:c>
      <x:c r="AA297" s="28" t="str">
        <x:f>IFERROR(IF(OR($K297="",$K297=0,$Y297=""),"",($Y297-$K297)/$K297),"")</x:f>
      </x:c>
      <x:c r="AB297" s="37" t="str">
        <x:f>IFERROR(IF($N297="CẦN DUYỆT","DUYỆT MAP",IF($N297="CHƯA CÓ GIÁ LẺ","THIẾU GIÁ",IF(OR($K297="",$K297=0,$Y297=""),"OK",IF(ABS(($Y297-$K297)/$K297)&gt;0.15,"LỆCH GIÁ CŨ","OK")))),"OK")</x:f>
        <x:v>THIẾU GIÁ</x:v>
      </x:c>
      <x:c r="AC297" s="30" t="str">
        <x:v>ứng viên gần nhất=Siro GTP dâu , duong den; score=0.611</x:v>
      </x:c>
      <x:c r="AD297" s="37" t="str">
        <x:v>SRADDE</x:v>
      </x:c>
      <x:c r="AE297" s="38" t="str">
        <x:v>SRADDET</x:v>
      </x:c>
      <x:c r="AF297" s="123" t="n">
        <x:v>650</x:v>
      </x:c>
      <x:c r="AG297" s="112" t="str">
        <x:v>g</x:v>
      </x:c>
      <x:c r="AH297" s="112" t="str">
        <x:v>CHAI</x:v>
      </x:c>
      <x:c r="AI297" s="112" t="str">
        <x:v>650 g / CHAI</x:v>
      </x:c>
      <x:c r="AJ297" s="120" t="n">
        <x:v>27000</x:v>
      </x:c>
      <x:c r="AK297" s="120"/>
      <x:c r="AL297" s="120" t="n">
        <x:v>27000</x:v>
      </x:c>
      <x:c r="AM297" s="112" t="str">
        <x:v>BỔ SUNG GIÁ</x:v>
      </x:c>
      <x:c r="AN297" s="126" t="n">
        <x:v>648</x:v>
      </x:c>
      <x:c r="AO297" s="126" t="n">
        <x:v>649</x:v>
      </x:c>
      <x:c r="AP297" s="113" t="str">
        <x:v>24 CHAI / THÙNG</x:v>
      </x:c>
    </x:row>
    <x:row r="298">
      <x:c r="A298" s="71" t="str">
        <x:v>SIRO VUÔNG ĐÀO</x:v>
      </x:c>
      <x:c r="B298" s="30" t="str">
        <x:v>SIRO VUÔNG ĐÀO - THÙNG</x:v>
      </x:c>
      <x:c r="C298" s="37" t="str">
        <x:v>SRDAOV</x:v>
      </x:c>
      <x:c r="D298" s="37" t="str">
        <x:v>SRDAOVT</x:v>
      </x:c>
      <x:c r="E298" s="37" t="str">
        <x:v>SRDAOVT</x:v>
      </x:c>
      <x:c r="F298" s="37" t="n">
        <x:v>6</x:v>
      </x:c>
      <x:c r="G298" s="37" t="n">
        <x:v>16000</x:v>
      </x:c>
      <x:c r="H298" s="37" t="str">
        <x:v>g</x:v>
      </x:c>
      <x:c r="I298" s="37" t="str">
        <x:v>THÙNG</x:v>
      </x:c>
      <x:c r="J298" s="59" t="n">
        <x:v>0</x:v>
      </x:c>
      <x:c r="K298" s="59" t="n">
        <x:v>0</x:v>
      </x:c>
      <x:c r="L298" s="59" t="n">
        <x:v>0</x:v>
      </x:c>
      <x:c r="M298" s="37" t="str">
        <x:v>Siro</x:v>
      </x:c>
      <x:c r="N298" s="37" t="str">
        <x:v>CHƯA CÓ GIÁ LẺ</x:v>
      </x:c>
      <x:c r="O298" s="61" t="n">
        <x:v>0.274</x:v>
      </x:c>
      <x:c r="P298" s="37"/>
      <x:c r="Q298" s="30"/>
      <x:c r="R298" s="30"/>
      <x:c r="S298" s="30"/>
      <x:c r="T298" s="37"/>
      <x:c r="U298" s="59"/>
      <x:c r="V298" s="59"/>
      <x:c r="W298" s="117" t="n">
        <x:v>85000</x:v>
      </x:c>
      <x:c r="X298" s="59" t="str">
        <x:f>IFERROR(IF(OR($N298="ĐÃ GHÉP - AUTO",$N298="ĐÃ GHÉP - QUY TẮC"),IF($V298="","",IF($T298="THÙNG",$V298/$F298,$V298)),""),"")</x:f>
      </x:c>
      <x:c r="Y298" s="117" t="n">
        <x:f>IF(OR(W298="",F298=""),"",W298*F298)</x:f>
        <x:v>510000</x:v>
      </x:c>
      <x:c r="Z298" s="59" t="str">
        <x:f>IFERROR(IF(OR($N298="ĐÃ GHÉP - AUTO",$N298="ĐÃ GHÉP - QUY TẮC"),IF($V298="","",IF($T298="THÙNG",$V298,$V298*$F298)),""),"")</x:f>
      </x:c>
      <x:c r="AA298" s="28" t="str">
        <x:f>IFERROR(IF(OR($K298="",$K298=0,$Y298=""),"",($Y298-$K298)/$K298),"")</x:f>
      </x:c>
      <x:c r="AB298" s="37" t="str">
        <x:f>IFERROR(IF($N298="CẦN DUYỆT","DUYỆT MAP",IF($N298="CHƯA CÓ GIÁ LẺ","THIẾU GIÁ",IF(OR($K298="",$K298=0,$Y298=""),"OK",IF(ABS(($Y298-$K298)/$K298)&gt;0.15,"LỆCH GIÁ CŨ","OK")))),"OK")</x:f>
        <x:v>THIẾU GIÁ</x:v>
      </x:c>
      <x:c r="AC298" s="30" t="str">
        <x:v>ứng viên gần nhất=CỐT bí đao wonderfull; score=0.274</x:v>
      </x:c>
      <x:c r="AD298" s="37" t="str">
        <x:v>SRDAOV</x:v>
      </x:c>
      <x:c r="AE298" s="38" t="str">
        <x:v>SRDAOVT</x:v>
      </x:c>
      <x:c r="AF298" s="123" t="n">
        <x:v>265</x:v>
      </x:c>
      <x:c r="AG298" s="112" t="str">
        <x:v>g</x:v>
      </x:c>
      <x:c r="AH298" s="112" t="str">
        <x:v>BÌNH</x:v>
      </x:c>
      <x:c r="AI298" s="112" t="str">
        <x:v>265 g / BÌNH</x:v>
      </x:c>
      <x:c r="AJ298" s="120" t="n">
        <x:v>85000</x:v>
      </x:c>
      <x:c r="AK298" s="120"/>
      <x:c r="AL298" s="120" t="n">
        <x:v>85000</x:v>
      </x:c>
      <x:c r="AM298" s="112" t="str">
        <x:v>BỔ SUNG GIÁ</x:v>
      </x:c>
      <x:c r="AN298" s="126" t="n">
        <x:v>650</x:v>
      </x:c>
      <x:c r="AO298" s="126" t="n">
        <x:v>651</x:v>
      </x:c>
      <x:c r="AP298" s="113" t="str">
        <x:v>6 BÌNH / THÙNG</x:v>
      </x:c>
    </x:row>
    <x:row r="299">
      <x:c r="A299" s="71" t="str">
        <x:v>SIRO TRÒN ĐÀO</x:v>
      </x:c>
      <x:c r="B299" s="30" t="str">
        <x:v>SIRO TRÒN ĐÀO - THÙNG</x:v>
      </x:c>
      <x:c r="C299" s="37" t="str">
        <x:v>SRDAOT</x:v>
      </x:c>
      <x:c r="D299" s="37" t="str">
        <x:v>SRDAOTT</x:v>
      </x:c>
      <x:c r="E299" s="37" t="str">
        <x:v>SRDAOTT</x:v>
      </x:c>
      <x:c r="F299" s="37" t="n">
        <x:v>6</x:v>
      </x:c>
      <x:c r="G299" s="37" t="n">
        <x:v>16000</x:v>
      </x:c>
      <x:c r="H299" s="37" t="str">
        <x:v>g</x:v>
      </x:c>
      <x:c r="I299" s="37" t="str">
        <x:v>THÙNG</x:v>
      </x:c>
      <x:c r="J299" s="59" t="n">
        <x:v>0</x:v>
      </x:c>
      <x:c r="K299" s="59" t="n">
        <x:v>0</x:v>
      </x:c>
      <x:c r="L299" s="59" t="n">
        <x:v>0</x:v>
      </x:c>
      <x:c r="M299" s="37" t="str">
        <x:v>Siro</x:v>
      </x:c>
      <x:c r="N299" s="37" t="str">
        <x:v>CHƯA CÓ GIÁ LẺ</x:v>
      </x:c>
      <x:c r="O299" s="61" t="n">
        <x:v>0.51</x:v>
      </x:c>
      <x:c r="P299" s="37"/>
      <x:c r="Q299" s="30"/>
      <x:c r="R299" s="30"/>
      <x:c r="S299" s="30"/>
      <x:c r="T299" s="37"/>
      <x:c r="U299" s="59"/>
      <x:c r="V299" s="59"/>
      <x:c r="W299" s="117" t="n">
        <x:v>125000</x:v>
      </x:c>
      <x:c r="X299" s="59" t="str">
        <x:f>IFERROR(IF(OR($N299="ĐÃ GHÉP - AUTO",$N299="ĐÃ GHÉP - QUY TẮC"),IF($V299="","",IF($T299="THÙNG",$V299/$F299,$V299)),""),"")</x:f>
      </x:c>
      <x:c r="Y299" s="117" t="n">
        <x:f>IF(OR(W299="",F299=""),"",W299*F299)</x:f>
        <x:v>750000</x:v>
      </x:c>
      <x:c r="Z299" s="59" t="str">
        <x:f>IFERROR(IF(OR($N299="ĐÃ GHÉP - AUTO",$N299="ĐÃ GHÉP - QUY TẮC"),IF($V299="","",IF($T299="THÙNG",$V299,$V299*$F299)),""),"")</x:f>
      </x:c>
      <x:c r="AA299" s="28" t="str">
        <x:f>IFERROR(IF(OR($K299="",$K299=0,$Y299=""),"",($Y299-$K299)/$K299),"")</x:f>
      </x:c>
      <x:c r="AB299" s="37" t="str">
        <x:f>IFERROR(IF($N299="CẦN DUYỆT","DUYỆT MAP",IF($N299="CHƯA CÓ GIÁ LẺ","THIẾU GIÁ",IF(OR($K299="",$K299=0,$Y299=""),"OK",IF(ABS(($Y299-$K299)/$K299)&gt;0.15,"LỆCH GIÁ CŨ","OK")))),"OK")</x:f>
        <x:v>THIẾU GIÁ</x:v>
      </x:c>
      <x:c r="AC299" s="30" t="str">
        <x:v>ứng viên gần nhất=Siro Douxian 2l tròn; score=0.510</x:v>
      </x:c>
      <x:c r="AD299" s="37" t="str">
        <x:v>SRDAOT</x:v>
      </x:c>
      <x:c r="AE299" s="38" t="str">
        <x:v>SRDAOTT</x:v>
      </x:c>
      <x:c r="AF299" s="123" t="n">
        <x:v>2650</x:v>
      </x:c>
      <x:c r="AG299" s="112" t="str">
        <x:v>g</x:v>
      </x:c>
      <x:c r="AH299" s="112" t="str">
        <x:v>BÌNH</x:v>
      </x:c>
      <x:c r="AI299" s="112" t="str">
        <x:v>2650 g / BÌNH</x:v>
      </x:c>
      <x:c r="AJ299" s="120" t="n">
        <x:v>125000</x:v>
      </x:c>
      <x:c r="AK299" s="120"/>
      <x:c r="AL299" s="120" t="n">
        <x:v>125000</x:v>
      </x:c>
      <x:c r="AM299" s="112" t="str">
        <x:v>BỔ SUNG GIÁ</x:v>
      </x:c>
      <x:c r="AN299" s="126" t="n">
        <x:v>652</x:v>
      </x:c>
      <x:c r="AO299" s="126" t="n">
        <x:v>653</x:v>
      </x:c>
      <x:c r="AP299" s="113" t="str">
        <x:v>6 BÌNH / THÙNG</x:v>
      </x:c>
    </x:row>
    <x:row r="300">
      <x:c r="A300" s="71" t="str">
        <x:v>SIRO A+ ĐÀO</x:v>
      </x:c>
      <x:c r="B300" s="30" t="str">
        <x:v>SIRO A+ ĐÀO - THÙNG</x:v>
      </x:c>
      <x:c r="C300" s="37" t="str">
        <x:v>SRADAO</x:v>
      </x:c>
      <x:c r="D300" s="37" t="str">
        <x:v>SRADAOT</x:v>
      </x:c>
      <x:c r="E300" s="37" t="str">
        <x:v>SRADAOT</x:v>
      </x:c>
      <x:c r="F300" s="37" t="n">
        <x:v>24</x:v>
      </x:c>
      <x:c r="G300" s="37" t="n">
        <x:v>16000</x:v>
      </x:c>
      <x:c r="H300" s="37" t="str">
        <x:v>g</x:v>
      </x:c>
      <x:c r="I300" s="37" t="str">
        <x:v>THÙNG</x:v>
      </x:c>
      <x:c r="J300" s="59" t="n">
        <x:v>612000</x:v>
      </x:c>
      <x:c r="K300" s="59" t="n">
        <x:v>0</x:v>
      </x:c>
      <x:c r="L300" s="59" t="n">
        <x:v>0</x:v>
      </x:c>
      <x:c r="M300" s="37" t="str">
        <x:v>Siro</x:v>
      </x:c>
      <x:c r="N300" s="37" t="str">
        <x:v>CHƯA CÓ GIÁ LẺ</x:v>
      </x:c>
      <x:c r="O300" s="61" t="n">
        <x:v>0.262</x:v>
      </x:c>
      <x:c r="P300" s="37"/>
      <x:c r="Q300" s="30"/>
      <x:c r="R300" s="30"/>
      <x:c r="S300" s="30"/>
      <x:c r="T300" s="37"/>
      <x:c r="U300" s="59"/>
      <x:c r="V300" s="59"/>
      <x:c r="W300" s="117" t="n">
        <x:v>27000</x:v>
      </x:c>
      <x:c r="X300" s="59" t="str">
        <x:f>IFERROR(IF(OR($N300="ĐÃ GHÉP - AUTO",$N300="ĐÃ GHÉP - QUY TẮC"),IF($V300="","",IF($T300="THÙNG",$V300/$F300,$V300)),""),"")</x:f>
      </x:c>
      <x:c r="Y300" s="117" t="n">
        <x:f>IF(OR(W300="",F300=""),"",W300*F300)</x:f>
        <x:v>648000</x:v>
      </x:c>
      <x:c r="Z300" s="59" t="str">
        <x:f>IFERROR(IF(OR($N300="ĐÃ GHÉP - AUTO",$N300="ĐÃ GHÉP - QUY TẮC"),IF($V300="","",IF($T300="THÙNG",$V300,$V300*$F300)),""),"")</x:f>
      </x:c>
      <x:c r="AA300" s="28" t="str">
        <x:f>IFERROR(IF(OR($K300="",$K300=0,$Y300=""),"",($Y300-$K300)/$K300),"")</x:f>
      </x:c>
      <x:c r="AB300" s="37" t="str">
        <x:f>IFERROR(IF($N300="CẦN DUYỆT","DUYỆT MAP",IF($N300="CHƯA CÓ GIÁ LẺ","THIẾU GIÁ",IF(OR($K300="",$K300=0,$Y300=""),"OK",IF(ABS(($Y300-$K300)/$K300)&gt;0.15,"LỆCH GIÁ CŨ","OK")))),"OK")</x:f>
        <x:v>THIẾU GIÁ</x:v>
      </x:c>
      <x:c r="AC300" s="30" t="str">
        <x:v>ứng viên gần nhất=CỐT bí đao wonderfull; score=0.262</x:v>
      </x:c>
      <x:c r="AD300" s="37" t="str">
        <x:v>SRADAO</x:v>
      </x:c>
      <x:c r="AE300" s="38" t="str">
        <x:v>SRADAOT</x:v>
      </x:c>
      <x:c r="AF300" s="123" t="n">
        <x:v>0</x:v>
      </x:c>
      <x:c r="AG300" s="112" t="str">
        <x:v>g</x:v>
      </x:c>
      <x:c r="AH300" s="112" t="str">
        <x:v>CHAI</x:v>
      </x:c>
      <x:c r="AI300" s="112" t="str">
        <x:v>0 g / CHAI</x:v>
      </x:c>
      <x:c r="AJ300" s="120" t="n">
        <x:v>27000</x:v>
      </x:c>
      <x:c r="AK300" s="120"/>
      <x:c r="AL300" s="120" t="n">
        <x:v>27000</x:v>
      </x:c>
      <x:c r="AM300" s="112" t="str">
        <x:v>BỔ SUNG GIÁ</x:v>
      </x:c>
      <x:c r="AN300" s="126" t="n">
        <x:v>654</x:v>
      </x:c>
      <x:c r="AO300" s="126" t="n">
        <x:v>655</x:v>
      </x:c>
      <x:c r="AP300" s="113" t="str">
        <x:v>24 CHAI / THÙNG</x:v>
      </x:c>
    </x:row>
    <x:row r="301">
      <x:c r="A301" s="71" t="str">
        <x:v>SIRO VUÔNG DƯA LƯỚI</x:v>
      </x:c>
      <x:c r="B301" s="30" t="str">
        <x:v>SIRO VUÔNG DƯA LƯỚI - THÙNG</x:v>
      </x:c>
      <x:c r="C301" s="37" t="str">
        <x:v>SRDLUV</x:v>
      </x:c>
      <x:c r="D301" s="37" t="str">
        <x:v>SRDLUVT</x:v>
      </x:c>
      <x:c r="E301" s="37" t="str">
        <x:v>SRDLUVT</x:v>
      </x:c>
      <x:c r="F301" s="37" t="n">
        <x:v>6</x:v>
      </x:c>
      <x:c r="G301" s="37" t="n">
        <x:v>16000</x:v>
      </x:c>
      <x:c r="H301" s="37" t="str">
        <x:v>g</x:v>
      </x:c>
      <x:c r="I301" s="37" t="str">
        <x:v>THÙNG</x:v>
      </x:c>
      <x:c r="J301" s="59" t="n">
        <x:v>0</x:v>
      </x:c>
      <x:c r="K301" s="59" t="n">
        <x:v>0</x:v>
      </x:c>
      <x:c r="L301" s="59" t="n">
        <x:v>0</x:v>
      </x:c>
      <x:c r="M301" s="37" t="str">
        <x:v>Siro</x:v>
      </x:c>
      <x:c r="N301" s="37" t="str">
        <x:v>CHƯA CÓ GIÁ LẺ</x:v>
      </x:c>
      <x:c r="O301" s="61" t="n">
        <x:v>0.357</x:v>
      </x:c>
      <x:c r="P301" s="37"/>
      <x:c r="Q301" s="30"/>
      <x:c r="R301" s="30"/>
      <x:c r="S301" s="30"/>
      <x:c r="T301" s="37"/>
      <x:c r="U301" s="59"/>
      <x:c r="V301" s="59"/>
      <x:c r="W301" s="117" t="n">
        <x:v>85000</x:v>
      </x:c>
      <x:c r="X301" s="59" t="str">
        <x:f>IFERROR(IF(OR($N301="ĐÃ GHÉP - AUTO",$N301="ĐÃ GHÉP - QUY TẮC"),IF($V301="","",IF($T301="THÙNG",$V301/$F301,$V301)),""),"")</x:f>
      </x:c>
      <x:c r="Y301" s="117" t="n">
        <x:f>IF(OR(W301="",F301=""),"",W301*F301)</x:f>
        <x:v>510000</x:v>
      </x:c>
      <x:c r="Z301" s="59" t="str">
        <x:f>IFERROR(IF(OR($N301="ĐÃ GHÉP - AUTO",$N301="ĐÃ GHÉP - QUY TẮC"),IF($V301="","",IF($T301="THÙNG",$V301,$V301*$F301)),""),"")</x:f>
      </x:c>
      <x:c r="AA301" s="28" t="str">
        <x:f>IFERROR(IF(OR($K301="",$K301=0,$Y301=""),"",($Y301-$K301)/$K301),"")</x:f>
      </x:c>
      <x:c r="AB301" s="37" t="str">
        <x:f>IFERROR(IF($N301="CẦN DUYỆT","DUYỆT MAP",IF($N301="CHƯA CÓ GIÁ LẺ","THIẾU GIÁ",IF(OR($K301="",$K301=0,$Y301=""),"OK",IF(ABS(($Y301-$K301)/$K301)&gt;0.15,"LỆCH GIÁ CŨ","OK")))),"OK")</x:f>
        <x:v>THIẾU GIÁ</x:v>
      </x:c>
      <x:c r="AC301" s="30" t="str">
        <x:v>ứng viên gần nhất=Siro Sâm Dứa Vina; score=0.357</x:v>
      </x:c>
      <x:c r="AD301" s="37" t="str">
        <x:v>SRDLUV</x:v>
      </x:c>
      <x:c r="AE301" s="38" t="str">
        <x:v>SRDLUVT</x:v>
      </x:c>
      <x:c r="AF301" s="123" t="n">
        <x:v>2650</x:v>
      </x:c>
      <x:c r="AG301" s="112" t="str">
        <x:v>g</x:v>
      </x:c>
      <x:c r="AH301" s="112" t="str">
        <x:v>BÌNH</x:v>
      </x:c>
      <x:c r="AI301" s="112" t="str">
        <x:v>2650 g / BÌNH</x:v>
      </x:c>
      <x:c r="AJ301" s="120" t="n">
        <x:v>85000</x:v>
      </x:c>
      <x:c r="AK301" s="120"/>
      <x:c r="AL301" s="120" t="n">
        <x:v>85000</x:v>
      </x:c>
      <x:c r="AM301" s="112" t="str">
        <x:v>BỔ SUNG GIÁ</x:v>
      </x:c>
      <x:c r="AN301" s="126" t="n">
        <x:v>656</x:v>
      </x:c>
      <x:c r="AO301" s="126" t="n">
        <x:v>657</x:v>
      </x:c>
      <x:c r="AP301" s="113" t="str">
        <x:v>6 BÌNH / THÙNG</x:v>
      </x:c>
    </x:row>
    <x:row r="302">
      <x:c r="A302" s="71" t="str">
        <x:v>SIRO A+ DƯA LƯỚI</x:v>
      </x:c>
      <x:c r="B302" s="30" t="str">
        <x:v>SIRO A+ DƯA LƯỚI - THÙNG</x:v>
      </x:c>
      <x:c r="C302" s="37" t="str">
        <x:v>SRADLU</x:v>
      </x:c>
      <x:c r="D302" s="37" t="str">
        <x:v>SRADLUT</x:v>
      </x:c>
      <x:c r="E302" s="37" t="str">
        <x:v>SRADLUT</x:v>
      </x:c>
      <x:c r="F302" s="37" t="n">
        <x:v>24</x:v>
      </x:c>
      <x:c r="G302" s="37" t="n">
        <x:v>16000</x:v>
      </x:c>
      <x:c r="H302" s="37" t="str">
        <x:v>g</x:v>
      </x:c>
      <x:c r="I302" s="37" t="str">
        <x:v>THÙNG</x:v>
      </x:c>
      <x:c r="J302" s="59" t="n">
        <x:v>612000</x:v>
      </x:c>
      <x:c r="K302" s="59" t="n">
        <x:v>0</x:v>
      </x:c>
      <x:c r="L302" s="59" t="n">
        <x:v>0</x:v>
      </x:c>
      <x:c r="M302" s="37" t="str">
        <x:v>Siro</x:v>
      </x:c>
      <x:c r="N302" s="37" t="str">
        <x:v>CHƯA CÓ GIÁ LẺ</x:v>
      </x:c>
      <x:c r="O302" s="61" t="n">
        <x:v>0.394</x:v>
      </x:c>
      <x:c r="P302" s="37"/>
      <x:c r="Q302" s="30"/>
      <x:c r="R302" s="30"/>
      <x:c r="S302" s="30"/>
      <x:c r="T302" s="37"/>
      <x:c r="U302" s="59"/>
      <x:c r="V302" s="59"/>
      <x:c r="W302" s="117" t="n">
        <x:v>27000</x:v>
      </x:c>
      <x:c r="X302" s="59" t="str">
        <x:f>IFERROR(IF(OR($N302="ĐÃ GHÉP - AUTO",$N302="ĐÃ GHÉP - QUY TẮC"),IF($V302="","",IF($T302="THÙNG",$V302/$F302,$V302)),""),"")</x:f>
      </x:c>
      <x:c r="Y302" s="117" t="n">
        <x:f>IF(OR(W302="",F302=""),"",W302*F302)</x:f>
        <x:v>648000</x:v>
      </x:c>
      <x:c r="Z302" s="59" t="str">
        <x:f>IFERROR(IF(OR($N302="ĐÃ GHÉP - AUTO",$N302="ĐÃ GHÉP - QUY TẮC"),IF($V302="","",IF($T302="THÙNG",$V302,$V302*$F302)),""),"")</x:f>
      </x:c>
      <x:c r="AA302" s="28" t="str">
        <x:f>IFERROR(IF(OR($K302="",$K302=0,$Y302=""),"",($Y302-$K302)/$K302),"")</x:f>
      </x:c>
      <x:c r="AB302" s="37" t="str">
        <x:f>IFERROR(IF($N302="CẦN DUYỆT","DUYỆT MAP",IF($N302="CHƯA CÓ GIÁ LẺ","THIẾU GIÁ",IF(OR($K302="",$K302=0,$Y302=""),"OK",IF(ABS(($Y302-$K302)/$K302)&gt;0.15,"LỆCH GIÁ CŨ","OK")))),"OK")</x:f>
        <x:v>THIẾU GIÁ</x:v>
      </x:c>
      <x:c r="AC302" s="30" t="str">
        <x:v>ứng viên gần nhất=Siro Sâm Dứa Vina; score=0.394</x:v>
      </x:c>
      <x:c r="AD302" s="37" t="str">
        <x:v>SRADLU</x:v>
      </x:c>
      <x:c r="AE302" s="38" t="str">
        <x:v>SRADLUT</x:v>
      </x:c>
      <x:c r="AF302" s="123" t="n">
        <x:v>0</x:v>
      </x:c>
      <x:c r="AG302" s="112" t="str">
        <x:v>g</x:v>
      </x:c>
      <x:c r="AH302" s="112" t="str">
        <x:v>CHAI</x:v>
      </x:c>
      <x:c r="AI302" s="112" t="str">
        <x:v>0 g / CHAI</x:v>
      </x:c>
      <x:c r="AJ302" s="120" t="n">
        <x:v>27000</x:v>
      </x:c>
      <x:c r="AK302" s="120"/>
      <x:c r="AL302" s="120" t="n">
        <x:v>27000</x:v>
      </x:c>
      <x:c r="AM302" s="112" t="str">
        <x:v>BỔ SUNG GIÁ</x:v>
      </x:c>
      <x:c r="AN302" s="126" t="n">
        <x:v>658</x:v>
      </x:c>
      <x:c r="AO302" s="126" t="n">
        <x:v>659</x:v>
      </x:c>
      <x:c r="AP302" s="113" t="str">
        <x:v>24 CHAI / THÙNG</x:v>
      </x:c>
    </x:row>
    <x:row r="303">
      <x:c r="A303" s="71" t="str">
        <x:v>SIRO VUÔNG DÂU</x:v>
      </x:c>
      <x:c r="B303" s="30" t="str">
        <x:v>SIRO VUÔNG DÂU - THÙNG</x:v>
      </x:c>
      <x:c r="C303" s="37" t="str">
        <x:v>SRDAUV</x:v>
      </x:c>
      <x:c r="D303" s="37" t="str">
        <x:v>SRDAUVT</x:v>
      </x:c>
      <x:c r="E303" s="37" t="str">
        <x:v>SRDAUVT</x:v>
      </x:c>
      <x:c r="F303" s="37" t="n">
        <x:v>6</x:v>
      </x:c>
      <x:c r="G303" s="37" t="n">
        <x:v>16000</x:v>
      </x:c>
      <x:c r="H303" s="37" t="str">
        <x:v>g</x:v>
      </x:c>
      <x:c r="I303" s="37" t="str">
        <x:v>THÙNG</x:v>
      </x:c>
      <x:c r="J303" s="59" t="n">
        <x:v>0</x:v>
      </x:c>
      <x:c r="K303" s="59" t="n">
        <x:v>0</x:v>
      </x:c>
      <x:c r="L303" s="59" t="n">
        <x:v>0</x:v>
      </x:c>
      <x:c r="M303" s="37" t="str">
        <x:v>Siro</x:v>
      </x:c>
      <x:c r="N303" s="37" t="str">
        <x:v>CHƯA CÓ GIÁ LẺ</x:v>
      </x:c>
      <x:c r="O303" s="61" t="n">
        <x:v>0.456</x:v>
      </x:c>
      <x:c r="P303" s="37"/>
      <x:c r="Q303" s="30"/>
      <x:c r="R303" s="30"/>
      <x:c r="S303" s="30"/>
      <x:c r="T303" s="37"/>
      <x:c r="U303" s="59"/>
      <x:c r="V303" s="59"/>
      <x:c r="W303" s="117" t="n">
        <x:v>85000</x:v>
      </x:c>
      <x:c r="X303" s="59" t="str">
        <x:f>IFERROR(IF(OR($N303="ĐÃ GHÉP - AUTO",$N303="ĐÃ GHÉP - QUY TẮC"),IF($V303="","",IF($T303="THÙNG",$V303/$F303,$V303)),""),"")</x:f>
      </x:c>
      <x:c r="Y303" s="117" t="n">
        <x:f>IF(OR(W303="",F303=""),"",W303*F303)</x:f>
        <x:v>510000</x:v>
      </x:c>
      <x:c r="Z303" s="59" t="str">
        <x:f>IFERROR(IF(OR($N303="ĐÃ GHÉP - AUTO",$N303="ĐÃ GHÉP - QUY TẮC"),IF($V303="","",IF($T303="THÙNG",$V303,$V303*$F303)),""),"")</x:f>
      </x:c>
      <x:c r="AA303" s="28" t="str">
        <x:f>IFERROR(IF(OR($K303="",$K303=0,$Y303=""),"",($Y303-$K303)/$K303),"")</x:f>
      </x:c>
      <x:c r="AB303" s="37" t="str">
        <x:f>IFERROR(IF($N303="CẦN DUYỆT","DUYỆT MAP",IF($N303="CHƯA CÓ GIÁ LẺ","THIẾU GIÁ",IF(OR($K303="",$K303=0,$Y303=""),"OK",IF(ABS(($Y303-$K303)/$K303)&gt;0.15,"LỆCH GIÁ CŨ","OK")))),"OK")</x:f>
        <x:v>THIẾU GIÁ</x:v>
      </x:c>
      <x:c r="AC303" s="30" t="str">
        <x:v>ứng viên gần nhất=Siro GTP dâu , duong den; score=0.456</x:v>
      </x:c>
      <x:c r="AD303" s="37" t="str">
        <x:v>SRDAUV</x:v>
      </x:c>
      <x:c r="AE303" s="38" t="str">
        <x:v>SRDAUVT</x:v>
      </x:c>
      <x:c r="AF303" s="123" t="n">
        <x:v>2650</x:v>
      </x:c>
      <x:c r="AG303" s="112" t="str">
        <x:v>g</x:v>
      </x:c>
      <x:c r="AH303" s="112" t="str">
        <x:v>BÌNH</x:v>
      </x:c>
      <x:c r="AI303" s="112" t="str">
        <x:v>2650 g / BÌNH</x:v>
      </x:c>
      <x:c r="AJ303" s="120" t="n">
        <x:v>85000</x:v>
      </x:c>
      <x:c r="AK303" s="120"/>
      <x:c r="AL303" s="120" t="n">
        <x:v>85000</x:v>
      </x:c>
      <x:c r="AM303" s="112" t="str">
        <x:v>BỔ SUNG GIÁ</x:v>
      </x:c>
      <x:c r="AN303" s="126" t="n">
        <x:v>660</x:v>
      </x:c>
      <x:c r="AO303" s="126" t="n">
        <x:v>661</x:v>
      </x:c>
      <x:c r="AP303" s="113" t="str">
        <x:v>6 BÌNH / THÙNG</x:v>
      </x:c>
    </x:row>
    <x:row r="304">
      <x:c r="A304" s="71" t="str">
        <x:v>SIRO A+ DÂU</x:v>
      </x:c>
      <x:c r="B304" s="30" t="str">
        <x:v>SIRO A+ DÂU - THÙNG</x:v>
      </x:c>
      <x:c r="C304" s="37" t="str">
        <x:v>SRADAU</x:v>
      </x:c>
      <x:c r="D304" s="37" t="str">
        <x:v>SRADAUT</x:v>
      </x:c>
      <x:c r="E304" s="37" t="str">
        <x:v>SRADAUT</x:v>
      </x:c>
      <x:c r="F304" s="37" t="n">
        <x:v>24</x:v>
      </x:c>
      <x:c r="G304" s="37" t="n">
        <x:v>16000</x:v>
      </x:c>
      <x:c r="H304" s="37" t="str">
        <x:v>g</x:v>
      </x:c>
      <x:c r="I304" s="37" t="str">
        <x:v>THÙNG</x:v>
      </x:c>
      <x:c r="J304" s="59" t="n">
        <x:v>612000</x:v>
      </x:c>
      <x:c r="K304" s="59" t="n">
        <x:v>0</x:v>
      </x:c>
      <x:c r="L304" s="59" t="n">
        <x:v>0</x:v>
      </x:c>
      <x:c r="M304" s="37" t="str">
        <x:v>Siro</x:v>
      </x:c>
      <x:c r="N304" s="37" t="str">
        <x:v>CHƯA CÓ GIÁ LẺ</x:v>
      </x:c>
      <x:c r="O304" s="61" t="n">
        <x:v>0.418</x:v>
      </x:c>
      <x:c r="P304" s="37"/>
      <x:c r="Q304" s="30"/>
      <x:c r="R304" s="30"/>
      <x:c r="S304" s="30"/>
      <x:c r="T304" s="37"/>
      <x:c r="U304" s="59"/>
      <x:c r="V304" s="59"/>
      <x:c r="W304" s="117" t="n">
        <x:v>27000</x:v>
      </x:c>
      <x:c r="X304" s="59" t="str">
        <x:f>IFERROR(IF(OR($N304="ĐÃ GHÉP - AUTO",$N304="ĐÃ GHÉP - QUY TẮC"),IF($V304="","",IF($T304="THÙNG",$V304/$F304,$V304)),""),"")</x:f>
      </x:c>
      <x:c r="Y304" s="117" t="n">
        <x:f>IF(OR(W304="",F304=""),"",W304*F304)</x:f>
        <x:v>648000</x:v>
      </x:c>
      <x:c r="Z304" s="59" t="str">
        <x:f>IFERROR(IF(OR($N304="ĐÃ GHÉP - AUTO",$N304="ĐÃ GHÉP - QUY TẮC"),IF($V304="","",IF($T304="THÙNG",$V304,$V304*$F304)),""),"")</x:f>
      </x:c>
      <x:c r="AA304" s="28" t="str">
        <x:f>IFERROR(IF(OR($K304="",$K304=0,$Y304=""),"",($Y304-$K304)/$K304),"")</x:f>
      </x:c>
      <x:c r="AB304" s="37" t="str">
        <x:f>IFERROR(IF($N304="CẦN DUYỆT","DUYỆT MAP",IF($N304="CHƯA CÓ GIÁ LẺ","THIẾU GIÁ",IF(OR($K304="",$K304=0,$Y304=""),"OK",IF(ABS(($Y304-$K304)/$K304)&gt;0.15,"LỆCH GIÁ CŨ","OK")))),"OK")</x:f>
        <x:v>THIẾU GIÁ</x:v>
      </x:c>
      <x:c r="AC304" s="30" t="str">
        <x:v>ứng viên gần nhất=Siro GTP dâu , duong den; score=0.418</x:v>
      </x:c>
      <x:c r="AD304" s="37" t="str">
        <x:v>SRADAU</x:v>
      </x:c>
      <x:c r="AE304" s="38" t="str">
        <x:v>SRADAUT</x:v>
      </x:c>
      <x:c r="AF304" s="123" t="n">
        <x:v>0</x:v>
      </x:c>
      <x:c r="AG304" s="112" t="str">
        <x:v>g</x:v>
      </x:c>
      <x:c r="AH304" s="112" t="str">
        <x:v>CHAI</x:v>
      </x:c>
      <x:c r="AI304" s="112" t="str">
        <x:v>0 g / CHAI</x:v>
      </x:c>
      <x:c r="AJ304" s="120" t="n">
        <x:v>27000</x:v>
      </x:c>
      <x:c r="AK304" s="120"/>
      <x:c r="AL304" s="120" t="n">
        <x:v>27000</x:v>
      </x:c>
      <x:c r="AM304" s="112" t="str">
        <x:v>BỔ SUNG GIÁ</x:v>
      </x:c>
      <x:c r="AN304" s="126" t="n">
        <x:v>662</x:v>
      </x:c>
      <x:c r="AO304" s="126" t="n">
        <x:v>663</x:v>
      </x:c>
      <x:c r="AP304" s="113" t="str">
        <x:v>24 CHAI / THÙNG</x:v>
      </x:c>
    </x:row>
    <x:row r="305">
      <x:c r="A305" s="71" t="str">
        <x:v>SIRO VUÔNG CHANH DÂY</x:v>
      </x:c>
      <x:c r="B305" s="30" t="str">
        <x:v>SIRO VUÔNG CHANH DÂY - THÙNG</x:v>
      </x:c>
      <x:c r="C305" s="37" t="str">
        <x:v>CDAYVG</x:v>
      </x:c>
      <x:c r="D305" s="37" t="str">
        <x:v>CDAYVGT</x:v>
      </x:c>
      <x:c r="E305" s="37" t="str">
        <x:v>CDAYVGT</x:v>
      </x:c>
      <x:c r="F305" s="37" t="n">
        <x:v>6</x:v>
      </x:c>
      <x:c r="G305" s="37" t="n">
        <x:v>16000</x:v>
      </x:c>
      <x:c r="H305" s="37" t="str">
        <x:v>g</x:v>
      </x:c>
      <x:c r="I305" s="37" t="str">
        <x:v>THÙNG</x:v>
      </x:c>
      <x:c r="J305" s="59" t="n">
        <x:v>0</x:v>
      </x:c>
      <x:c r="K305" s="59" t="n">
        <x:v>504000</x:v>
      </x:c>
      <x:c r="L305" s="59" t="n">
        <x:v>0</x:v>
      </x:c>
      <x:c r="M305" s="37" t="str">
        <x:v>Siro</x:v>
      </x:c>
      <x:c r="N305" s="37" t="str">
        <x:v>CHƯA CÓ GIÁ LẺ</x:v>
      </x:c>
      <x:c r="O305" s="61" t="n">
        <x:v>0.069</x:v>
      </x:c>
      <x:c r="P305" s="37"/>
      <x:c r="Q305" s="30"/>
      <x:c r="R305" s="30"/>
      <x:c r="S305" s="30"/>
      <x:c r="T305" s="37"/>
      <x:c r="U305" s="59"/>
      <x:c r="V305" s="59"/>
      <x:c r="W305" s="117" t="n">
        <x:v>85000</x:v>
      </x:c>
      <x:c r="X305" s="59" t="str">
        <x:f>IFERROR(IF(OR($N305="ĐÃ GHÉP - AUTO",$N305="ĐÃ GHÉP - QUY TẮC"),IF($V305="","",IF($T305="THÙNG",$V305/$F305,$V305)),""),"")</x:f>
      </x:c>
      <x:c r="Y305" s="117" t="n">
        <x:f>IF(OR(W305="",F305=""),"",W305*F305)</x:f>
        <x:v>510000</x:v>
      </x:c>
      <x:c r="Z305" s="59" t="str">
        <x:f>IFERROR(IF(OR($N305="ĐÃ GHÉP - AUTO",$N305="ĐÃ GHÉP - QUY TẮC"),IF($V305="","",IF($T305="THÙNG",$V305,$V305*$F305)),""),"")</x:f>
      </x:c>
      <x:c r="AA305" s="28" t="n">
        <x:f>IFERROR(IF(OR($K305="",$K305=0,$Y305=""),"",($Y305-$K305)/$K305),"")</x:f>
        <x:v>0.011904761904761904</x:v>
      </x:c>
      <x:c r="AB305" s="37" t="str">
        <x:f>IFERROR(IF($N305="CẦN DUYỆT","DUYỆT MAP",IF($N305="CHƯA CÓ GIÁ LẺ","THIẾU GIÁ",IF(OR($K305="",$K305=0,$Y305=""),"OK",IF(ABS(($Y305-$K305)/$K305)&gt;0.15,"LỆCH GIÁ CŨ","OK")))),"OK")</x:f>
        <x:v>THIẾU GIÁ</x:v>
      </x:c>
      <x:c r="AC305" s="30" t="str">
        <x:v>ứng viên gần nhất=Siro Douxian 2l hoàng kim; score=0.069</x:v>
      </x:c>
      <x:c r="AD305" s="37" t="str">
        <x:v>CDAYVG</x:v>
      </x:c>
      <x:c r="AE305" s="38" t="str">
        <x:v>CDAYVGT</x:v>
      </x:c>
      <x:c r="AF305" s="123" t="n">
        <x:v>2650</x:v>
      </x:c>
      <x:c r="AG305" s="112" t="str">
        <x:v>g</x:v>
      </x:c>
      <x:c r="AH305" s="112" t="str">
        <x:v>BÌNH</x:v>
      </x:c>
      <x:c r="AI305" s="112" t="str">
        <x:v>2650 g / BÌNH</x:v>
      </x:c>
      <x:c r="AJ305" s="120" t="n">
        <x:v>85000</x:v>
      </x:c>
      <x:c r="AK305" s="120"/>
      <x:c r="AL305" s="120" t="n">
        <x:v>85000</x:v>
      </x:c>
      <x:c r="AM305" s="112" t="str">
        <x:v>BỔ SUNG GIÁ</x:v>
      </x:c>
      <x:c r="AN305" s="126" t="n">
        <x:v>664</x:v>
      </x:c>
      <x:c r="AO305" s="126" t="n">
        <x:v>665</x:v>
      </x:c>
      <x:c r="AP305" s="113" t="str">
        <x:v>6 BÌNH / THÙNG</x:v>
      </x:c>
    </x:row>
    <x:row r="306">
      <x:c r="A306" s="71" t="str">
        <x:v>SIRO A+ CHANH DÂY</x:v>
      </x:c>
      <x:c r="B306" s="30" t="str">
        <x:v>SIRO A+ CHANH DÂY - THÙNG</x:v>
      </x:c>
      <x:c r="C306" s="37" t="str">
        <x:v>SRACDA</x:v>
      </x:c>
      <x:c r="D306" s="37" t="str">
        <x:v>SRACDAT</x:v>
      </x:c>
      <x:c r="E306" s="37" t="str">
        <x:v>SRACDAT</x:v>
      </x:c>
      <x:c r="F306" s="37" t="n">
        <x:v>24</x:v>
      </x:c>
      <x:c r="G306" s="37" t="n">
        <x:v>16000</x:v>
      </x:c>
      <x:c r="H306" s="37" t="str">
        <x:v>g</x:v>
      </x:c>
      <x:c r="I306" s="37" t="str">
        <x:v>THÙNG</x:v>
      </x:c>
      <x:c r="J306" s="59" t="n">
        <x:v>612000</x:v>
      </x:c>
      <x:c r="K306" s="59" t="n">
        <x:v>0</x:v>
      </x:c>
      <x:c r="L306" s="59" t="n">
        <x:v>0</x:v>
      </x:c>
      <x:c r="M306" s="37" t="str">
        <x:v>Siro</x:v>
      </x:c>
      <x:c r="N306" s="37" t="str">
        <x:v>CHƯA CÓ GIÁ LẺ</x:v>
      </x:c>
      <x:c r="O306" s="61" t="n">
        <x:v>0.062</x:v>
      </x:c>
      <x:c r="P306" s="37"/>
      <x:c r="Q306" s="30"/>
      <x:c r="R306" s="30"/>
      <x:c r="S306" s="30"/>
      <x:c r="T306" s="37"/>
      <x:c r="U306" s="59"/>
      <x:c r="V306" s="59"/>
      <x:c r="W306" s="117" t="n">
        <x:v>27000</x:v>
      </x:c>
      <x:c r="X306" s="59" t="str">
        <x:f>IFERROR(IF(OR($N306="ĐÃ GHÉP - AUTO",$N306="ĐÃ GHÉP - QUY TẮC"),IF($V306="","",IF($T306="THÙNG",$V306/$F306,$V306)),""),"")</x:f>
      </x:c>
      <x:c r="Y306" s="117" t="n">
        <x:f>IF(OR(W306="",F306=""),"",W306*F306)</x:f>
        <x:v>648000</x:v>
      </x:c>
      <x:c r="Z306" s="59" t="str">
        <x:f>IFERROR(IF(OR($N306="ĐÃ GHÉP - AUTO",$N306="ĐÃ GHÉP - QUY TẮC"),IF($V306="","",IF($T306="THÙNG",$V306,$V306*$F306)),""),"")</x:f>
      </x:c>
      <x:c r="AA306" s="28" t="str">
        <x:f>IFERROR(IF(OR($K306="",$K306=0,$Y306=""),"",($Y306-$K306)/$K306),"")</x:f>
      </x:c>
      <x:c r="AB306" s="37" t="str">
        <x:f>IFERROR(IF($N306="CẦN DUYỆT","DUYỆT MAP",IF($N306="CHƯA CÓ GIÁ LẺ","THIẾU GIÁ",IF(OR($K306="",$K306=0,$Y306=""),"OK",IF(ABS(($Y306-$K306)/$K306)&gt;0.15,"LỆCH GIÁ CŨ","OK")))),"OK")</x:f>
        <x:v>THIẾU GIÁ</x:v>
      </x:c>
      <x:c r="AC306" s="30" t="str">
        <x:v>ứng viên gần nhất=Siro Changthai; score=0.062</x:v>
      </x:c>
      <x:c r="AD306" s="37" t="str">
        <x:v>SRACDA</x:v>
      </x:c>
      <x:c r="AE306" s="38" t="str">
        <x:v>SRACDAT</x:v>
      </x:c>
      <x:c r="AF306" s="123" t="n">
        <x:v>0</x:v>
      </x:c>
      <x:c r="AG306" s="112" t="str">
        <x:v>g</x:v>
      </x:c>
      <x:c r="AH306" s="112" t="str">
        <x:v>CHAI</x:v>
      </x:c>
      <x:c r="AI306" s="112" t="str">
        <x:v>0 g / CHAI</x:v>
      </x:c>
      <x:c r="AJ306" s="120" t="n">
        <x:v>27000</x:v>
      </x:c>
      <x:c r="AK306" s="120"/>
      <x:c r="AL306" s="120" t="n">
        <x:v>27000</x:v>
      </x:c>
      <x:c r="AM306" s="112" t="str">
        <x:v>BỔ SUNG GIÁ</x:v>
      </x:c>
      <x:c r="AN306" s="126" t="n">
        <x:v>666</x:v>
      </x:c>
      <x:c r="AO306" s="126" t="n">
        <x:v>667</x:v>
      </x:c>
      <x:c r="AP306" s="113" t="str">
        <x:v>24 CHAI / THÙNG</x:v>
      </x:c>
    </x:row>
    <x:row r="307">
      <x:c r="A307" s="71" t="str">
        <x:v>SIRO CASALANCA VIỆT QUỐC</x:v>
      </x:c>
      <x:c r="B307" s="30" t="str">
        <x:v>SIRO CASALANCA VIỆT QUỐC - THÙNG</x:v>
      </x:c>
      <x:c r="C307" s="37" t="str">
        <x:v>CSAVQU</x:v>
      </x:c>
      <x:c r="D307" s="37" t="str">
        <x:v>CSAVQUT</x:v>
      </x:c>
      <x:c r="E307" s="37" t="str">
        <x:v>CSAVQUT</x:v>
      </x:c>
      <x:c r="F307" s="37" t="n">
        <x:v>12</x:v>
      </x:c>
      <x:c r="G307" s="37" t="n">
        <x:v>16</x:v>
      </x:c>
      <x:c r="H307" s="37" t="str">
        <x:v>kg</x:v>
      </x:c>
      <x:c r="I307" s="37" t="str">
        <x:v>THÙNG</x:v>
      </x:c>
      <x:c r="J307" s="59" t="n">
        <x:v>0</x:v>
      </x:c>
      <x:c r="K307" s="59" t="n">
        <x:v>0</x:v>
      </x:c>
      <x:c r="L307" s="59" t="n">
        <x:v>0</x:v>
      </x:c>
      <x:c r="M307" s="37" t="str">
        <x:v>Siro</x:v>
      </x:c>
      <x:c r="N307" s="37" t="str">
        <x:v>CHƯA CÓ GIÁ LẺ</x:v>
      </x:c>
      <x:c r="O307" s="61" t="n">
        <x:v>0.062</x:v>
      </x:c>
      <x:c r="P307" s="37"/>
      <x:c r="Q307" s="30"/>
      <x:c r="R307" s="30"/>
      <x:c r="S307" s="30"/>
      <x:c r="T307" s="37"/>
      <x:c r="U307" s="59"/>
      <x:c r="V307" s="59"/>
      <x:c r="W307" s="117" t="n">
        <x:v>48000</x:v>
      </x:c>
      <x:c r="X307" s="59" t="str">
        <x:f>IFERROR(IF(OR($N307="ĐÃ GHÉP - AUTO",$N307="ĐÃ GHÉP - QUY TẮC"),IF($V307="","",IF($T307="THÙNG",$V307/$F307,$V307)),""),"")</x:f>
      </x:c>
      <x:c r="Y307" s="117" t="n">
        <x:f>IF(OR(W307="",F307=""),"",W307*F307)</x:f>
        <x:v>576000</x:v>
      </x:c>
      <x:c r="Z307" s="59" t="str">
        <x:f>IFERROR(IF(OR($N307="ĐÃ GHÉP - AUTO",$N307="ĐÃ GHÉP - QUY TẮC"),IF($V307="","",IF($T307="THÙNG",$V307,$V307*$F307)),""),"")</x:f>
      </x:c>
      <x:c r="AA307" s="28" t="str">
        <x:f>IFERROR(IF(OR($K307="",$K307=0,$Y307=""),"",($Y307-$K307)/$K307),"")</x:f>
      </x:c>
      <x:c r="AB307" s="37" t="str">
        <x:f>IFERROR(IF($N307="CẦN DUYỆT","DUYỆT MAP",IF($N307="CHƯA CÓ GIÁ LẺ","THIẾU GIÁ",IF(OR($K307="",$K307=0,$Y307=""),"OK",IF(ABS(($Y307-$K307)/$K307)&gt;0.15,"LỆCH GIÁ CŨ","OK")))),"OK")</x:f>
        <x:v>THIẾU GIÁ</x:v>
      </x:c>
      <x:c r="AC307" s="30" t="str">
        <x:v>ứng viên gần nhất=Siro Sâm Dứa Vina; score=0.062</x:v>
      </x:c>
      <x:c r="AD307" s="37" t="str">
        <x:v>CSAVQU</x:v>
      </x:c>
      <x:c r="AE307" s="38" t="str">
        <x:v>CSAVQUT</x:v>
      </x:c>
      <x:c r="AF307" s="123" t="n">
        <x:v>1</x:v>
      </x:c>
      <x:c r="AG307" s="112" t="str">
        <x:v>kg</x:v>
      </x:c>
      <x:c r="AH307" s="112" t="str">
        <x:v>CHAI</x:v>
      </x:c>
      <x:c r="AI307" s="112" t="str">
        <x:v>1 kg / CHAI</x:v>
      </x:c>
      <x:c r="AJ307" s="120" t="n">
        <x:v>48000</x:v>
      </x:c>
      <x:c r="AK307" s="120"/>
      <x:c r="AL307" s="120" t="n">
        <x:v>48000</x:v>
      </x:c>
      <x:c r="AM307" s="112" t="str">
        <x:v>BỔ SUNG GIÁ</x:v>
      </x:c>
      <x:c r="AN307" s="126" t="n">
        <x:v>668</x:v>
      </x:c>
      <x:c r="AO307" s="126" t="n">
        <x:v>669</x:v>
      </x:c>
      <x:c r="AP307" s="113" t="str">
        <x:v>12 CHAI / THÙNG</x:v>
      </x:c>
    </x:row>
    <x:row r="308">
      <x:c r="A308" s="71" t="str">
        <x:v>SIRO CASALANCA VẢI</x:v>
      </x:c>
      <x:c r="B308" s="30" t="str">
        <x:v>SIRO CASALANCA VẢI - THÙNG</x:v>
      </x:c>
      <x:c r="C308" s="37" t="str">
        <x:v>CSAVAI</x:v>
      </x:c>
      <x:c r="D308" s="37" t="str">
        <x:v>CSAVAIT</x:v>
      </x:c>
      <x:c r="E308" s="37" t="str">
        <x:v>CSAVAIT</x:v>
      </x:c>
      <x:c r="F308" s="37" t="n">
        <x:v>12</x:v>
      </x:c>
      <x:c r="G308" s="37" t="n">
        <x:v>16</x:v>
      </x:c>
      <x:c r="H308" s="37" t="str">
        <x:v>kg</x:v>
      </x:c>
      <x:c r="I308" s="37" t="str">
        <x:v>THÙNG</x:v>
      </x:c>
      <x:c r="J308" s="59" t="n">
        <x:v>0</x:v>
      </x:c>
      <x:c r="K308" s="59" t="n">
        <x:v>0</x:v>
      </x:c>
      <x:c r="L308" s="59" t="n">
        <x:v>0</x:v>
      </x:c>
      <x:c r="M308" s="37" t="str">
        <x:v>Siro</x:v>
      </x:c>
      <x:c r="N308" s="37" t="str">
        <x:v>CHƯA CÓ GIÁ LẺ</x:v>
      </x:c>
      <x:c r="O308" s="61" t="n">
        <x:v>0.068</x:v>
      </x:c>
      <x:c r="P308" s="37"/>
      <x:c r="Q308" s="30"/>
      <x:c r="R308" s="30"/>
      <x:c r="S308" s="30"/>
      <x:c r="T308" s="37"/>
      <x:c r="U308" s="59"/>
      <x:c r="V308" s="59"/>
      <x:c r="W308" s="117" t="n">
        <x:v>48000</x:v>
      </x:c>
      <x:c r="X308" s="59" t="str">
        <x:f>IFERROR(IF(OR($N308="ĐÃ GHÉP - AUTO",$N308="ĐÃ GHÉP - QUY TẮC"),IF($V308="","",IF($T308="THÙNG",$V308/$F308,$V308)),""),"")</x:f>
      </x:c>
      <x:c r="Y308" s="117" t="n">
        <x:f>IF(OR(W308="",F308=""),"",W308*F308)</x:f>
        <x:v>576000</x:v>
      </x:c>
      <x:c r="Z308" s="59" t="str">
        <x:f>IFERROR(IF(OR($N308="ĐÃ GHÉP - AUTO",$N308="ĐÃ GHÉP - QUY TẮC"),IF($V308="","",IF($T308="THÙNG",$V308,$V308*$F308)),""),"")</x:f>
      </x:c>
      <x:c r="AA308" s="28" t="str">
        <x:f>IFERROR(IF(OR($K308="",$K308=0,$Y308=""),"",($Y308-$K308)/$K308),"")</x:f>
      </x:c>
      <x:c r="AB308" s="37" t="str">
        <x:f>IFERROR(IF($N308="CẦN DUYỆT","DUYỆT MAP",IF($N308="CHƯA CÓ GIÁ LẺ","THIẾU GIÁ",IF(OR($K308="",$K308=0,$Y308=""),"OK",IF(ABS(($Y308-$K308)/$K308)&gt;0.15,"LỆCH GIÁ CŨ","OK")))),"OK")</x:f>
        <x:v>THIẾU GIÁ</x:v>
      </x:c>
      <x:c r="AC308" s="30" t="str">
        <x:v>ứng viên gần nhất=Siro Sâm Dứa Vina; score=0.068</x:v>
      </x:c>
      <x:c r="AD308" s="37" t="str">
        <x:v>CSAVAI</x:v>
      </x:c>
      <x:c r="AE308" s="38" t="str">
        <x:v>CSAVAIT</x:v>
      </x:c>
      <x:c r="AF308" s="123" t="n">
        <x:v>1</x:v>
      </x:c>
      <x:c r="AG308" s="112" t="str">
        <x:v>kg</x:v>
      </x:c>
      <x:c r="AH308" s="112" t="str">
        <x:v>CHAI</x:v>
      </x:c>
      <x:c r="AI308" s="112" t="str">
        <x:v>1 kg / CHAI</x:v>
      </x:c>
      <x:c r="AJ308" s="120" t="n">
        <x:v>48000</x:v>
      </x:c>
      <x:c r="AK308" s="120"/>
      <x:c r="AL308" s="120" t="n">
        <x:v>48000</x:v>
      </x:c>
      <x:c r="AM308" s="112" t="str">
        <x:v>BỔ SUNG GIÁ</x:v>
      </x:c>
      <x:c r="AN308" s="126" t="n">
        <x:v>670</x:v>
      </x:c>
      <x:c r="AO308" s="126" t="n">
        <x:v>671</x:v>
      </x:c>
      <x:c r="AP308" s="113" t="str">
        <x:v>12 CHAI / THÙNG</x:v>
      </x:c>
    </x:row>
    <x:row r="309">
      <x:c r="A309" s="71" t="str">
        <x:v>SIRO CASALANCA ỔI</x:v>
      </x:c>
      <x:c r="B309" s="30" t="str">
        <x:v>SIRO CASALANCA ỔI - THÙNG</x:v>
      </x:c>
      <x:c r="C309" s="37" t="str">
        <x:v>CSAOIH</x:v>
      </x:c>
      <x:c r="D309" s="37" t="str">
        <x:v>CSAOIHT</x:v>
      </x:c>
      <x:c r="E309" s="37" t="str">
        <x:v>CSAOIHT</x:v>
      </x:c>
      <x:c r="F309" s="37" t="n">
        <x:v>12</x:v>
      </x:c>
      <x:c r="G309" s="37" t="n">
        <x:v>16</x:v>
      </x:c>
      <x:c r="H309" s="37" t="str">
        <x:v>kg</x:v>
      </x:c>
      <x:c r="I309" s="37" t="str">
        <x:v>THÙNG</x:v>
      </x:c>
      <x:c r="J309" s="59" t="n">
        <x:v>0</x:v>
      </x:c>
      <x:c r="K309" s="59" t="n">
        <x:v>0</x:v>
      </x:c>
      <x:c r="L309" s="59" t="n">
        <x:v>0</x:v>
      </x:c>
      <x:c r="M309" s="37" t="str">
        <x:v>Siro</x:v>
      </x:c>
      <x:c r="N309" s="37" t="str">
        <x:v>CHƯA CÓ GIÁ LẺ</x:v>
      </x:c>
      <x:c r="O309" s="61" t="n">
        <x:v>0.068</x:v>
      </x:c>
      <x:c r="P309" s="37"/>
      <x:c r="Q309" s="30"/>
      <x:c r="R309" s="30"/>
      <x:c r="S309" s="30"/>
      <x:c r="T309" s="37"/>
      <x:c r="U309" s="59"/>
      <x:c r="V309" s="59"/>
      <x:c r="W309" s="117" t="n">
        <x:v>48000</x:v>
      </x:c>
      <x:c r="X309" s="59" t="str">
        <x:f>IFERROR(IF(OR($N309="ĐÃ GHÉP - AUTO",$N309="ĐÃ GHÉP - QUY TẮC"),IF($V309="","",IF($T309="THÙNG",$V309/$F309,$V309)),""),"")</x:f>
      </x:c>
      <x:c r="Y309" s="117" t="n">
        <x:f>IF(OR(W309="",F309=""),"",W309*F309)</x:f>
        <x:v>576000</x:v>
      </x:c>
      <x:c r="Z309" s="59" t="str">
        <x:f>IFERROR(IF(OR($N309="ĐÃ GHÉP - AUTO",$N309="ĐÃ GHÉP - QUY TẮC"),IF($V309="","",IF($T309="THÙNG",$V309,$V309*$F309)),""),"")</x:f>
      </x:c>
      <x:c r="AA309" s="28" t="str">
        <x:f>IFERROR(IF(OR($K309="",$K309=0,$Y309=""),"",($Y309-$K309)/$K309),"")</x:f>
      </x:c>
      <x:c r="AB309" s="37" t="str">
        <x:f>IFERROR(IF($N309="CẦN DUYỆT","DUYỆT MAP",IF($N309="CHƯA CÓ GIÁ LẺ","THIẾU GIÁ",IF(OR($K309="",$K309=0,$Y309=""),"OK",IF(ABS(($Y309-$K309)/$K309)&gt;0.15,"LỆCH GIÁ CŨ","OK")))),"OK")</x:f>
        <x:v>THIẾU GIÁ</x:v>
      </x:c>
      <x:c r="AC309" s="30" t="str">
        <x:v>ứng viên gần nhất=Siro Changthai; score=0.068</x:v>
      </x:c>
      <x:c r="AD309" s="37" t="str">
        <x:v>CSAOIH</x:v>
      </x:c>
      <x:c r="AE309" s="38" t="str">
        <x:v>CSAOIHT</x:v>
      </x:c>
      <x:c r="AF309" s="123" t="n">
        <x:v>0</x:v>
      </x:c>
      <x:c r="AG309" s="112" t="str">
        <x:v>g</x:v>
      </x:c>
      <x:c r="AH309" s="112" t="str">
        <x:v>CHAI</x:v>
      </x:c>
      <x:c r="AI309" s="112" t="str">
        <x:v>0 g / CHAI</x:v>
      </x:c>
      <x:c r="AJ309" s="120" t="n">
        <x:v>48000</x:v>
      </x:c>
      <x:c r="AK309" s="120"/>
      <x:c r="AL309" s="120" t="n">
        <x:v>48000</x:v>
      </x:c>
      <x:c r="AM309" s="112" t="str">
        <x:v>BỔ SUNG GIÁ</x:v>
      </x:c>
      <x:c r="AN309" s="126" t="n">
        <x:v>672</x:v>
      </x:c>
      <x:c r="AO309" s="126" t="n">
        <x:v>673</x:v>
      </x:c>
      <x:c r="AP309" s="113" t="str">
        <x:v>12 CHAI / THÙNG</x:v>
      </x:c>
    </x:row>
    <x:row r="310">
      <x:c r="A310" s="71" t="str">
        <x:v>SIRO CASALANCA NHÃN</x:v>
      </x:c>
      <x:c r="B310" s="30" t="str">
        <x:v>SIRO CASALANCA NHÃN - THÙNG</x:v>
      </x:c>
      <x:c r="C310" s="37" t="str">
        <x:v>CSANHA</x:v>
      </x:c>
      <x:c r="D310" s="37" t="str">
        <x:v>CSANHAT</x:v>
      </x:c>
      <x:c r="E310" s="37" t="str">
        <x:v>CSANHAT</x:v>
      </x:c>
      <x:c r="F310" s="37" t="n">
        <x:v>12</x:v>
      </x:c>
      <x:c r="G310" s="37" t="n">
        <x:v>16</x:v>
      </x:c>
      <x:c r="H310" s="37" t="str">
        <x:v>kg</x:v>
      </x:c>
      <x:c r="I310" s="37" t="str">
        <x:v>THÙNG</x:v>
      </x:c>
      <x:c r="J310" s="59" t="n">
        <x:v>0</x:v>
      </x:c>
      <x:c r="K310" s="59" t="n">
        <x:v>0</x:v>
      </x:c>
      <x:c r="L310" s="59" t="n">
        <x:v>0</x:v>
      </x:c>
      <x:c r="M310" s="37" t="str">
        <x:v>Siro</x:v>
      </x:c>
      <x:c r="N310" s="37" t="str">
        <x:v>CHƯA CÓ GIÁ LẺ</x:v>
      </x:c>
      <x:c r="O310" s="61" t="n">
        <x:v>0.068</x:v>
      </x:c>
      <x:c r="P310" s="37"/>
      <x:c r="Q310" s="30"/>
      <x:c r="R310" s="30"/>
      <x:c r="S310" s="30"/>
      <x:c r="T310" s="37"/>
      <x:c r="U310" s="59"/>
      <x:c r="V310" s="59"/>
      <x:c r="W310" s="117" t="n">
        <x:v>48000</x:v>
      </x:c>
      <x:c r="X310" s="59" t="str">
        <x:f>IFERROR(IF(OR($N310="ĐÃ GHÉP - AUTO",$N310="ĐÃ GHÉP - QUY TẮC"),IF($V310="","",IF($T310="THÙNG",$V310/$F310,$V310)),""),"")</x:f>
      </x:c>
      <x:c r="Y310" s="117" t="n">
        <x:f>IF(OR(W310="",F310=""),"",W310*F310)</x:f>
        <x:v>576000</x:v>
      </x:c>
      <x:c r="Z310" s="59" t="str">
        <x:f>IFERROR(IF(OR($N310="ĐÃ GHÉP - AUTO",$N310="ĐÃ GHÉP - QUY TẮC"),IF($V310="","",IF($T310="THÙNG",$V310,$V310*$F310)),""),"")</x:f>
      </x:c>
      <x:c r="AA310" s="28" t="str">
        <x:f>IFERROR(IF(OR($K310="",$K310=0,$Y310=""),"",($Y310-$K310)/$K310),"")</x:f>
      </x:c>
      <x:c r="AB310" s="37" t="str">
        <x:f>IFERROR(IF($N310="CẦN DUYỆT","DUYỆT MAP",IF($N310="CHƯA CÓ GIÁ LẺ","THIẾU GIÁ",IF(OR($K310="",$K310=0,$Y310=""),"OK",IF(ABS(($Y310-$K310)/$K310)&gt;0.15,"LỆCH GIÁ CŨ","OK")))),"OK")</x:f>
        <x:v>THIẾU GIÁ</x:v>
      </x:c>
      <x:c r="AC310" s="30" t="str">
        <x:v>ứng viên gần nhất=Siro Changthai; score=0.068</x:v>
      </x:c>
      <x:c r="AD310" s="37" t="str">
        <x:v>CSANHA</x:v>
      </x:c>
      <x:c r="AE310" s="38" t="str">
        <x:v>CSANHAT</x:v>
      </x:c>
      <x:c r="AF310" s="123" t="n">
        <x:v>0</x:v>
      </x:c>
      <x:c r="AG310" s="112" t="str">
        <x:v>g</x:v>
      </x:c>
      <x:c r="AH310" s="112" t="str">
        <x:v>CHAI</x:v>
      </x:c>
      <x:c r="AI310" s="112" t="str">
        <x:v>0 g / CHAI</x:v>
      </x:c>
      <x:c r="AJ310" s="120" t="n">
        <x:v>48000</x:v>
      </x:c>
      <x:c r="AK310" s="120"/>
      <x:c r="AL310" s="120" t="n">
        <x:v>48000</x:v>
      </x:c>
      <x:c r="AM310" s="112" t="str">
        <x:v>BỔ SUNG GIÁ</x:v>
      </x:c>
      <x:c r="AN310" s="126" t="n">
        <x:v>674</x:v>
      </x:c>
      <x:c r="AO310" s="126" t="n">
        <x:v>675</x:v>
      </x:c>
      <x:c r="AP310" s="113" t="str">
        <x:v>12 CHAI / THÙNG</x:v>
      </x:c>
    </x:row>
    <x:row r="311">
      <x:c r="A311" s="71" t="str">
        <x:v>SIRO CASALANCA LỰU</x:v>
      </x:c>
      <x:c r="B311" s="30" t="str">
        <x:v>SIRO CASALANCA LỰU - THÙNG</x:v>
      </x:c>
      <x:c r="C311" s="37" t="str">
        <x:v>CSALUU</x:v>
      </x:c>
      <x:c r="D311" s="37" t="str">
        <x:v>CSALUUT</x:v>
      </x:c>
      <x:c r="E311" s="37" t="str">
        <x:v>CSALUUT</x:v>
      </x:c>
      <x:c r="F311" s="37" t="n">
        <x:v>12</x:v>
      </x:c>
      <x:c r="G311" s="37" t="n">
        <x:v>16</x:v>
      </x:c>
      <x:c r="H311" s="37" t="str">
        <x:v>kg</x:v>
      </x:c>
      <x:c r="I311" s="37" t="str">
        <x:v>THÙNG</x:v>
      </x:c>
      <x:c r="J311" s="59" t="n">
        <x:v>0</x:v>
      </x:c>
      <x:c r="K311" s="59" t="n">
        <x:v>0</x:v>
      </x:c>
      <x:c r="L311" s="59" t="n">
        <x:v>0</x:v>
      </x:c>
      <x:c r="M311" s="37" t="str">
        <x:v>Siro</x:v>
      </x:c>
      <x:c r="N311" s="37" t="str">
        <x:v>CHƯA CÓ GIÁ LẺ</x:v>
      </x:c>
      <x:c r="O311" s="61" t="n">
        <x:v>0.062</x:v>
      </x:c>
      <x:c r="P311" s="37"/>
      <x:c r="Q311" s="30"/>
      <x:c r="R311" s="30"/>
      <x:c r="S311" s="30"/>
      <x:c r="T311" s="37"/>
      <x:c r="U311" s="59"/>
      <x:c r="V311" s="59"/>
      <x:c r="W311" s="117" t="n">
        <x:v>48000</x:v>
      </x:c>
      <x:c r="X311" s="59" t="str">
        <x:f>IFERROR(IF(OR($N311="ĐÃ GHÉP - AUTO",$N311="ĐÃ GHÉP - QUY TẮC"),IF($V311="","",IF($T311="THÙNG",$V311/$F311,$V311)),""),"")</x:f>
      </x:c>
      <x:c r="Y311" s="117" t="n">
        <x:f>IF(OR(W311="",F311=""),"",W311*F311)</x:f>
        <x:v>576000</x:v>
      </x:c>
      <x:c r="Z311" s="59" t="str">
        <x:f>IFERROR(IF(OR($N311="ĐÃ GHÉP - AUTO",$N311="ĐÃ GHÉP - QUY TẮC"),IF($V311="","",IF($T311="THÙNG",$V311,$V311*$F311)),""),"")</x:f>
      </x:c>
      <x:c r="AA311" s="28" t="str">
        <x:f>IFERROR(IF(OR($K311="",$K311=0,$Y311=""),"",($Y311-$K311)/$K311),"")</x:f>
      </x:c>
      <x:c r="AB311" s="37" t="str">
        <x:f>IFERROR(IF($N311="CẦN DUYỆT","DUYỆT MAP",IF($N311="CHƯA CÓ GIÁ LẺ","THIẾU GIÁ",IF(OR($K311="",$K311=0,$Y311=""),"OK",IF(ABS(($Y311-$K311)/$K311)&gt;0.15,"LỆCH GIÁ CŨ","OK")))),"OK")</x:f>
        <x:v>THIẾU GIÁ</x:v>
      </x:c>
      <x:c r="AC311" s="30" t="str">
        <x:v>ứng viên gần nhất=Siro Sâm Dứa Vina; score=0.062</x:v>
      </x:c>
      <x:c r="AD311" s="37" t="str">
        <x:v>CSALUU</x:v>
      </x:c>
      <x:c r="AE311" s="38" t="str">
        <x:v>CSALUUT</x:v>
      </x:c>
      <x:c r="AF311" s="123" t="n">
        <x:v>0</x:v>
      </x:c>
      <x:c r="AG311" s="112" t="str">
        <x:v>g</x:v>
      </x:c>
      <x:c r="AH311" s="112" t="str">
        <x:v>CHAI</x:v>
      </x:c>
      <x:c r="AI311" s="112" t="str">
        <x:v>0 g / CHAI</x:v>
      </x:c>
      <x:c r="AJ311" s="120" t="n">
        <x:v>48000</x:v>
      </x:c>
      <x:c r="AK311" s="120"/>
      <x:c r="AL311" s="120" t="n">
        <x:v>48000</x:v>
      </x:c>
      <x:c r="AM311" s="112" t="str">
        <x:v>BỔ SUNG GIÁ</x:v>
      </x:c>
      <x:c r="AN311" s="126" t="n">
        <x:v>676</x:v>
      </x:c>
      <x:c r="AO311" s="126" t="n">
        <x:v>677</x:v>
      </x:c>
      <x:c r="AP311" s="113" t="str">
        <x:v>12 CHAI / THÙNG</x:v>
      </x:c>
    </x:row>
    <x:row r="312">
      <x:c r="A312" s="71" t="str">
        <x:v>SIRO CASALANCA ĐÀO</x:v>
      </x:c>
      <x:c r="B312" s="30" t="str">
        <x:v>SIRO CASALANCA ĐÀO - THÙNG</x:v>
      </x:c>
      <x:c r="C312" s="37" t="str">
        <x:v>CSADAO</x:v>
      </x:c>
      <x:c r="D312" s="37" t="str">
        <x:v>CSADAOT</x:v>
      </x:c>
      <x:c r="E312" s="37" t="str">
        <x:v>CSADAOT</x:v>
      </x:c>
      <x:c r="F312" s="37" t="n">
        <x:v>12</x:v>
      </x:c>
      <x:c r="G312" s="37" t="n">
        <x:v>0</x:v>
      </x:c>
      <x:c r="H312" s="37" t="str">
        <x:v>g</x:v>
      </x:c>
      <x:c r="I312" s="37" t="str">
        <x:v>THÙNG</x:v>
      </x:c>
      <x:c r="J312" s="59" t="n">
        <x:v>0</x:v>
      </x:c>
      <x:c r="K312" s="59" t="n">
        <x:v>0</x:v>
      </x:c>
      <x:c r="L312" s="59" t="n">
        <x:v>0</x:v>
      </x:c>
      <x:c r="M312" s="37" t="str">
        <x:v>Siro</x:v>
      </x:c>
      <x:c r="N312" s="37" t="str">
        <x:v>CHƯA CÓ GIÁ LẺ</x:v>
      </x:c>
      <x:c r="O312" s="61" t="n">
        <x:v>0.178</x:v>
      </x:c>
      <x:c r="P312" s="37"/>
      <x:c r="Q312" s="30"/>
      <x:c r="R312" s="30"/>
      <x:c r="S312" s="30"/>
      <x:c r="T312" s="37"/>
      <x:c r="U312" s="59"/>
      <x:c r="V312" s="59"/>
      <x:c r="W312" s="117" t="n">
        <x:v>48000</x:v>
      </x:c>
      <x:c r="X312" s="59" t="str">
        <x:f>IFERROR(IF(OR($N312="ĐÃ GHÉP - AUTO",$N312="ĐÃ GHÉP - QUY TẮC"),IF($V312="","",IF($T312="THÙNG",$V312/$F312,$V312)),""),"")</x:f>
      </x:c>
      <x:c r="Y312" s="117" t="n">
        <x:f>IF(OR(W312="",F312=""),"",W312*F312)</x:f>
        <x:v>576000</x:v>
      </x:c>
      <x:c r="Z312" s="59" t="str">
        <x:f>IFERROR(IF(OR($N312="ĐÃ GHÉP - AUTO",$N312="ĐÃ GHÉP - QUY TẮC"),IF($V312="","",IF($T312="THÙNG",$V312,$V312*$F312)),""),"")</x:f>
      </x:c>
      <x:c r="AA312" s="28" t="str">
        <x:f>IFERROR(IF(OR($K312="",$K312=0,$Y312=""),"",($Y312-$K312)/$K312),"")</x:f>
      </x:c>
      <x:c r="AB312" s="37" t="str">
        <x:f>IFERROR(IF($N312="CẦN DUYỆT","DUYỆT MAP",IF($N312="CHƯA CÓ GIÁ LẺ","THIẾU GIÁ",IF(OR($K312="",$K312=0,$Y312=""),"OK",IF(ABS(($Y312-$K312)/$K312)&gt;0.15,"LỆCH GIÁ CŨ","OK")))),"OK")</x:f>
        <x:v>THIẾU GIÁ</x:v>
      </x:c>
      <x:c r="AC312" s="30" t="str">
        <x:v>ứng viên gần nhất=CỐT bí đao wonderfull; score=0.178</x:v>
      </x:c>
      <x:c r="AD312" s="37" t="str">
        <x:v>CSADAO</x:v>
      </x:c>
      <x:c r="AE312" s="38" t="str">
        <x:v>CSADAOT</x:v>
      </x:c>
      <x:c r="AF312" s="123" t="n">
        <x:v>16</x:v>
      </x:c>
      <x:c r="AG312" s="112" t="str">
        <x:v>kg</x:v>
      </x:c>
      <x:c r="AH312" s="112" t="str">
        <x:v>CHAI</x:v>
      </x:c>
      <x:c r="AI312" s="112" t="str">
        <x:v>16 kg / CHAI</x:v>
      </x:c>
      <x:c r="AJ312" s="120" t="n">
        <x:v>48000</x:v>
      </x:c>
      <x:c r="AK312" s="120"/>
      <x:c r="AL312" s="120" t="n">
        <x:v>48000</x:v>
      </x:c>
      <x:c r="AM312" s="112" t="str">
        <x:v>BỔ SUNG GIÁ</x:v>
      </x:c>
      <x:c r="AN312" s="126" t="n">
        <x:v>678</x:v>
      </x:c>
      <x:c r="AO312" s="126" t="n">
        <x:v>679</x:v>
      </x:c>
      <x:c r="AP312" s="113" t="str">
        <x:v>12 CHAI / THÙNG</x:v>
      </x:c>
    </x:row>
    <x:row r="313">
      <x:c r="A313" s="71" t="str">
        <x:v>SIRO CASALANCA DƯA LƯỚI</x:v>
      </x:c>
      <x:c r="B313" s="30" t="str">
        <x:v>SIRO CASALANCA DƯA LƯỚI - THÙNG</x:v>
      </x:c>
      <x:c r="C313" s="37" t="str">
        <x:v>CSADLU</x:v>
      </x:c>
      <x:c r="D313" s="37" t="str">
        <x:v>CSADLUT</x:v>
      </x:c>
      <x:c r="E313" s="37" t="str">
        <x:v>CSADLUT</x:v>
      </x:c>
      <x:c r="F313" s="37" t="n">
        <x:v>12</x:v>
      </x:c>
      <x:c r="G313" s="37" t="n">
        <x:v>0</x:v>
      </x:c>
      <x:c r="H313" s="37" t="str">
        <x:v>g</x:v>
      </x:c>
      <x:c r="I313" s="37" t="str">
        <x:v>THÙNG</x:v>
      </x:c>
      <x:c r="J313" s="59" t="n">
        <x:v>0</x:v>
      </x:c>
      <x:c r="K313" s="59" t="n">
        <x:v>0</x:v>
      </x:c>
      <x:c r="L313" s="59" t="n">
        <x:v>0</x:v>
      </x:c>
      <x:c r="M313" s="37" t="str">
        <x:v>Siro</x:v>
      </x:c>
      <x:c r="N313" s="37" t="str">
        <x:v>CHƯA CÓ GIÁ LẺ</x:v>
      </x:c>
      <x:c r="O313" s="61" t="n">
        <x:v>0.466</x:v>
      </x:c>
      <x:c r="P313" s="37"/>
      <x:c r="Q313" s="30"/>
      <x:c r="R313" s="30"/>
      <x:c r="S313" s="30"/>
      <x:c r="T313" s="37"/>
      <x:c r="U313" s="59"/>
      <x:c r="V313" s="59"/>
      <x:c r="W313" s="117" t="n">
        <x:v>48000</x:v>
      </x:c>
      <x:c r="X313" s="59" t="str">
        <x:f>IFERROR(IF(OR($N313="ĐÃ GHÉP - AUTO",$N313="ĐÃ GHÉP - QUY TẮC"),IF($V313="","",IF($T313="THÙNG",$V313/$F313,$V313)),""),"")</x:f>
      </x:c>
      <x:c r="Y313" s="117" t="n">
        <x:f>IF(OR(W313="",F313=""),"",W313*F313)</x:f>
        <x:v>576000</x:v>
      </x:c>
      <x:c r="Z313" s="59" t="str">
        <x:f>IFERROR(IF(OR($N313="ĐÃ GHÉP - AUTO",$N313="ĐÃ GHÉP - QUY TẮC"),IF($V313="","",IF($T313="THÙNG",$V313,$V313*$F313)),""),"")</x:f>
      </x:c>
      <x:c r="AA313" s="28" t="str">
        <x:f>IFERROR(IF(OR($K313="",$K313=0,$Y313=""),"",($Y313-$K313)/$K313),"")</x:f>
      </x:c>
      <x:c r="AB313" s="37" t="str">
        <x:f>IFERROR(IF($N313="CẦN DUYỆT","DUYỆT MAP",IF($N313="CHƯA CÓ GIÁ LẺ","THIẾU GIÁ",IF(OR($K313="",$K313=0,$Y313=""),"OK",IF(ABS(($Y313-$K313)/$K313)&gt;0.15,"LỆCH GIÁ CŨ","OK")))),"OK")</x:f>
        <x:v>THIẾU GIÁ</x:v>
      </x:c>
      <x:c r="AC313" s="30" t="str">
        <x:v>ứng viên gần nhất=Siro Sâm Dứa Vina; score=0.466</x:v>
      </x:c>
      <x:c r="AD313" s="37" t="str">
        <x:v>CSADLU</x:v>
      </x:c>
      <x:c r="AE313" s="38" t="str">
        <x:v>CSADLUT</x:v>
      </x:c>
      <x:c r="AF313" s="123" t="n">
        <x:v>16</x:v>
      </x:c>
      <x:c r="AG313" s="112" t="str">
        <x:v>kg</x:v>
      </x:c>
      <x:c r="AH313" s="112" t="str">
        <x:v>CHAI</x:v>
      </x:c>
      <x:c r="AI313" s="112" t="str">
        <x:v>16 kg / CHAI</x:v>
      </x:c>
      <x:c r="AJ313" s="120" t="n">
        <x:v>48000</x:v>
      </x:c>
      <x:c r="AK313" s="120"/>
      <x:c r="AL313" s="120" t="n">
        <x:v>48000</x:v>
      </x:c>
      <x:c r="AM313" s="112" t="str">
        <x:v>BỔ SUNG GIÁ</x:v>
      </x:c>
      <x:c r="AN313" s="126" t="n">
        <x:v>680</x:v>
      </x:c>
      <x:c r="AO313" s="126" t="n">
        <x:v>681</x:v>
      </x:c>
      <x:c r="AP313" s="113" t="str">
        <x:v>12 CHAI / THÙNG</x:v>
      </x:c>
    </x:row>
    <x:row r="314">
      <x:c r="A314" s="71" t="str">
        <x:v>SIRO CASALANCA DÂU</x:v>
      </x:c>
      <x:c r="B314" s="30" t="str">
        <x:v>SIRO CASALANCA DÂU - THÙNG</x:v>
      </x:c>
      <x:c r="C314" s="37" t="str">
        <x:v>CSADAU</x:v>
      </x:c>
      <x:c r="D314" s="37" t="str">
        <x:v>CSADAUT</x:v>
      </x:c>
      <x:c r="E314" s="37" t="str">
        <x:v>CSADAUT</x:v>
      </x:c>
      <x:c r="F314" s="37" t="n">
        <x:v>12</x:v>
      </x:c>
      <x:c r="G314" s="37" t="n">
        <x:v>0</x:v>
      </x:c>
      <x:c r="H314" s="37" t="str">
        <x:v>g</x:v>
      </x:c>
      <x:c r="I314" s="37" t="str">
        <x:v>THÙNG</x:v>
      </x:c>
      <x:c r="J314" s="59" t="n">
        <x:v>0</x:v>
      </x:c>
      <x:c r="K314" s="59" t="n">
        <x:v>0</x:v>
      </x:c>
      <x:c r="L314" s="59" t="n">
        <x:v>0</x:v>
      </x:c>
      <x:c r="M314" s="37" t="str">
        <x:v>Siro</x:v>
      </x:c>
      <x:c r="N314" s="37" t="str">
        <x:v>CHƯA CÓ GIÁ LẺ</x:v>
      </x:c>
      <x:c r="O314" s="61" t="n">
        <x:v>0.276</x:v>
      </x:c>
      <x:c r="P314" s="37"/>
      <x:c r="Q314" s="30"/>
      <x:c r="R314" s="30"/>
      <x:c r="S314" s="30"/>
      <x:c r="T314" s="37"/>
      <x:c r="U314" s="59"/>
      <x:c r="V314" s="59"/>
      <x:c r="W314" s="117" t="n">
        <x:v>48000</x:v>
      </x:c>
      <x:c r="X314" s="59" t="str">
        <x:f>IFERROR(IF(OR($N314="ĐÃ GHÉP - AUTO",$N314="ĐÃ GHÉP - QUY TẮC"),IF($V314="","",IF($T314="THÙNG",$V314/$F314,$V314)),""),"")</x:f>
      </x:c>
      <x:c r="Y314" s="117" t="n">
        <x:f>IF(OR(W314="",F314=""),"",W314*F314)</x:f>
        <x:v>576000</x:v>
      </x:c>
      <x:c r="Z314" s="59" t="str">
        <x:f>IFERROR(IF(OR($N314="ĐÃ GHÉP - AUTO",$N314="ĐÃ GHÉP - QUY TẮC"),IF($V314="","",IF($T314="THÙNG",$V314,$V314*$F314)),""),"")</x:f>
      </x:c>
      <x:c r="AA314" s="28" t="str">
        <x:f>IFERROR(IF(OR($K314="",$K314=0,$Y314=""),"",($Y314-$K314)/$K314),"")</x:f>
      </x:c>
      <x:c r="AB314" s="37" t="str">
        <x:f>IFERROR(IF($N314="CẦN DUYỆT","DUYỆT MAP",IF($N314="CHƯA CÓ GIÁ LẺ","THIẾU GIÁ",IF(OR($K314="",$K314=0,$Y314=""),"OK",IF(ABS(($Y314-$K314)/$K314)&gt;0.15,"LỆCH GIÁ CŨ","OK")))),"OK")</x:f>
        <x:v>THIẾU GIÁ</x:v>
      </x:c>
      <x:c r="AC314" s="30" t="str">
        <x:v>ứng viên gần nhất=Siro GTP dâu , duong den; score=0.276</x:v>
      </x:c>
      <x:c r="AD314" s="37" t="str">
        <x:v>CSADAU</x:v>
      </x:c>
      <x:c r="AE314" s="38" t="str">
        <x:v>CSADAUT</x:v>
      </x:c>
      <x:c r="AF314" s="123" t="n">
        <x:v>16</x:v>
      </x:c>
      <x:c r="AG314" s="112" t="str">
        <x:v>kg</x:v>
      </x:c>
      <x:c r="AH314" s="112" t="str">
        <x:v>CHAI</x:v>
      </x:c>
      <x:c r="AI314" s="112" t="str">
        <x:v>16 kg / CHAI</x:v>
      </x:c>
      <x:c r="AJ314" s="120" t="n">
        <x:v>48000</x:v>
      </x:c>
      <x:c r="AK314" s="120"/>
      <x:c r="AL314" s="120" t="n">
        <x:v>48000</x:v>
      </x:c>
      <x:c r="AM314" s="112" t="str">
        <x:v>BỔ SUNG GIÁ</x:v>
      </x:c>
      <x:c r="AN314" s="126" t="n">
        <x:v>682</x:v>
      </x:c>
      <x:c r="AO314" s="126" t="n">
        <x:v>683</x:v>
      </x:c>
      <x:c r="AP314" s="113" t="str">
        <x:v>12 CHAI / THÙNG</x:v>
      </x:c>
    </x:row>
    <x:row r="315">
      <x:c r="A315" s="71" t="str">
        <x:v>SIRO CASALANCA THƠM</x:v>
      </x:c>
      <x:c r="B315" s="30" t="str">
        <x:v>SIRO CASALANCA THƠM - THÙNG</x:v>
      </x:c>
      <x:c r="C315" s="37" t="str">
        <x:v>CSATHO</x:v>
      </x:c>
      <x:c r="D315" s="37" t="str">
        <x:v>CSATHOT</x:v>
      </x:c>
      <x:c r="E315" s="37" t="str">
        <x:v>CSATHOT</x:v>
      </x:c>
      <x:c r="F315" s="37" t="n">
        <x:v>12</x:v>
      </x:c>
      <x:c r="G315" s="37" t="n">
        <x:v>0</x:v>
      </x:c>
      <x:c r="H315" s="37" t="str">
        <x:v>g</x:v>
      </x:c>
      <x:c r="I315" s="37" t="str">
        <x:v>THÙNG</x:v>
      </x:c>
      <x:c r="J315" s="59" t="n">
        <x:v>0</x:v>
      </x:c>
      <x:c r="K315" s="59" t="n">
        <x:v>0</x:v>
      </x:c>
      <x:c r="L315" s="59" t="n">
        <x:v>0</x:v>
      </x:c>
      <x:c r="M315" s="37" t="str">
        <x:v>Siro</x:v>
      </x:c>
      <x:c r="N315" s="37" t="str">
        <x:v>CHƯA CÓ GIÁ LẺ</x:v>
      </x:c>
      <x:c r="O315" s="61" t="n">
        <x:v>0.065</x:v>
      </x:c>
      <x:c r="P315" s="37"/>
      <x:c r="Q315" s="30"/>
      <x:c r="R315" s="30"/>
      <x:c r="S315" s="30"/>
      <x:c r="T315" s="37"/>
      <x:c r="U315" s="59"/>
      <x:c r="V315" s="59"/>
      <x:c r="W315" s="117" t="n">
        <x:v>48000</x:v>
      </x:c>
      <x:c r="X315" s="59" t="str">
        <x:f>IFERROR(IF(OR($N315="ĐÃ GHÉP - AUTO",$N315="ĐÃ GHÉP - QUY TẮC"),IF($V315="","",IF($T315="THÙNG",$V315/$F315,$V315)),""),"")</x:f>
      </x:c>
      <x:c r="Y315" s="117" t="n">
        <x:f>IF(OR(W315="",F315=""),"",W315*F315)</x:f>
        <x:v>576000</x:v>
      </x:c>
      <x:c r="Z315" s="59" t="str">
        <x:f>IFERROR(IF(OR($N315="ĐÃ GHÉP - AUTO",$N315="ĐÃ GHÉP - QUY TẮC"),IF($V315="","",IF($T315="THÙNG",$V315,$V315*$F315)),""),"")</x:f>
      </x:c>
      <x:c r="AA315" s="28" t="str">
        <x:f>IFERROR(IF(OR($K315="",$K315=0,$Y315=""),"",($Y315-$K315)/$K315),"")</x:f>
      </x:c>
      <x:c r="AB315" s="37" t="str">
        <x:f>IFERROR(IF($N315="CẦN DUYỆT","DUYỆT MAP",IF($N315="CHƯA CÓ GIÁ LẺ","THIẾU GIÁ",IF(OR($K315="",$K315=0,$Y315=""),"OK",IF(ABS(($Y315-$K315)/$K315)&gt;0.15,"LỆCH GIÁ CŨ","OK")))),"OK")</x:f>
        <x:v>THIẾU GIÁ</x:v>
      </x:c>
      <x:c r="AC315" s="30" t="str">
        <x:v>ứng viên gần nhất=Siro Changthai; score=0.065</x:v>
      </x:c>
      <x:c r="AD315" s="37" t="str">
        <x:v>CSATHO</x:v>
      </x:c>
      <x:c r="AE315" s="38" t="str">
        <x:v>CSATHOT</x:v>
      </x:c>
      <x:c r="AF315" s="123" t="n">
        <x:v>16</x:v>
      </x:c>
      <x:c r="AG315" s="112" t="str">
        <x:v>kg</x:v>
      </x:c>
      <x:c r="AH315" s="112" t="str">
        <x:v>CHAI</x:v>
      </x:c>
      <x:c r="AI315" s="112" t="str">
        <x:v>16 kg / CHAI</x:v>
      </x:c>
      <x:c r="AJ315" s="120" t="n">
        <x:v>48000</x:v>
      </x:c>
      <x:c r="AK315" s="120"/>
      <x:c r="AL315" s="120" t="n">
        <x:v>48000</x:v>
      </x:c>
      <x:c r="AM315" s="112" t="str">
        <x:v>BỔ SUNG GIÁ</x:v>
      </x:c>
      <x:c r="AN315" s="126" t="n">
        <x:v>684</x:v>
      </x:c>
      <x:c r="AO315" s="126" t="n">
        <x:v>685</x:v>
      </x:c>
      <x:c r="AP315" s="113" t="str">
        <x:v>12 CHAI / THÙNG</x:v>
      </x:c>
    </x:row>
    <x:row r="316">
      <x:c r="A316" s="71" t="str">
        <x:v>SIRO TRÒN BÍ ĐAO</x:v>
      </x:c>
      <x:c r="B316" s="30" t="str">
        <x:v>SIRO TRÒN BÍ ĐAO - THÙNG</x:v>
      </x:c>
      <x:c r="C316" s="37" t="str">
        <x:v>SRBITR</x:v>
      </x:c>
      <x:c r="D316" s="37" t="str">
        <x:v>SRBITRT</x:v>
      </x:c>
      <x:c r="E316" s="37" t="str">
        <x:v>SRBITRT</x:v>
      </x:c>
      <x:c r="F316" s="37" t="n">
        <x:v>6</x:v>
      </x:c>
      <x:c r="G316" s="37" t="n">
        <x:v>16000</x:v>
      </x:c>
      <x:c r="H316" s="37" t="str">
        <x:v>g</x:v>
      </x:c>
      <x:c r="I316" s="37" t="str">
        <x:v>THÙNG</x:v>
      </x:c>
      <x:c r="J316" s="59" t="n">
        <x:v>0</x:v>
      </x:c>
      <x:c r="K316" s="59" t="n">
        <x:v>0</x:v>
      </x:c>
      <x:c r="L316" s="59" t="n">
        <x:v>0</x:v>
      </x:c>
      <x:c r="M316" s="37" t="str">
        <x:v>Siro</x:v>
      </x:c>
      <x:c r="N316" s="37" t="str">
        <x:v>CHƯA CÓ GIÁ LẺ</x:v>
      </x:c>
      <x:c r="O316" s="61" t="n">
        <x:v>0.456</x:v>
      </x:c>
      <x:c r="P316" s="37"/>
      <x:c r="Q316" s="30"/>
      <x:c r="R316" s="30"/>
      <x:c r="S316" s="30"/>
      <x:c r="T316" s="37"/>
      <x:c r="U316" s="59"/>
      <x:c r="V316" s="59"/>
      <x:c r="W316" s="117" t="n">
        <x:v>125000</x:v>
      </x:c>
      <x:c r="X316" s="59" t="str">
        <x:f>IFERROR(IF(OR($N316="ĐÃ GHÉP - AUTO",$N316="ĐÃ GHÉP - QUY TẮC"),IF($V316="","",IF($T316="THÙNG",$V316/$F316,$V316)),""),"")</x:f>
      </x:c>
      <x:c r="Y316" s="117" t="n">
        <x:f>IF(OR(W316="",F316=""),"",W316*F316)</x:f>
        <x:v>750000</x:v>
      </x:c>
      <x:c r="Z316" s="59" t="str">
        <x:f>IFERROR(IF(OR($N316="ĐÃ GHÉP - AUTO",$N316="ĐÃ GHÉP - QUY TẮC"),IF($V316="","",IF($T316="THÙNG",$V316,$V316*$F316)),""),"")</x:f>
      </x:c>
      <x:c r="AA316" s="28" t="str">
        <x:f>IFERROR(IF(OR($K316="",$K316=0,$Y316=""),"",($Y316-$K316)/$K316),"")</x:f>
      </x:c>
      <x:c r="AB316" s="37" t="str">
        <x:f>IFERROR(IF($N316="CẦN DUYỆT","DUYỆT MAP",IF($N316="CHƯA CÓ GIÁ LẺ","THIẾU GIÁ",IF(OR($K316="",$K316=0,$Y316=""),"OK",IF(ABS(($Y316-$K316)/$K316)&gt;0.15,"LỆCH GIÁ CŨ","OK")))),"OK")</x:f>
        <x:v>THIẾU GIÁ</x:v>
      </x:c>
      <x:c r="AC316" s="30" t="str">
        <x:v>ứng viên gần nhất=Siro Douxian 2l tròn; score=0.456</x:v>
      </x:c>
      <x:c r="AD316" s="37" t="str">
        <x:v>SRBITR</x:v>
      </x:c>
      <x:c r="AE316" s="38" t="str">
        <x:v>SRBITRT</x:v>
      </x:c>
      <x:c r="AF316" s="123" t="n">
        <x:v>2650</x:v>
      </x:c>
      <x:c r="AG316" s="112" t="str">
        <x:v>g</x:v>
      </x:c>
      <x:c r="AH316" s="112" t="str">
        <x:v>BÌNH</x:v>
      </x:c>
      <x:c r="AI316" s="112" t="str">
        <x:v>2650 g / BÌNH</x:v>
      </x:c>
      <x:c r="AJ316" s="120" t="n">
        <x:v>125000</x:v>
      </x:c>
      <x:c r="AK316" s="120"/>
      <x:c r="AL316" s="120" t="n">
        <x:v>125000</x:v>
      </x:c>
      <x:c r="AM316" s="112" t="str">
        <x:v>BỔ SUNG GIÁ</x:v>
      </x:c>
      <x:c r="AN316" s="126" t="n">
        <x:v>686</x:v>
      </x:c>
      <x:c r="AO316" s="126" t="n">
        <x:v>687</x:v>
      </x:c>
      <x:c r="AP316" s="113" t="str">
        <x:v>6 BÌNH / THÙNG</x:v>
      </x:c>
    </x:row>
    <x:row r="317">
      <x:c r="A317" s="71" t="str">
        <x:v>SIRO VUÔNG BẠC HÀ</x:v>
      </x:c>
      <x:c r="B317" s="30" t="str">
        <x:v>SIRO VUÔNG BẠC HÀ - THÙNG</x:v>
      </x:c>
      <x:c r="C317" s="37" t="str">
        <x:v>SRBHVG</x:v>
      </x:c>
      <x:c r="D317" s="37" t="str">
        <x:v>SRBHVGT</x:v>
      </x:c>
      <x:c r="E317" s="37" t="str">
        <x:v>SRBHVGT</x:v>
      </x:c>
      <x:c r="F317" s="37" t="n">
        <x:v>6</x:v>
      </x:c>
      <x:c r="G317" s="37" t="n">
        <x:v>16000</x:v>
      </x:c>
      <x:c r="H317" s="37" t="str">
        <x:v>g</x:v>
      </x:c>
      <x:c r="I317" s="37" t="str">
        <x:v>THÙNG</x:v>
      </x:c>
      <x:c r="J317" s="59" t="n">
        <x:v>0</x:v>
      </x:c>
      <x:c r="K317" s="59" t="n">
        <x:v>0</x:v>
      </x:c>
      <x:c r="L317" s="59" t="n">
        <x:v>0</x:v>
      </x:c>
      <x:c r="M317" s="37" t="str">
        <x:v>Siro</x:v>
      </x:c>
      <x:c r="N317" s="37" t="str">
        <x:v>CHƯA CÓ GIÁ LẺ</x:v>
      </x:c>
      <x:c r="O317" s="61" t="n">
        <x:v>0.068</x:v>
      </x:c>
      <x:c r="P317" s="37"/>
      <x:c r="Q317" s="30"/>
      <x:c r="R317" s="30"/>
      <x:c r="S317" s="30"/>
      <x:c r="T317" s="37"/>
      <x:c r="U317" s="59"/>
      <x:c r="V317" s="59"/>
      <x:c r="W317" s="117" t="n">
        <x:v>85000</x:v>
      </x:c>
      <x:c r="X317" s="59" t="str">
        <x:f>IFERROR(IF(OR($N317="ĐÃ GHÉP - AUTO",$N317="ĐÃ GHÉP - QUY TẮC"),IF($V317="","",IF($T317="THÙNG",$V317/$F317,$V317)),""),"")</x:f>
      </x:c>
      <x:c r="Y317" s="117" t="n">
        <x:f>IF(OR(W317="",F317=""),"",W317*F317)</x:f>
        <x:v>510000</x:v>
      </x:c>
      <x:c r="Z317" s="59" t="str">
        <x:f>IFERROR(IF(OR($N317="ĐÃ GHÉP - AUTO",$N317="ĐÃ GHÉP - QUY TẮC"),IF($V317="","",IF($T317="THÙNG",$V317,$V317*$F317)),""),"")</x:f>
      </x:c>
      <x:c r="AA317" s="28" t="str">
        <x:f>IFERROR(IF(OR($K317="",$K317=0,$Y317=""),"",($Y317-$K317)/$K317),"")</x:f>
      </x:c>
      <x:c r="AB317" s="37" t="str">
        <x:f>IFERROR(IF($N317="CẦN DUYỆT","DUYỆT MAP",IF($N317="CHƯA CÓ GIÁ LẺ","THIẾU GIÁ",IF(OR($K317="",$K317=0,$Y317=""),"OK",IF(ABS(($Y317-$K317)/$K317)&gt;0.15,"LỆCH GIÁ CŨ","OK")))),"OK")</x:f>
        <x:v>THIẾU GIÁ</x:v>
      </x:c>
      <x:c r="AC317" s="30" t="str">
        <x:v>ứng viên gần nhất=Siro GTP dâu , duong den; score=0.068</x:v>
      </x:c>
      <x:c r="AD317" s="37" t="str">
        <x:v>SRBHVG</x:v>
      </x:c>
      <x:c r="AE317" s="38" t="str">
        <x:v>SRBHVGT</x:v>
      </x:c>
      <x:c r="AF317" s="123" t="n">
        <x:v>2650</x:v>
      </x:c>
      <x:c r="AG317" s="112" t="str">
        <x:v>g</x:v>
      </x:c>
      <x:c r="AH317" s="112" t="str">
        <x:v>BÌNH</x:v>
      </x:c>
      <x:c r="AI317" s="112" t="str">
        <x:v>2650 g / BÌNH</x:v>
      </x:c>
      <x:c r="AJ317" s="120" t="n">
        <x:v>85000</x:v>
      </x:c>
      <x:c r="AK317" s="120"/>
      <x:c r="AL317" s="120" t="n">
        <x:v>85000</x:v>
      </x:c>
      <x:c r="AM317" s="112" t="str">
        <x:v>BỔ SUNG GIÁ</x:v>
      </x:c>
      <x:c r="AN317" s="126" t="n">
        <x:v>688</x:v>
      </x:c>
      <x:c r="AO317" s="126" t="n">
        <x:v>689</x:v>
      </x:c>
      <x:c r="AP317" s="113" t="str">
        <x:v>6 BÌNH / THÙNG</x:v>
      </x:c>
    </x:row>
    <x:row r="318">
      <x:c r="A318" s="71" t="str">
        <x:v>SIRO A+ BẠC HÀ</x:v>
      </x:c>
      <x:c r="B318" s="30" t="str">
        <x:v>SIRO A+ BẠC HÀ - THÙNG</x:v>
      </x:c>
      <x:c r="C318" s="37" t="str">
        <x:v>SRABHA</x:v>
      </x:c>
      <x:c r="D318" s="37" t="str">
        <x:v>SRABHAT</x:v>
      </x:c>
      <x:c r="E318" s="37" t="str">
        <x:v>SRABHAT</x:v>
      </x:c>
      <x:c r="F318" s="37" t="n">
        <x:v>24</x:v>
      </x:c>
      <x:c r="G318" s="37" t="n">
        <x:v>16000</x:v>
      </x:c>
      <x:c r="H318" s="37" t="str">
        <x:v>g</x:v>
      </x:c>
      <x:c r="I318" s="37" t="str">
        <x:v>THÙNG</x:v>
      </x:c>
      <x:c r="J318" s="59" t="n">
        <x:v>612000</x:v>
      </x:c>
      <x:c r="K318" s="59" t="n">
        <x:v>0</x:v>
      </x:c>
      <x:c r="L318" s="59" t="n">
        <x:v>0</x:v>
      </x:c>
      <x:c r="M318" s="37" t="str">
        <x:v>Siro</x:v>
      </x:c>
      <x:c r="N318" s="37" t="str">
        <x:v>CHƯA CÓ GIÁ LẺ</x:v>
      </x:c>
      <x:c r="O318" s="61" t="n">
        <x:v>0.053</x:v>
      </x:c>
      <x:c r="P318" s="37"/>
      <x:c r="Q318" s="30"/>
      <x:c r="R318" s="30"/>
      <x:c r="S318" s="30"/>
      <x:c r="T318" s="37"/>
      <x:c r="U318" s="59"/>
      <x:c r="V318" s="59"/>
      <x:c r="W318" s="117" t="n">
        <x:v>27000</x:v>
      </x:c>
      <x:c r="X318" s="59" t="str">
        <x:f>IFERROR(IF(OR($N318="ĐÃ GHÉP - AUTO",$N318="ĐÃ GHÉP - QUY TẮC"),IF($V318="","",IF($T318="THÙNG",$V318/$F318,$V318)),""),"")</x:f>
      </x:c>
      <x:c r="Y318" s="117" t="n">
        <x:f>IF(OR(W318="",F318=""),"",W318*F318)</x:f>
        <x:v>648000</x:v>
      </x:c>
      <x:c r="Z318" s="59" t="str">
        <x:f>IFERROR(IF(OR($N318="ĐÃ GHÉP - AUTO",$N318="ĐÃ GHÉP - QUY TẮC"),IF($V318="","",IF($T318="THÙNG",$V318,$V318*$F318)),""),"")</x:f>
      </x:c>
      <x:c r="AA318" s="28" t="str">
        <x:f>IFERROR(IF(OR($K318="",$K318=0,$Y318=""),"",($Y318-$K318)/$K318),"")</x:f>
      </x:c>
      <x:c r="AB318" s="37" t="str">
        <x:f>IFERROR(IF($N318="CẦN DUYỆT","DUYỆT MAP",IF($N318="CHƯA CÓ GIÁ LẺ","THIẾU GIÁ",IF(OR($K318="",$K318=0,$Y318=""),"OK",IF(ABS(($Y318-$K318)/$K318)&gt;0.15,"LỆCH GIÁ CŨ","OK")))),"OK")</x:f>
        <x:v>THIẾU GIÁ</x:v>
      </x:c>
      <x:c r="AC318" s="30" t="str">
        <x:v>ứng viên gần nhất=Siro Sâm Dứa Vina; score=0.053</x:v>
      </x:c>
      <x:c r="AD318" s="37" t="str">
        <x:v>SRABHA</x:v>
      </x:c>
      <x:c r="AE318" s="38" t="str">
        <x:v>SRABHAT</x:v>
      </x:c>
      <x:c r="AF318" s="123" t="n">
        <x:v>0</x:v>
      </x:c>
      <x:c r="AG318" s="112" t="str">
        <x:v>g</x:v>
      </x:c>
      <x:c r="AH318" s="112" t="str">
        <x:v>CHAI</x:v>
      </x:c>
      <x:c r="AI318" s="112" t="str">
        <x:v>0 g / CHAI</x:v>
      </x:c>
      <x:c r="AJ318" s="120" t="n">
        <x:v>27000</x:v>
      </x:c>
      <x:c r="AK318" s="120"/>
      <x:c r="AL318" s="120" t="n">
        <x:v>27000</x:v>
      </x:c>
      <x:c r="AM318" s="112" t="str">
        <x:v>BỔ SUNG GIÁ</x:v>
      </x:c>
      <x:c r="AN318" s="126" t="n">
        <x:v>690</x:v>
      </x:c>
      <x:c r="AO318" s="126" t="n">
        <x:v>691</x:v>
      </x:c>
      <x:c r="AP318" s="113" t="str">
        <x:v>24 CHAI / THÙNG</x:v>
      </x:c>
    </x:row>
    <x:row r="319">
      <x:c r="A319" s="71" t="str">
        <x:v>SIRO GOLD 2L ỔI</x:v>
      </x:c>
      <x:c r="B319" s="30" t="str">
        <x:v>SIRO GOLD 2L ỔI - THÙNG</x:v>
      </x:c>
      <x:c r="C319" s="37" t="str">
        <x:v>SRG2OI</x:v>
      </x:c>
      <x:c r="D319" s="37" t="str">
        <x:v>SRG2OIT</x:v>
      </x:c>
      <x:c r="E319" s="37" t="str">
        <x:v>SRG2OIT</x:v>
      </x:c>
      <x:c r="F319" s="37" t="n">
        <x:v>6</x:v>
      </x:c>
      <x:c r="G319" s="37" t="n">
        <x:v>16000</x:v>
      </x:c>
      <x:c r="H319" s="37" t="str">
        <x:v>g</x:v>
      </x:c>
      <x:c r="I319" s="37" t="str">
        <x:v>THÙNG</x:v>
      </x:c>
      <x:c r="J319" s="59" t="n">
        <x:v>0</x:v>
      </x:c>
      <x:c r="K319" s="59" t="n">
        <x:v>0</x:v>
      </x:c>
      <x:c r="L319" s="59" t="n">
        <x:v>0</x:v>
      </x:c>
      <x:c r="M319" s="37" t="str">
        <x:v>Siro</x:v>
      </x:c>
      <x:c r="N319" s="37" t="str">
        <x:v>ĐÃ GHÉP - AUTO</x:v>
      </x:c>
      <x:c r="O319" s="61" t="n">
        <x:v>0.839</x:v>
      </x:c>
      <x:c r="P319" s="37" t="n">
        <x:v>7</x:v>
      </x:c>
      <x:c r="Q319" s="30" t="str">
        <x:v>Siro Gold 2l</x:v>
      </x:c>
      <x:c r="R319" s="30" t="str">
        <x:v>Thùng 4 bình</x:v>
      </x:c>
      <x:c r="S319" s="30" t="str">
        <x:v>bình</x:v>
      </x:c>
      <x:c r="T319" s="37" t="str">
        <x:v>ĐƠN VỊ</x:v>
      </x:c>
      <x:c r="U319" s="59" t="n">
        <x:v>140000</x:v>
      </x:c>
      <x:c r="V319" s="59"/>
      <x:c r="W319" s="117" t="n">
        <x:v>140000</x:v>
      </x:c>
      <x:c r="X319" s="59" t="str">
        <x:f>IFERROR(IF(OR($N319="ĐÃ GHÉP - AUTO",$N319="ĐÃ GHÉP - QUY TẮC"),IF($V319="","",IF($T319="THÙNG",$V319/$F319,$V319)),""),"")</x:f>
      </x:c>
      <x:c r="Y319" s="117" t="n">
        <x:f>IF(OR(W319="",F319=""),"",W319*F319)</x:f>
        <x:v>840000</x:v>
      </x:c>
      <x:c r="Z319" s="59" t="str">
        <x:f>IFERROR(IF(OR($N319="ĐÃ GHÉP - AUTO",$N319="ĐÃ GHÉP - QUY TẮC"),IF($V319="","",IF($T319="THÙNG",$V319,$V319*$F319)),""),"")</x:f>
      </x:c>
      <x:c r="AA319" s="28" t="str">
        <x:f>IFERROR(IF(OR($K319="",$K319=0,$Y319=""),"",($Y319-$K319)/$K319),"")</x:f>
      </x:c>
      <x:c r="AB319" s="37" t="str">
        <x:f>IFERROR(IF($N319="CẦN DUYỆT","DUYỆT MAP",IF($N319="CHƯA CÓ GIÁ LẺ","THIẾU GIÁ",IF(OR($K319="",$K319=0,$Y319=""),"OK",IF(ABS(($Y319-$K319)/$K319)&gt;0.15,"LỆCH GIÁ CŨ","OK")))),"OK")</x:f>
        <x:v>OK</x:v>
      </x:c>
      <x:c r="AC319" s="30" t="str">
        <x:v>score=0.839; gap=0.388</x:v>
      </x:c>
      <x:c r="AD319" s="37" t="str">
        <x:v>SRG2OI</x:v>
      </x:c>
      <x:c r="AE319" s="38" t="str">
        <x:v>SRG2OIT</x:v>
      </x:c>
      <x:c r="AF319" s="123" t="n">
        <x:v>2</x:v>
      </x:c>
      <x:c r="AG319" s="112" t="str">
        <x:v>kg</x:v>
      </x:c>
      <x:c r="AH319" s="112" t="str">
        <x:v>CAN</x:v>
      </x:c>
      <x:c r="AI319" s="112" t="str">
        <x:v>2 kg / CAN</x:v>
      </x:c>
      <x:c r="AJ319" s="120" t="n">
        <x:v>140000</x:v>
      </x:c>
      <x:c r="AK319" s="120" t="n">
        <x:v>140000</x:v>
      </x:c>
      <x:c r="AL319" s="120" t="n">
        <x:v>140000</x:v>
      </x:c>
      <x:c r="AM319" s="112" t="str">
        <x:v>GIỮ NGUYÊN - ĐÃ KHỚP</x:v>
      </x:c>
      <x:c r="AN319" s="126" t="n">
        <x:v>693</x:v>
      </x:c>
      <x:c r="AO319" s="126" t="n">
        <x:v>694</x:v>
      </x:c>
      <x:c r="AP319" s="113" t="str">
        <x:v>6 CAN / THÙNG</x:v>
      </x:c>
    </x:row>
    <x:row r="320">
      <x:c r="A320" s="71" t="str">
        <x:v>SIRO GOLD 2L NHO</x:v>
      </x:c>
      <x:c r="B320" s="30" t="str">
        <x:v>SIRO GOLD 2L NHO - THÙNG</x:v>
      </x:c>
      <x:c r="C320" s="37" t="str">
        <x:v>SRG2NH</x:v>
      </x:c>
      <x:c r="D320" s="37" t="str">
        <x:v>SRG2NHT</x:v>
      </x:c>
      <x:c r="E320" s="37" t="str">
        <x:v>SRG2NHT</x:v>
      </x:c>
      <x:c r="F320" s="37" t="n">
        <x:v>6</x:v>
      </x:c>
      <x:c r="G320" s="37" t="n">
        <x:v>16000</x:v>
      </x:c>
      <x:c r="H320" s="37" t="str">
        <x:v>g</x:v>
      </x:c>
      <x:c r="I320" s="37" t="str">
        <x:v>THÙNG</x:v>
      </x:c>
      <x:c r="J320" s="59" t="n">
        <x:v>0</x:v>
      </x:c>
      <x:c r="K320" s="59" t="n">
        <x:v>0</x:v>
      </x:c>
      <x:c r="L320" s="59" t="n">
        <x:v>0</x:v>
      </x:c>
      <x:c r="M320" s="37" t="str">
        <x:v>Siro</x:v>
      </x:c>
      <x:c r="N320" s="37" t="str">
        <x:v>ĐÃ GHÉP - AUTO</x:v>
      </x:c>
      <x:c r="O320" s="61" t="n">
        <x:v>0.832</x:v>
      </x:c>
      <x:c r="P320" s="37" t="n">
        <x:v>7</x:v>
      </x:c>
      <x:c r="Q320" s="30" t="str">
        <x:v>Siro Gold 2l</x:v>
      </x:c>
      <x:c r="R320" s="30" t="str">
        <x:v>Thùng 4 bình</x:v>
      </x:c>
      <x:c r="S320" s="30" t="str">
        <x:v>bình</x:v>
      </x:c>
      <x:c r="T320" s="37" t="str">
        <x:v>ĐƠN VỊ</x:v>
      </x:c>
      <x:c r="U320" s="59" t="n">
        <x:v>140000</x:v>
      </x:c>
      <x:c r="V320" s="59"/>
      <x:c r="W320" s="117" t="n">
        <x:v>140000</x:v>
      </x:c>
      <x:c r="X320" s="59" t="str">
        <x:f>IFERROR(IF(OR($N320="ĐÃ GHÉP - AUTO",$N320="ĐÃ GHÉP - QUY TẮC"),IF($V320="","",IF($T320="THÙNG",$V320/$F320,$V320)),""),"")</x:f>
      </x:c>
      <x:c r="Y320" s="117" t="n">
        <x:f>IF(OR(W320="",F320=""),"",W320*F320)</x:f>
        <x:v>840000</x:v>
      </x:c>
      <x:c r="Z320" s="59" t="str">
        <x:f>IFERROR(IF(OR($N320="ĐÃ GHÉP - AUTO",$N320="ĐÃ GHÉP - QUY TẮC"),IF($V320="","",IF($T320="THÙNG",$V320,$V320*$F320)),""),"")</x:f>
      </x:c>
      <x:c r="AA320" s="28" t="str">
        <x:f>IFERROR(IF(OR($K320="",$K320=0,$Y320=""),"",($Y320-$K320)/$K320),"")</x:f>
      </x:c>
      <x:c r="AB320" s="37" t="str">
        <x:f>IFERROR(IF($N320="CẦN DUYỆT","DUYỆT MAP",IF($N320="CHƯA CÓ GIÁ LẺ","THIẾU GIÁ",IF(OR($K320="",$K320=0,$Y320=""),"OK",IF(ABS(($Y320-$K320)/$K320)&gt;0.15,"LỆCH GIÁ CŨ","OK")))),"OK")</x:f>
        <x:v>OK</x:v>
      </x:c>
      <x:c r="AC320" s="30" t="str">
        <x:v>score=0.832; gap=0.410</x:v>
      </x:c>
      <x:c r="AD320" s="37" t="str">
        <x:v>SRG2NH</x:v>
      </x:c>
      <x:c r="AE320" s="38" t="str">
        <x:v>SRG2NHT</x:v>
      </x:c>
      <x:c r="AF320" s="123" t="n">
        <x:v>2</x:v>
      </x:c>
      <x:c r="AG320" s="112" t="str">
        <x:v>kg</x:v>
      </x:c>
      <x:c r="AH320" s="112" t="str">
        <x:v>CAN</x:v>
      </x:c>
      <x:c r="AI320" s="112" t="str">
        <x:v>2 kg / CAN</x:v>
      </x:c>
      <x:c r="AJ320" s="120" t="n">
        <x:v>140000</x:v>
      </x:c>
      <x:c r="AK320" s="120" t="n">
        <x:v>140000</x:v>
      </x:c>
      <x:c r="AL320" s="120" t="n">
        <x:v>140000</x:v>
      </x:c>
      <x:c r="AM320" s="112" t="str">
        <x:v>GIỮ NGUYÊN - ĐÃ KHỚP</x:v>
      </x:c>
      <x:c r="AN320" s="126" t="n">
        <x:v>695</x:v>
      </x:c>
      <x:c r="AO320" s="126" t="n">
        <x:v>696</x:v>
      </x:c>
      <x:c r="AP320" s="113" t="str">
        <x:v>6 CAN / THÙNG</x:v>
      </x:c>
    </x:row>
    <x:row r="321">
      <x:c r="A321" s="71" t="str">
        <x:v>SEN TIM</x:v>
      </x:c>
      <x:c r="B321" s="30" t="str">
        <x:v>SEN TIM - THÙNG</x:v>
      </x:c>
      <x:c r="C321" s="37" t="str">
        <x:v>SENTIM</x:v>
      </x:c>
      <x:c r="D321" s="37" t="str">
        <x:v>SENTIMT</x:v>
      </x:c>
      <x:c r="E321" s="37" t="str">
        <x:v>SENTIMT</x:v>
      </x:c>
      <x:c r="F321" s="37" t="n">
        <x:v>12</x:v>
      </x:c>
      <x:c r="G321" s="37" t="n">
        <x:v>8000</x:v>
      </x:c>
      <x:c r="H321" s="37" t="str">
        <x:v>g</x:v>
      </x:c>
      <x:c r="I321" s="37" t="str">
        <x:v>THÙNG</x:v>
      </x:c>
      <x:c r="J321" s="59" t="n">
        <x:v>0</x:v>
      </x:c>
      <x:c r="K321" s="59" t="n">
        <x:v>640000</x:v>
      </x:c>
      <x:c r="L321" s="59" t="n">
        <x:v>0</x:v>
      </x:c>
      <x:c r="M321" s="37" t="str">
        <x:v>Trái cây hộp</x:v>
      </x:c>
      <x:c r="N321" s="37" t="str">
        <x:v>CHƯA CÓ GIÁ LẺ</x:v>
      </x:c>
      <x:c r="O321" s="61" t="n">
        <x:v>0.592</x:v>
      </x:c>
      <x:c r="P321" s="37"/>
      <x:c r="Q321" s="30"/>
      <x:c r="R321" s="30"/>
      <x:c r="S321" s="30"/>
      <x:c r="T321" s="37"/>
      <x:c r="U321" s="59"/>
      <x:c r="V321" s="59"/>
      <x:c r="W321" s="117" t="n">
        <x:v>55000</x:v>
      </x:c>
      <x:c r="X321" s="59" t="str">
        <x:f>IFERROR(IF(OR($N321="ĐÃ GHÉP - AUTO",$N321="ĐÃ GHÉP - QUY TẮC"),IF($V321="","",IF($T321="THÙNG",$V321/$F321,$V321)),""),"")</x:f>
      </x:c>
      <x:c r="Y321" s="117" t="n">
        <x:f>IF(OR(W321="",F321=""),"",W321*F321)</x:f>
        <x:v>660000</x:v>
      </x:c>
      <x:c r="Z321" s="59" t="str">
        <x:f>IFERROR(IF(OR($N321="ĐÃ GHÉP - AUTO",$N321="ĐÃ GHÉP - QUY TẮC"),IF($V321="","",IF($T321="THÙNG",$V321,$V321*$F321)),""),"")</x:f>
      </x:c>
      <x:c r="AA321" s="28" t="n">
        <x:f>IFERROR(IF(OR($K321="",$K321=0,$Y321=""),"",($Y321-$K321)/$K321),"")</x:f>
        <x:v>0.03125</x:v>
      </x:c>
      <x:c r="AB321" s="37" t="str">
        <x:f>IFERROR(IF($N321="CẦN DUYỆT","DUYỆT MAP",IF($N321="CHƯA CÓ GIÁ LẺ","THIẾU GIÁ",IF(OR($K321="",$K321=0,$Y321=""),"OK",IF(ABS(($Y321-$K321)/$K321)&gt;0.15,"LỆCH GIÁ CŨ","OK")))),"OK")</x:f>
        <x:v>THIẾU GIÁ</x:v>
      </x:c>
      <x:c r="AC321" s="30" t="str">
        <x:v>ứng viên gần nhất=SEN NIF; score=0.592</x:v>
      </x:c>
      <x:c r="AD321" s="37" t="str">
        <x:v>SENTIM</x:v>
      </x:c>
      <x:c r="AE321" s="38" t="str">
        <x:v>SENTIMT</x:v>
      </x:c>
      <x:c r="AF321" s="123" t="n">
        <x:v>800</x:v>
      </x:c>
      <x:c r="AG321" s="112" t="str">
        <x:v>g</x:v>
      </x:c>
      <x:c r="AH321" s="112" t="str">
        <x:v>LON</x:v>
      </x:c>
      <x:c r="AI321" s="112" t="str">
        <x:v>800 g / LON</x:v>
      </x:c>
      <x:c r="AJ321" s="120" t="n">
        <x:v>55000</x:v>
      </x:c>
      <x:c r="AK321" s="120"/>
      <x:c r="AL321" s="120" t="n">
        <x:v>55000</x:v>
      </x:c>
      <x:c r="AM321" s="112" t="str">
        <x:v>BỔ SUNG GIÁ</x:v>
      </x:c>
      <x:c r="AN321" s="126" t="n">
        <x:v>698</x:v>
      </x:c>
      <x:c r="AO321" s="126" t="n">
        <x:v>699</x:v>
      </x:c>
      <x:c r="AP321" s="113" t="str">
        <x:v>12 LON / THÙNG</x:v>
      </x:c>
    </x:row>
    <x:row r="322">
      <x:c r="A322" s="71" t="str">
        <x:v>SIRO TRÒN SÂM DỨA</x:v>
      </x:c>
      <x:c r="B322" s="30" t="str">
        <x:v>SIRO TRÒN SÂM DỨA - THÙNG</x:v>
      </x:c>
      <x:c r="C322" s="37" t="str">
        <x:v>SRSDTR</x:v>
      </x:c>
      <x:c r="D322" s="37" t="str">
        <x:v>SRSDTRT</x:v>
      </x:c>
      <x:c r="E322" s="37" t="str">
        <x:v>SRSDTRT</x:v>
      </x:c>
      <x:c r="F322" s="37" t="n">
        <x:v>6</x:v>
      </x:c>
      <x:c r="G322" s="37" t="n">
        <x:v>16000</x:v>
      </x:c>
      <x:c r="H322" s="37" t="str">
        <x:v>g</x:v>
      </x:c>
      <x:c r="I322" s="37" t="str">
        <x:v>THÙNG</x:v>
      </x:c>
      <x:c r="J322" s="59" t="n">
        <x:v>0</x:v>
      </x:c>
      <x:c r="K322" s="59" t="n">
        <x:v>0</x:v>
      </x:c>
      <x:c r="L322" s="59" t="n">
        <x:v>0</x:v>
      </x:c>
      <x:c r="M322" s="37" t="str">
        <x:v>Siro</x:v>
      </x:c>
      <x:c r="N322" s="37" t="str">
        <x:v>CHƯA CÓ GIÁ LẺ</x:v>
      </x:c>
      <x:c r="O322" s="61" t="n">
        <x:v>0.629</x:v>
      </x:c>
      <x:c r="P322" s="37"/>
      <x:c r="Q322" s="30"/>
      <x:c r="R322" s="30"/>
      <x:c r="S322" s="30"/>
      <x:c r="T322" s="37"/>
      <x:c r="U322" s="59"/>
      <x:c r="V322" s="59"/>
      <x:c r="W322" s="117" t="n">
        <x:v>125000</x:v>
      </x:c>
      <x:c r="X322" s="59" t="str">
        <x:f>IFERROR(IF(OR($N322="ĐÃ GHÉP - AUTO",$N322="ĐÃ GHÉP - QUY TẮC"),IF($V322="","",IF($T322="THÙNG",$V322/$F322,$V322)),""),"")</x:f>
      </x:c>
      <x:c r="Y322" s="117" t="n">
        <x:f>IF(OR(W322="",F322=""),"",W322*F322)</x:f>
        <x:v>750000</x:v>
      </x:c>
      <x:c r="Z322" s="59" t="str">
        <x:f>IFERROR(IF(OR($N322="ĐÃ GHÉP - AUTO",$N322="ĐÃ GHÉP - QUY TẮC"),IF($V322="","",IF($T322="THÙNG",$V322,$V322*$F322)),""),"")</x:f>
      </x:c>
      <x:c r="AA322" s="28" t="str">
        <x:f>IFERROR(IF(OR($K322="",$K322=0,$Y322=""),"",($Y322-$K322)/$K322),"")</x:f>
      </x:c>
      <x:c r="AB322" s="37" t="str">
        <x:f>IFERROR(IF($N322="CẦN DUYỆT","DUYỆT MAP",IF($N322="CHƯA CÓ GIÁ LẺ","THIẾU GIÁ",IF(OR($K322="",$K322=0,$Y322=""),"OK",IF(ABS(($Y322-$K322)/$K322)&gt;0.15,"LỆCH GIÁ CŨ","OK")))),"OK")</x:f>
        <x:v>THIẾU GIÁ</x:v>
      </x:c>
      <x:c r="AC322" s="30" t="str">
        <x:v>ứng viên gần nhất=Siro Sâm Dứa Vina; score=0.629</x:v>
      </x:c>
      <x:c r="AD322" s="37" t="str">
        <x:v>SRSDTR</x:v>
      </x:c>
      <x:c r="AE322" s="38" t="str">
        <x:v>SRSDTRT</x:v>
      </x:c>
      <x:c r="AF322" s="123" t="n">
        <x:v>2650</x:v>
      </x:c>
      <x:c r="AG322" s="112" t="str">
        <x:v>g</x:v>
      </x:c>
      <x:c r="AH322" s="112" t="str">
        <x:v>BÌNH</x:v>
      </x:c>
      <x:c r="AI322" s="112" t="str">
        <x:v>2650 g / BÌNH</x:v>
      </x:c>
      <x:c r="AJ322" s="120" t="n">
        <x:v>125000</x:v>
      </x:c>
      <x:c r="AK322" s="120"/>
      <x:c r="AL322" s="120" t="n">
        <x:v>125000</x:v>
      </x:c>
      <x:c r="AM322" s="112" t="str">
        <x:v>BỔ SUNG GIÁ</x:v>
      </x:c>
      <x:c r="AN322" s="126" t="n">
        <x:v>700</x:v>
      </x:c>
      <x:c r="AO322" s="126" t="n">
        <x:v>701</x:v>
      </x:c>
      <x:c r="AP322" s="113" t="str">
        <x:v>6 BÌNH / THÙNG</x:v>
      </x:c>
    </x:row>
    <x:row r="323">
      <x:c r="A323" s="71" t="str">
        <x:v>RUỐC ANH TÚ</x:v>
      </x:c>
      <x:c r="B323" s="30" t="str">
        <x:v>RUỐC ANH TÚ - THÙNG</x:v>
      </x:c>
      <x:c r="C323" s="37" t="str">
        <x:v>RUOCAT</x:v>
      </x:c>
      <x:c r="D323" s="37" t="str">
        <x:v>RUOCATT</x:v>
      </x:c>
      <x:c r="E323" s="37" t="str">
        <x:v>RUOCATT</x:v>
      </x:c>
      <x:c r="F323" s="37" t="n">
        <x:v>60</x:v>
      </x:c>
      <x:c r="G323" s="37" t="n">
        <x:v>30000</x:v>
      </x:c>
      <x:c r="H323" s="37" t="str">
        <x:v>g</x:v>
      </x:c>
      <x:c r="I323" s="37" t="str">
        <x:v>THÙNG</x:v>
      </x:c>
      <x:c r="J323" s="59" t="n">
        <x:v>0</x:v>
      </x:c>
      <x:c r="K323" s="59" t="n">
        <x:v>0</x:v>
      </x:c>
      <x:c r="L323" s="59" t="n">
        <x:v>0</x:v>
      </x:c>
      <x:c r="M323" s="37" t="str">
        <x:v>Nguyên liệu bánh tráng</x:v>
      </x:c>
      <x:c r="N323" s="37" t="str">
        <x:v>ĐÃ GHÉP - QUY TẮC</x:v>
      </x:c>
      <x:c r="O323" s="61" t="n">
        <x:v>0.99</x:v>
      </x:c>
      <x:c r="P323" s="37" t="n">
        <x:v>304</x:v>
      </x:c>
      <x:c r="Q323" s="30" t="str">
        <x:v>Ruốc</x:v>
      </x:c>
      <x:c r="R323" s="30" t="str"/>
      <x:c r="S323" s="30" t="str">
        <x:v>bịch</x:v>
      </x:c>
      <x:c r="T323" s="37" t="str">
        <x:v>ĐƠN VỊ</x:v>
      </x:c>
      <x:c r="U323" s="59" t="n">
        <x:v>35000</x:v>
      </x:c>
      <x:c r="V323" s="59"/>
      <x:c r="W323" s="117" t="n">
        <x:v>35000</x:v>
      </x:c>
      <x:c r="X323" s="59" t="str">
        <x:f>IFERROR(IF(OR($N323="ĐÃ GHÉP - AUTO",$N323="ĐÃ GHÉP - QUY TẮC"),IF($V323="","",IF($T323="THÙNG",$V323/$F323,$V323)),""),"")</x:f>
      </x:c>
      <x:c r="Y323" s="117" t="n">
        <x:f>IF(OR(W323="",F323=""),"",W323*F323)</x:f>
        <x:v>2100000</x:v>
      </x:c>
      <x:c r="Z323" s="59" t="str">
        <x:f>IFERROR(IF(OR($N323="ĐÃ GHÉP - AUTO",$N323="ĐÃ GHÉP - QUY TẮC"),IF($V323="","",IF($T323="THÙNG",$V323,$V323*$F323)),""),"")</x:f>
      </x:c>
      <x:c r="AA323" s="28" t="str">
        <x:f>IFERROR(IF(OR($K323="",$K323=0,$Y323=""),"",($Y323-$K323)/$K323),"")</x:f>
      </x:c>
      <x:c r="AB323" s="37" t="str">
        <x:f>IFERROR(IF($N323="CẦN DUYỆT","DUYỆT MAP",IF($N323="CHƯA CÓ GIÁ LẺ","THIẾU GIÁ",IF(OR($K323="",$K323=0,$Y323=""),"OK",IF(ABS(($Y323-$K323)/$K323)&gt;0.15,"LỆCH GIÁ CŨ","OK")))),"OK")</x:f>
        <x:v>OK</x:v>
      </x:c>
      <x:c r="AC323" s="30" t="str">
        <x:v>Ruốc</x:v>
      </x:c>
      <x:c r="AD323" s="37" t="str">
        <x:v>RUOCAT</x:v>
      </x:c>
      <x:c r="AE323" s="38" t="str">
        <x:v>RUOCATT</x:v>
      </x:c>
      <x:c r="AF323" s="123" t="n">
        <x:v>500</x:v>
      </x:c>
      <x:c r="AG323" s="112" t="str">
        <x:v>g</x:v>
      </x:c>
      <x:c r="AH323" s="112" t="str">
        <x:v>BỊCH 500G</x:v>
      </x:c>
      <x:c r="AI323" s="112" t="str">
        <x:v>500 g / BỊCH 500G</x:v>
      </x:c>
      <x:c r="AJ323" s="120" t="n">
        <x:v>35000</x:v>
      </x:c>
      <x:c r="AK323" s="120" t="n">
        <x:v>35000</x:v>
      </x:c>
      <x:c r="AL323" s="120" t="n">
        <x:v>35000</x:v>
      </x:c>
      <x:c r="AM323" s="112" t="str">
        <x:v>GIỮ NGUYÊN - ĐÃ KHỚP</x:v>
      </x:c>
      <x:c r="AN323" s="126" t="n">
        <x:v>702</x:v>
      </x:c>
      <x:c r="AO323" s="126" t="n">
        <x:v>703</x:v>
      </x:c>
      <x:c r="AP323" s="113" t="str">
        <x:v>60 BỊCH 500G / THÙNG</x:v>
      </x:c>
    </x:row>
    <x:row r="324">
      <x:c r="A324" s="71" t="str">
        <x:v>RAU CÂU WINGS</x:v>
      </x:c>
      <x:c r="B324" s="30" t="str">
        <x:v>RAU CÂU WINGS - THÙNG</x:v>
      </x:c>
      <x:c r="C324" s="37" t="str">
        <x:v>RCWING</x:v>
      </x:c>
      <x:c r="D324" s="37" t="str">
        <x:v>RCWINGT</x:v>
      </x:c>
      <x:c r="E324" s="37" t="str">
        <x:v>RCWINGT</x:v>
      </x:c>
      <x:c r="F324" s="37" t="n">
        <x:v>10</x:v>
      </x:c>
      <x:c r="G324" s="37" t="n">
        <x:v>0</x:v>
      </x:c>
      <x:c r="H324" s="37" t="str">
        <x:v>g</x:v>
      </x:c>
      <x:c r="I324" s="37" t="str">
        <x:v>THÙNG</x:v>
      </x:c>
      <x:c r="J324" s="59" t="n">
        <x:v>0</x:v>
      </x:c>
      <x:c r="K324" s="59" t="n">
        <x:v>450000</x:v>
      </x:c>
      <x:c r="L324" s="59" t="n">
        <x:v>0</x:v>
      </x:c>
      <x:c r="M324" s="37" t="str">
        <x:v>Rau câu</x:v>
      </x:c>
      <x:c r="N324" s="37" t="str">
        <x:v>CHƯA CÓ GIÁ LẺ</x:v>
      </x:c>
      <x:c r="O324" s="61" t="n">
        <x:v>0.062</x:v>
      </x:c>
      <x:c r="P324" s="37"/>
      <x:c r="Q324" s="30"/>
      <x:c r="R324" s="30"/>
      <x:c r="S324" s="30"/>
      <x:c r="T324" s="37"/>
      <x:c r="U324" s="59"/>
      <x:c r="V324" s="59"/>
      <x:c r="W324" s="117" t="n">
        <x:v>46000</x:v>
      </x:c>
      <x:c r="X324" s="59" t="str">
        <x:f>IFERROR(IF(OR($N324="ĐÃ GHÉP - AUTO",$N324="ĐÃ GHÉP - QUY TẮC"),IF($V324="","",IF($T324="THÙNG",$V324/$F324,$V324)),""),"")</x:f>
      </x:c>
      <x:c r="Y324" s="117" t="n">
        <x:f>IF(OR(W324="",F324=""),"",W324*F324)</x:f>
        <x:v>460000</x:v>
      </x:c>
      <x:c r="Z324" s="59" t="str">
        <x:f>IFERROR(IF(OR($N324="ĐÃ GHÉP - AUTO",$N324="ĐÃ GHÉP - QUY TẮC"),IF($V324="","",IF($T324="THÙNG",$V324,$V324*$F324)),""),"")</x:f>
      </x:c>
      <x:c r="AA324" s="28" t="n">
        <x:f>IFERROR(IF(OR($K324="",$K324=0,$Y324=""),"",($Y324-$K324)/$K324),"")</x:f>
        <x:v>0.022222222222222223</x:v>
      </x:c>
      <x:c r="AB324" s="37" t="str">
        <x:f>IFERROR(IF($N324="CẦN DUYỆT","DUYỆT MAP",IF($N324="CHƯA CÓ GIÁ LẺ","THIẾU GIÁ",IF(OR($K324="",$K324=0,$Y324=""),"OK",IF(ABS(($Y324-$K324)/$K324)&gt;0.15,"LỆCH GIÁ CŨ","OK")))),"OK")</x:f>
        <x:v>THIẾU GIÁ</x:v>
      </x:c>
      <x:c r="AC324" s="30" t="str">
        <x:v>ứng viên gần nhất=Rau câu Sóc Vàng; score=0.062</x:v>
      </x:c>
      <x:c r="AD324" s="37" t="str">
        <x:v>RCWING</x:v>
      </x:c>
      <x:c r="AE324" s="38" t="str">
        <x:v>RCWINGT</x:v>
      </x:c>
      <x:c r="AF324" s="123" t="n">
        <x:v>0</x:v>
      </x:c>
      <x:c r="AG324" s="112" t="str">
        <x:v>g</x:v>
      </x:c>
      <x:c r="AH324" s="112" t="str">
        <x:v>HỘP</x:v>
      </x:c>
      <x:c r="AI324" s="112" t="str">
        <x:v>0 g / HỘP</x:v>
      </x:c>
      <x:c r="AJ324" s="120" t="n">
        <x:v>46000</x:v>
      </x:c>
      <x:c r="AK324" s="120"/>
      <x:c r="AL324" s="120" t="n">
        <x:v>46000</x:v>
      </x:c>
      <x:c r="AM324" s="112" t="str">
        <x:v>BỔ SUNG GIÁ</x:v>
      </x:c>
      <x:c r="AN324" s="126" t="n">
        <x:v>704</x:v>
      </x:c>
      <x:c r="AO324" s="126" t="n">
        <x:v>705</x:v>
      </x:c>
      <x:c r="AP324" s="113" t="str">
        <x:v>10 HỘP / THÙNG</x:v>
      </x:c>
    </x:row>
    <x:row r="325">
      <x:c r="A325" s="71" t="str">
        <x:v>RAU CÂU GIÒN HOÀNG YẾN</x:v>
      </x:c>
      <x:c r="B325" s="30" t="str">
        <x:v>RAU CÂU GIÒN HOÀNG YẾN - THÙNG</x:v>
      </x:c>
      <x:c r="C325" s="37" t="str">
        <x:v>RCHYGI</x:v>
      </x:c>
      <x:c r="D325" s="37" t="str">
        <x:v>RCHYGIT</x:v>
      </x:c>
      <x:c r="E325" s="37" t="str">
        <x:v>RCHYGIT</x:v>
      </x:c>
      <x:c r="F325" s="37" t="n">
        <x:v>20</x:v>
      </x:c>
      <x:c r="G325" s="37" t="n">
        <x:v>0</x:v>
      </x:c>
      <x:c r="H325" s="37" t="str">
        <x:v>g</x:v>
      </x:c>
      <x:c r="I325" s="37" t="str">
        <x:v>THÙNG</x:v>
      </x:c>
      <x:c r="J325" s="59" t="n">
        <x:v>0</x:v>
      </x:c>
      <x:c r="K325" s="59" t="n">
        <x:v>0</x:v>
      </x:c>
      <x:c r="L325" s="59" t="n">
        <x:v>0</x:v>
      </x:c>
      <x:c r="M325" s="37" t="str">
        <x:v>Rau câu</x:v>
      </x:c>
      <x:c r="N325" s="37" t="str">
        <x:v>CHƯA CÓ GIÁ LẺ</x:v>
      </x:c>
      <x:c r="O325" s="61" t="n">
        <x:v>0.551</x:v>
      </x:c>
      <x:c r="P325" s="37"/>
      <x:c r="Q325" s="30"/>
      <x:c r="R325" s="30"/>
      <x:c r="S325" s="30"/>
      <x:c r="T325" s="37"/>
      <x:c r="U325" s="59"/>
      <x:c r="V325" s="59"/>
      <x:c r="W325" s="117" t="n">
        <x:v>115000</x:v>
      </x:c>
      <x:c r="X325" s="59" t="str">
        <x:f>IFERROR(IF(OR($N325="ĐÃ GHÉP - AUTO",$N325="ĐÃ GHÉP - QUY TẮC"),IF($V325="","",IF($T325="THÙNG",$V325/$F325,$V325)),""),"")</x:f>
      </x:c>
      <x:c r="Y325" s="117" t="n">
        <x:f>IF(OR(W325="",F325=""),"",W325*F325)</x:f>
        <x:v>2300000</x:v>
      </x:c>
      <x:c r="Z325" s="59" t="str">
        <x:f>IFERROR(IF(OR($N325="ĐÃ GHÉP - AUTO",$N325="ĐÃ GHÉP - QUY TẮC"),IF($V325="","",IF($T325="THÙNG",$V325,$V325*$F325)),""),"")</x:f>
      </x:c>
      <x:c r="AA325" s="28" t="str">
        <x:f>IFERROR(IF(OR($K325="",$K325=0,$Y325=""),"",($Y325-$K325)/$K325),"")</x:f>
      </x:c>
      <x:c r="AB325" s="37" t="str">
        <x:f>IFERROR(IF($N325="CẦN DUYỆT","DUYỆT MAP",IF($N325="CHƯA CÓ GIÁ LẺ","THIẾU GIÁ",IF(OR($K325="",$K325=0,$Y325=""),"OK",IF(ABS(($Y325-$K325)/$K325)&gt;0.15,"LỆCH GIÁ CŨ","OK")))),"OK")</x:f>
        <x:v>THIẾU GIÁ</x:v>
      </x:c>
      <x:c r="AC325" s="30" t="str">
        <x:v>ứng viên gần nhất=RAU CÂU GIÒN AGAR; score=0.551</x:v>
      </x:c>
      <x:c r="AD325" s="37" t="str">
        <x:v>RCHYGI</x:v>
      </x:c>
      <x:c r="AE325" s="38" t="str">
        <x:v>RCHYGIT</x:v>
      </x:c>
      <x:c r="AF325" s="123" t="n">
        <x:v>0</x:v>
      </x:c>
      <x:c r="AG325" s="112" t="str">
        <x:v>g</x:v>
      </x:c>
      <x:c r="AH325" s="112" t="str">
        <x:v>HỘP</x:v>
      </x:c>
      <x:c r="AI325" s="112" t="str">
        <x:v>0 g / HỘP</x:v>
      </x:c>
      <x:c r="AJ325" s="120" t="n">
        <x:v>115000</x:v>
      </x:c>
      <x:c r="AK325" s="120"/>
      <x:c r="AL325" s="120" t="n">
        <x:v>115000</x:v>
      </x:c>
      <x:c r="AM325" s="112" t="str">
        <x:v>BỔ SUNG GIÁ</x:v>
      </x:c>
      <x:c r="AN325" s="126" t="n">
        <x:v>707</x:v>
      </x:c>
      <x:c r="AO325" s="126" t="n">
        <x:v>708</x:v>
      </x:c>
      <x:c r="AP325" s="113" t="str">
        <x:v>20 HỘP / THÙNG</x:v>
      </x:c>
    </x:row>
    <x:row r="326">
      <x:c r="A326" s="71" t="str">
        <x:v>RAU CÂU DẺO HOÀNG YẾN</x:v>
      </x:c>
      <x:c r="B326" s="30" t="str">
        <x:v>RAU CÂU DẺO HOÀNG YẾN - THÙNG</x:v>
      </x:c>
      <x:c r="C326" s="37" t="str">
        <x:v>RCHYDE</x:v>
      </x:c>
      <x:c r="D326" s="37" t="str">
        <x:v>RCHYDET</x:v>
      </x:c>
      <x:c r="E326" s="37" t="str">
        <x:v>RCHYDET</x:v>
      </x:c>
      <x:c r="F326" s="37" t="n">
        <x:v>20</x:v>
      </x:c>
      <x:c r="G326" s="37" t="n">
        <x:v>0</x:v>
      </x:c>
      <x:c r="H326" s="37" t="str">
        <x:v>g</x:v>
      </x:c>
      <x:c r="I326" s="37" t="str">
        <x:v>THÙNG</x:v>
      </x:c>
      <x:c r="J326" s="59" t="n">
        <x:v>0</x:v>
      </x:c>
      <x:c r="K326" s="59" t="n">
        <x:v>0</x:v>
      </x:c>
      <x:c r="L326" s="59" t="n">
        <x:v>0</x:v>
      </x:c>
      <x:c r="M326" s="37" t="str">
        <x:v>Rau câu</x:v>
      </x:c>
      <x:c r="N326" s="37" t="str">
        <x:v>CHƯA CÓ GIÁ LẺ</x:v>
      </x:c>
      <x:c r="O326" s="61" t="n">
        <x:v>0.495</x:v>
      </x:c>
      <x:c r="P326" s="37"/>
      <x:c r="Q326" s="30"/>
      <x:c r="R326" s="30"/>
      <x:c r="S326" s="30"/>
      <x:c r="T326" s="37"/>
      <x:c r="U326" s="59"/>
      <x:c r="V326" s="59"/>
      <x:c r="W326" s="117" t="n">
        <x:v>110000</x:v>
      </x:c>
      <x:c r="X326" s="59" t="str">
        <x:f>IFERROR(IF(OR($N326="ĐÃ GHÉP - AUTO",$N326="ĐÃ GHÉP - QUY TẮC"),IF($V326="","",IF($T326="THÙNG",$V326/$F326,$V326)),""),"")</x:f>
      </x:c>
      <x:c r="Y326" s="117" t="n">
        <x:f>IF(OR(W326="",F326=""),"",W326*F326)</x:f>
        <x:v>2200000</x:v>
      </x:c>
      <x:c r="Z326" s="59" t="str">
        <x:f>IFERROR(IF(OR($N326="ĐÃ GHÉP - AUTO",$N326="ĐÃ GHÉP - QUY TẮC"),IF($V326="","",IF($T326="THÙNG",$V326,$V326*$F326)),""),"")</x:f>
      </x:c>
      <x:c r="AA326" s="28" t="str">
        <x:f>IFERROR(IF(OR($K326="",$K326=0,$Y326=""),"",($Y326-$K326)/$K326),"")</x:f>
      </x:c>
      <x:c r="AB326" s="37" t="str">
        <x:f>IFERROR(IF($N326="CẦN DUYỆT","DUYỆT MAP",IF($N326="CHƯA CÓ GIÁ LẺ","THIẾU GIÁ",IF(OR($K326="",$K326=0,$Y326=""),"OK",IF(ABS(($Y326-$K326)/$K326)&gt;0.15,"LỆCH GIÁ CŨ","OK")))),"OK")</x:f>
        <x:v>THIẾU GIÁ</x:v>
      </x:c>
      <x:c r="AC326" s="30" t="str">
        <x:v>ứng viên gần nhất=RAU CÂU CÁ DẺO; score=0.495</x:v>
      </x:c>
      <x:c r="AD326" s="37" t="str">
        <x:v>RCHYDE</x:v>
      </x:c>
      <x:c r="AE326" s="38" t="str">
        <x:v>RCHYDET</x:v>
      </x:c>
      <x:c r="AF326" s="123" t="n">
        <x:v>0</x:v>
      </x:c>
      <x:c r="AG326" s="112" t="str">
        <x:v>g</x:v>
      </x:c>
      <x:c r="AH326" s="112" t="str">
        <x:v>HỘP</x:v>
      </x:c>
      <x:c r="AI326" s="112" t="str">
        <x:v>0 g / HỘP</x:v>
      </x:c>
      <x:c r="AJ326" s="120" t="n">
        <x:v>110000</x:v>
      </x:c>
      <x:c r="AK326" s="120"/>
      <x:c r="AL326" s="120" t="n">
        <x:v>110000</x:v>
      </x:c>
      <x:c r="AM326" s="112" t="str">
        <x:v>BỔ SUNG GIÁ</x:v>
      </x:c>
      <x:c r="AN326" s="126" t="n">
        <x:v>709</x:v>
      </x:c>
      <x:c r="AO326" s="126" t="n">
        <x:v>710</x:v>
      </x:c>
      <x:c r="AP326" s="113" t="str">
        <x:v>20 HỘP / THÙNG</x:v>
      </x:c>
    </x:row>
    <x:row r="327">
      <x:c r="A327" s="71" t="str">
        <x:v>RAU CÂU CÁ DẺO</x:v>
      </x:c>
      <x:c r="B327" s="30" t="str">
        <x:v>RAU CÂU CÁ DẺO - THÙNG</x:v>
      </x:c>
      <x:c r="C327" s="37" t="str">
        <x:v>RCCADE</x:v>
      </x:c>
      <x:c r="D327" s="37" t="str">
        <x:v>RCCADET</x:v>
      </x:c>
      <x:c r="E327" s="37" t="str">
        <x:v>RCCADET</x:v>
      </x:c>
      <x:c r="F327" s="37" t="n">
        <x:v>10</x:v>
      </x:c>
      <x:c r="G327" s="37" t="n">
        <x:v>0</x:v>
      </x:c>
      <x:c r="H327" s="37" t="str">
        <x:v>g</x:v>
      </x:c>
      <x:c r="I327" s="37" t="str">
        <x:v>THÙNG</x:v>
      </x:c>
      <x:c r="J327" s="59" t="n">
        <x:v>580000</x:v>
      </x:c>
      <x:c r="K327" s="59" t="n">
        <x:v>0</x:v>
      </x:c>
      <x:c r="L327" s="59" t="n">
        <x:v>0</x:v>
      </x:c>
      <x:c r="M327" s="37" t="str">
        <x:v>Rau câu</x:v>
      </x:c>
      <x:c r="N327" s="37" t="str">
        <x:v>ĐÃ GHÉP - AUTO</x:v>
      </x:c>
      <x:c r="O327" s="61" t="n">
        <x:v>0.97</x:v>
      </x:c>
      <x:c r="P327" s="37" t="n">
        <x:v>121</x:v>
      </x:c>
      <x:c r="Q327" s="30" t="str">
        <x:v>RAU CÂU CÁ DẺO</x:v>
      </x:c>
      <x:c r="R327" s="30" t="str">
        <x:v>thung 10 hop</x:v>
      </x:c>
      <x:c r="S327" s="30" t="str">
        <x:v>HỘP</x:v>
      </x:c>
      <x:c r="T327" s="37" t="str">
        <x:v>ĐƠN VỊ</x:v>
      </x:c>
      <x:c r="U327" s="59" t="n">
        <x:v>60000</x:v>
      </x:c>
      <x:c r="V327" s="59"/>
      <x:c r="W327" s="117" t="n">
        <x:v>60000</x:v>
      </x:c>
      <x:c r="X327" s="59" t="str">
        <x:f>IFERROR(IF(OR($N327="ĐÃ GHÉP - AUTO",$N327="ĐÃ GHÉP - QUY TẮC"),IF($V327="","",IF($T327="THÙNG",$V327/$F327,$V327)),""),"")</x:f>
      </x:c>
      <x:c r="Y327" s="117" t="n">
        <x:f>IF(OR(W327="",F327=""),"",W327*F327)</x:f>
        <x:v>600000</x:v>
      </x:c>
      <x:c r="Z327" s="59" t="str">
        <x:f>IFERROR(IF(OR($N327="ĐÃ GHÉP - AUTO",$N327="ĐÃ GHÉP - QUY TẮC"),IF($V327="","",IF($T327="THÙNG",$V327,$V327*$F327)),""),"")</x:f>
      </x:c>
      <x:c r="AA327" s="28" t="str">
        <x:f>IFERROR(IF(OR($K327="",$K327=0,$Y327=""),"",($Y327-$K327)/$K327),"")</x:f>
      </x:c>
      <x:c r="AB327" s="37" t="str">
        <x:f>IFERROR(IF($N327="CẦN DUYỆT","DUYỆT MAP",IF($N327="CHƯA CÓ GIÁ LẺ","THIẾU GIÁ",IF(OR($K327="",$K327=0,$Y327=""),"OK",IF(ABS(($Y327-$K327)/$K327)&gt;0.15,"LỆCH GIÁ CŨ","OK")))),"OK")</x:f>
        <x:v>OK</x:v>
      </x:c>
      <x:c r="AC327" s="30" t="str">
        <x:v>score=0.970; gap=0.918</x:v>
      </x:c>
      <x:c r="AD327" s="37" t="str">
        <x:v>RCCADE</x:v>
      </x:c>
      <x:c r="AE327" s="38" t="str">
        <x:v>RCCADET</x:v>
      </x:c>
      <x:c r="AF327" s="123" t="n">
        <x:v>200</x:v>
      </x:c>
      <x:c r="AG327" s="112" t="str">
        <x:v>g</x:v>
      </x:c>
      <x:c r="AH327" s="112" t="str">
        <x:v>HỘP</x:v>
      </x:c>
      <x:c r="AI327" s="112" t="str">
        <x:v>200 g / HỘP</x:v>
      </x:c>
      <x:c r="AJ327" s="120" t="n">
        <x:v>60000</x:v>
      </x:c>
      <x:c r="AK327" s="120" t="n">
        <x:v>60000</x:v>
      </x:c>
      <x:c r="AL327" s="120" t="n">
        <x:v>60000</x:v>
      </x:c>
      <x:c r="AM327" s="112" t="str">
        <x:v>GIỮ NGUYÊN - ĐÃ KHỚP</x:v>
      </x:c>
      <x:c r="AN327" s="126" t="n">
        <x:v>711</x:v>
      </x:c>
      <x:c r="AO327" s="126" t="n">
        <x:v>712</x:v>
      </x:c>
      <x:c r="AP327" s="113" t="str">
        <x:v>10 HỘP / THÙNG</x:v>
      </x:c>
    </x:row>
    <x:row r="328">
      <x:c r="A328" s="71" t="str">
        <x:v>RAU CÂU SÓC VÀNG</x:v>
      </x:c>
      <x:c r="B328" s="30" t="str">
        <x:v>RAU CÂU SÓC VÀNG - THÙNG</x:v>
      </x:c>
      <x:c r="C328" s="37" t="str">
        <x:v>RCSOCV</x:v>
      </x:c>
      <x:c r="D328" s="37" t="str">
        <x:v>RCSOCVT</x:v>
      </x:c>
      <x:c r="E328" s="37" t="str">
        <x:v>RCSOCVT</x:v>
      </x:c>
      <x:c r="F328" s="37" t="n">
        <x:v>10</x:v>
      </x:c>
      <x:c r="G328" s="37" t="n">
        <x:v>2000</x:v>
      </x:c>
      <x:c r="H328" s="37" t="str">
        <x:v>g</x:v>
      </x:c>
      <x:c r="I328" s="37" t="str">
        <x:v>THÙNG</x:v>
      </x:c>
      <x:c r="J328" s="59" t="n">
        <x:v>0</x:v>
      </x:c>
      <x:c r="K328" s="59" t="n">
        <x:v>510000</x:v>
      </x:c>
      <x:c r="L328" s="59" t="n">
        <x:v>0</x:v>
      </x:c>
      <x:c r="M328" s="37" t="str">
        <x:v>Rau câu</x:v>
      </x:c>
      <x:c r="N328" s="37" t="str">
        <x:v>ĐÃ GHÉP - AUTO</x:v>
      </x:c>
      <x:c r="O328" s="61" t="n">
        <x:v>1</x:v>
      </x:c>
      <x:c r="P328" s="37" t="n">
        <x:v>118</x:v>
      </x:c>
      <x:c r="Q328" s="30" t="str">
        <x:v>Rau câu Sóc Vàng</x:v>
      </x:c>
      <x:c r="R328" s="30" t="str">
        <x:v>Thùng 10 hộp</x:v>
      </x:c>
      <x:c r="S328" s="30" t="str">
        <x:v>hộp</x:v>
      </x:c>
      <x:c r="T328" s="37" t="str">
        <x:v>ĐƠN VỊ</x:v>
      </x:c>
      <x:c r="U328" s="59" t="n">
        <x:v>52000</x:v>
      </x:c>
      <x:c r="V328" s="59" t="n">
        <x:v>50000</x:v>
      </x:c>
      <x:c r="W328" s="117" t="n">
        <x:v>52000</x:v>
      </x:c>
      <x:c r="X328" s="59" t="n">
        <x:f>IFERROR(IF(OR($N328="ĐÃ GHÉP - AUTO",$N328="ĐÃ GHÉP - QUY TẮC"),IF($V328="","",IF($T328="THÙNG",$V328/$F328,$V328)),""),"")</x:f>
        <x:v>50000</x:v>
      </x:c>
      <x:c r="Y328" s="117" t="n">
        <x:f>IF(OR(W328="",F328=""),"",W328*F328)</x:f>
        <x:v>520000</x:v>
      </x:c>
      <x:c r="Z328" s="59" t="n">
        <x:f>IFERROR(IF(OR($N328="ĐÃ GHÉP - AUTO",$N328="ĐÃ GHÉP - QUY TẮC"),IF($V328="","",IF($T328="THÙNG",$V328,$V328*$F328)),""),"")</x:f>
        <x:v>500000</x:v>
      </x:c>
      <x:c r="AA328" s="28" t="n">
        <x:f>IFERROR(IF(OR($K328="",$K328=0,$Y328=""),"",($Y328-$K328)/$K328),"")</x:f>
        <x:v>0.0196078431372549</x:v>
      </x:c>
      <x:c r="AB328" s="37" t="str">
        <x:f>IFERROR(IF($N328="CẦN DUYỆT","DUYỆT MAP",IF($N328="CHƯA CÓ GIÁ LẺ","THIẾU GIÁ",IF(OR($K328="",$K328=0,$Y328=""),"OK",IF(ABS(($Y328-$K328)/$K328)&gt;0.15,"LỆCH GIÁ CŨ","OK")))),"OK")</x:f>
        <x:v>OK</x:v>
      </x:c>
      <x:c r="AC328" s="30" t="str">
        <x:v>score=1.000; gap=0.944</x:v>
      </x:c>
      <x:c r="AD328" s="37" t="str">
        <x:v>RCSOCV</x:v>
      </x:c>
      <x:c r="AE328" s="38" t="str">
        <x:v>RCSOCVT</x:v>
      </x:c>
      <x:c r="AF328" s="123" t="n">
        <x:v>150</x:v>
      </x:c>
      <x:c r="AG328" s="112" t="str">
        <x:v>g</x:v>
      </x:c>
      <x:c r="AH328" s="112" t="str">
        <x:v>HỘP</x:v>
      </x:c>
      <x:c r="AI328" s="112" t="str">
        <x:v>150 g / HỘP</x:v>
      </x:c>
      <x:c r="AJ328" s="120" t="n">
        <x:v>52000</x:v>
      </x:c>
      <x:c r="AK328" s="120" t="n">
        <x:v>52000</x:v>
      </x:c>
      <x:c r="AL328" s="120" t="n">
        <x:v>52000</x:v>
      </x:c>
      <x:c r="AM328" s="112" t="str">
        <x:v>GIỮ NGUYÊN - ĐÃ KHỚP</x:v>
      </x:c>
      <x:c r="AN328" s="126" t="n">
        <x:v>713</x:v>
      </x:c>
      <x:c r="AO328" s="126" t="n">
        <x:v>714</x:v>
      </x:c>
      <x:c r="AP328" s="113" t="str">
        <x:v>10 HỘP / THÙNG</x:v>
      </x:c>
    </x:row>
    <x:row r="329">
      <x:c r="A329" s="71" t="str">
        <x:v>PHOMAI ANCHOR (CREAM CHEESE)</x:v>
      </x:c>
      <x:c r="B329" s="30" t="str">
        <x:v>PHOMAI ANCHOR (CREAM CHEESE) - THÙNG</x:v>
      </x:c>
      <x:c r="C329" s="37" t="str">
        <x:v>PMANCH</x:v>
      </x:c>
      <x:c r="D329" s="37" t="str">
        <x:v>PMANCHT</x:v>
      </x:c>
      <x:c r="E329" s="37" t="str">
        <x:v>PMANCHT</x:v>
      </x:c>
      <x:c r="F329" s="37" t="n">
        <x:v>12</x:v>
      </x:c>
      <x:c r="G329" s="37" t="n">
        <x:v>13</x:v>
      </x:c>
      <x:c r="H329" s="37" t="str">
        <x:v>kg</x:v>
      </x:c>
      <x:c r="I329" s="37" t="str">
        <x:v>THÙNG</x:v>
      </x:c>
      <x:c r="J329" s="59" t="n">
        <x:v>0</x:v>
      </x:c>
      <x:c r="K329" s="59" t="n">
        <x:v>0</x:v>
      </x:c>
      <x:c r="L329" s="59" t="n">
        <x:v>0</x:v>
      </x:c>
      <x:c r="M329" s="37" t="str">
        <x:v>Khác</x:v>
      </x:c>
      <x:c r="N329" s="37" t="str">
        <x:v>CHƯA CÓ GIÁ LẺ</x:v>
      </x:c>
      <x:c r="O329" s="61" t="n">
        <x:v>0.421</x:v>
      </x:c>
      <x:c r="P329" s="37"/>
      <x:c r="Q329" s="30"/>
      <x:c r="R329" s="30"/>
      <x:c r="S329" s="30"/>
      <x:c r="T329" s="37"/>
      <x:c r="U329" s="59"/>
      <x:c r="V329" s="59"/>
      <x:c r="W329" s="117"/>
      <x:c r="X329" s="59" t="str">
        <x:f>IFERROR(IF(OR($N329="ĐÃ GHÉP - AUTO",$N329="ĐÃ GHÉP - QUY TẮC"),IF($V329="","",IF($T329="THÙNG",$V329/$F329,$V329)),""),"")</x:f>
      </x:c>
      <x:c r="Y329" s="117" t="str">
        <x:f>IF(OR(W329="",F329=""),"",W329*F329)</x:f>
      </x:c>
      <x:c r="Z329" s="59" t="str">
        <x:f>IFERROR(IF(OR($N329="ĐÃ GHÉP - AUTO",$N329="ĐÃ GHÉP - QUY TẮC"),IF($V329="","",IF($T329="THÙNG",$V329,$V329*$F329)),""),"")</x:f>
      </x:c>
      <x:c r="AA329" s="28" t="str">
        <x:f>IFERROR(IF(OR($K329="",$K329=0,$Y329=""),"",($Y329-$K329)/$K329),"")</x:f>
      </x:c>
      <x:c r="AB329" s="37" t="str">
        <x:f>IFERROR(IF($N329="CẦN DUYỆT","DUYỆT MAP",IF($N329="CHƯA CÓ GIÁ LẺ","THIẾU GIÁ",IF(OR($K329="",$K329=0,$Y329=""),"OK",IF(ABS(($Y329-$K329)/$K329)&gt;0.15,"LỆCH GIÁ CŨ","OK")))),"OK")</x:f>
        <x:v>THIẾU GIÁ</x:v>
      </x:c>
      <x:c r="AC329" s="30" t="str">
        <x:v>ứng viên gần nhất=Đậu hủ phomai ngon; score=0.421</x:v>
      </x:c>
      <x:c r="AD329" s="37" t="str">
        <x:v>PMANCH</x:v>
      </x:c>
      <x:c r="AE329" s="38" t="str">
        <x:v>PMANCHT</x:v>
      </x:c>
      <x:c r="AF329" s="123" t="n">
        <x:v>1</x:v>
      </x:c>
      <x:c r="AG329" s="112" t="str">
        <x:v>kg</x:v>
      </x:c>
      <x:c r="AH329" s="112" t="str">
        <x:v>HỘP 1KG</x:v>
      </x:c>
      <x:c r="AI329" s="112" t="str">
        <x:v>1 kg / HỘP 1KG</x:v>
      </x:c>
      <x:c r="AJ329" s="120" t="n">
        <x:v>0</x:v>
      </x:c>
      <x:c r="AK329" s="120"/>
      <x:c r="AL329" s="120"/>
      <x:c r="AM329" s="112" t="str">
        <x:v>DS SP GIÁ 0 - VẪN THIẾU GIÁ</x:v>
      </x:c>
      <x:c r="AN329" s="126" t="n">
        <x:v>717</x:v>
      </x:c>
      <x:c r="AO329" s="126" t="n">
        <x:v>718</x:v>
      </x:c>
      <x:c r="AP329" s="113" t="str">
        <x:v>12 HỘP 1KG / THÙNG</x:v>
      </x:c>
    </x:row>
    <x:row r="330">
      <x:c r="A330" s="71" t="str">
        <x:v>PUDING TRỨNG DOUXIAN</x:v>
      </x:c>
      <x:c r="B330" s="30" t="str">
        <x:v>PUDING TRỨNG DOUXIAN - THÙNG</x:v>
      </x:c>
      <x:c r="C330" s="37" t="str">
        <x:v>PLDXTR</x:v>
      </x:c>
      <x:c r="D330" s="37" t="str">
        <x:v>PLDXTRT</x:v>
      </x:c>
      <x:c r="E330" s="37" t="str">
        <x:v>PLDXTRT</x:v>
      </x:c>
      <x:c r="F330" s="37" t="n">
        <x:v>12</x:v>
      </x:c>
      <x:c r="G330" s="37" t="n">
        <x:v>13000</x:v>
      </x:c>
      <x:c r="H330" s="37" t="str">
        <x:v>g</x:v>
      </x:c>
      <x:c r="I330" s="37" t="str">
        <x:v>THÙNG</x:v>
      </x:c>
      <x:c r="J330" s="59" t="n">
        <x:v>0</x:v>
      </x:c>
      <x:c r="K330" s="59" t="n">
        <x:v>0</x:v>
      </x:c>
      <x:c r="L330" s="59" t="n">
        <x:v>0</x:v>
      </x:c>
      <x:c r="M330" s="37" t="str">
        <x:v>Flan / pudding</x:v>
      </x:c>
      <x:c r="N330" s="37" t="str">
        <x:v>ĐÃ GHÉP - AUTO</x:v>
      </x:c>
      <x:c r="O330" s="61" t="n">
        <x:v>0.866</x:v>
      </x:c>
      <x:c r="P330" s="37" t="n">
        <x:v>123</x:v>
      </x:c>
      <x:c r="Q330" s="30" t="str">
        <x:v>Flan Douxian</x:v>
      </x:c>
      <x:c r="R330" s="30" t="str">
        <x:v>Thùng 12 gói</x:v>
      </x:c>
      <x:c r="S330" s="30" t="str">
        <x:v>gói 1kg</x:v>
      </x:c>
      <x:c r="T330" s="37" t="str">
        <x:v>ĐƠN VỊ</x:v>
      </x:c>
      <x:c r="U330" s="59" t="n">
        <x:v>170000</x:v>
      </x:c>
      <x:c r="V330" s="59" t="n">
        <x:v>168000</x:v>
      </x:c>
      <x:c r="W330" s="117" t="n">
        <x:v>170000</x:v>
      </x:c>
      <x:c r="X330" s="59" t="n">
        <x:f>IFERROR(IF(OR($N330="ĐÃ GHÉP - AUTO",$N330="ĐÃ GHÉP - QUY TẮC"),IF($V330="","",IF($T330="THÙNG",$V330/$F330,$V330)),""),"")</x:f>
        <x:v>168000</x:v>
      </x:c>
      <x:c r="Y330" s="117" t="n">
        <x:f>IF(OR(W330="",F330=""),"",W330*F330)</x:f>
        <x:v>2040000</x:v>
      </x:c>
      <x:c r="Z330" s="59" t="n">
        <x:f>IFERROR(IF(OR($N330="ĐÃ GHÉP - AUTO",$N330="ĐÃ GHÉP - QUY TẮC"),IF($V330="","",IF($T330="THÙNG",$V330,$V330*$F330)),""),"")</x:f>
        <x:v>2016000</x:v>
      </x:c>
      <x:c r="AA330" s="28" t="str">
        <x:f>IFERROR(IF(OR($K330="",$K330=0,$Y330=""),"",($Y330-$K330)/$K330),"")</x:f>
      </x:c>
      <x:c r="AB330" s="37" t="str">
        <x:f>IFERROR(IF($N330="CẦN DUYỆT","DUYỆT MAP",IF($N330="CHƯA CÓ GIÁ LẺ","THIẾU GIÁ",IF(OR($K330="",$K330=0,$Y330=""),"OK",IF(ABS(($Y330-$K330)/$K330)&gt;0.15,"LỆCH GIÁ CŨ","OK")))),"OK")</x:f>
        <x:v>OK</x:v>
      </x:c>
      <x:c r="AC330" s="30" t="str">
        <x:v>score=0.866; gap=0.325</x:v>
      </x:c>
      <x:c r="AD330" s="37" t="str">
        <x:v>PLDXTR</x:v>
      </x:c>
      <x:c r="AE330" s="38" t="str">
        <x:v>PLDXTRT</x:v>
      </x:c>
      <x:c r="AF330" s="123" t="n">
        <x:v>1020</x:v>
      </x:c>
      <x:c r="AG330" s="112" t="str">
        <x:v>g</x:v>
      </x:c>
      <x:c r="AH330" s="112" t="str">
        <x:v>BỊCH</x:v>
      </x:c>
      <x:c r="AI330" s="112" t="str">
        <x:v>1020 g / BỊCH</x:v>
      </x:c>
      <x:c r="AJ330" s="120" t="n">
        <x:v>170000</x:v>
      </x:c>
      <x:c r="AK330" s="120" t="n">
        <x:v>170000</x:v>
      </x:c>
      <x:c r="AL330" s="120" t="n">
        <x:v>170000</x:v>
      </x:c>
      <x:c r="AM330" s="112" t="str">
        <x:v>GIỮ NGUYÊN - ĐÃ KHỚP</x:v>
      </x:c>
      <x:c r="AN330" s="126" t="n">
        <x:v>719</x:v>
      </x:c>
      <x:c r="AO330" s="126" t="n">
        <x:v>720</x:v>
      </x:c>
      <x:c r="AP330" s="113" t="str">
        <x:v>12 BỊCH / THÙNG</x:v>
      </x:c>
    </x:row>
    <x:row r="331">
      <x:c r="A331" s="71" t="str">
        <x:v>PUDING SỮA DOUXIAN</x:v>
      </x:c>
      <x:c r="B331" s="30" t="str">
        <x:v>PUDING SỮA DOUXIAN - THÙNG</x:v>
      </x:c>
      <x:c r="C331" s="37" t="str">
        <x:v>PLDXSU</x:v>
      </x:c>
      <x:c r="D331" s="37" t="str">
        <x:v>PLDXSUT</x:v>
      </x:c>
      <x:c r="E331" s="37" t="str">
        <x:v>PLDXSUT</x:v>
      </x:c>
      <x:c r="F331" s="37" t="n">
        <x:v>12</x:v>
      </x:c>
      <x:c r="G331" s="37" t="n">
        <x:v>13000</x:v>
      </x:c>
      <x:c r="H331" s="37" t="str">
        <x:v>g</x:v>
      </x:c>
      <x:c r="I331" s="37" t="str">
        <x:v>THÙNG</x:v>
      </x:c>
      <x:c r="J331" s="59" t="n">
        <x:v>0</x:v>
      </x:c>
      <x:c r="K331" s="59" t="n">
        <x:v>0</x:v>
      </x:c>
      <x:c r="L331" s="59" t="n">
        <x:v>0</x:v>
      </x:c>
      <x:c r="M331" s="37" t="str">
        <x:v>Flan / pudding</x:v>
      </x:c>
      <x:c r="N331" s="37" t="str">
        <x:v>ĐÃ GHÉP - AUTO</x:v>
      </x:c>
      <x:c r="O331" s="61" t="n">
        <x:v>0.855</x:v>
      </x:c>
      <x:c r="P331" s="37" t="n">
        <x:v>123</x:v>
      </x:c>
      <x:c r="Q331" s="30" t="str">
        <x:v>Flan Douxian</x:v>
      </x:c>
      <x:c r="R331" s="30" t="str">
        <x:v>Thùng 12 gói</x:v>
      </x:c>
      <x:c r="S331" s="30" t="str">
        <x:v>gói 1kg</x:v>
      </x:c>
      <x:c r="T331" s="37" t="str">
        <x:v>ĐƠN VỊ</x:v>
      </x:c>
      <x:c r="U331" s="59" t="n">
        <x:v>170000</x:v>
      </x:c>
      <x:c r="V331" s="59" t="n">
        <x:v>168000</x:v>
      </x:c>
      <x:c r="W331" s="117" t="n">
        <x:v>170000</x:v>
      </x:c>
      <x:c r="X331" s="59" t="n">
        <x:f>IFERROR(IF(OR($N331="ĐÃ GHÉP - AUTO",$N331="ĐÃ GHÉP - QUY TẮC"),IF($V331="","",IF($T331="THÙNG",$V331/$F331,$V331)),""),"")</x:f>
        <x:v>168000</x:v>
      </x:c>
      <x:c r="Y331" s="117" t="n">
        <x:f>IF(OR(W331="",F331=""),"",W331*F331)</x:f>
        <x:v>2040000</x:v>
      </x:c>
      <x:c r="Z331" s="59" t="n">
        <x:f>IFERROR(IF(OR($N331="ĐÃ GHÉP - AUTO",$N331="ĐÃ GHÉP - QUY TẮC"),IF($V331="","",IF($T331="THÙNG",$V331,$V331*$F331)),""),"")</x:f>
        <x:v>2016000</x:v>
      </x:c>
      <x:c r="AA331" s="28" t="str">
        <x:f>IFERROR(IF(OR($K331="",$K331=0,$Y331=""),"",($Y331-$K331)/$K331),"")</x:f>
      </x:c>
      <x:c r="AB331" s="37" t="str">
        <x:f>IFERROR(IF($N331="CẦN DUYỆT","DUYỆT MAP",IF($N331="CHƯA CÓ GIÁ LẺ","THIẾU GIÁ",IF(OR($K331="",$K331=0,$Y331=""),"OK",IF(ABS(($Y331-$K331)/$K331)&gt;0.15,"LỆCH GIÁ CŨ","OK")))),"OK")</x:f>
        <x:v>OK</x:v>
      </x:c>
      <x:c r="AC331" s="30" t="str">
        <x:v>score=0.855; gap=0.790</x:v>
      </x:c>
      <x:c r="AD331" s="37" t="str">
        <x:v>PLDXSU</x:v>
      </x:c>
      <x:c r="AE331" s="38" t="str">
        <x:v>PLDXSUT</x:v>
      </x:c>
      <x:c r="AF331" s="123" t="n">
        <x:v>1020</x:v>
      </x:c>
      <x:c r="AG331" s="112" t="str">
        <x:v>g</x:v>
      </x:c>
      <x:c r="AH331" s="112" t="str">
        <x:v>BỊCH</x:v>
      </x:c>
      <x:c r="AI331" s="112" t="str">
        <x:v>1020 g / BỊCH</x:v>
      </x:c>
      <x:c r="AJ331" s="120" t="n">
        <x:v>170000</x:v>
      </x:c>
      <x:c r="AK331" s="120" t="n">
        <x:v>170000</x:v>
      </x:c>
      <x:c r="AL331" s="120" t="n">
        <x:v>170000</x:v>
      </x:c>
      <x:c r="AM331" s="112" t="str">
        <x:v>GIỮ NGUYÊN - ĐÃ KHỚP</x:v>
      </x:c>
      <x:c r="AN331" s="126" t="n">
        <x:v>721</x:v>
      </x:c>
      <x:c r="AO331" s="126" t="n">
        <x:v>722</x:v>
      </x:c>
      <x:c r="AP331" s="113" t="str">
        <x:v>12 BỊCH / THÙNG</x:v>
      </x:c>
    </x:row>
    <x:row r="332">
      <x:c r="A332" s="71" t="str">
        <x:v>PUDING SOCOLA DOUXIAN</x:v>
      </x:c>
      <x:c r="B332" s="30" t="str">
        <x:v>PUDING SOCOLA DOUXIAN - THÙNG</x:v>
      </x:c>
      <x:c r="C332" s="37" t="str">
        <x:v>PLDXSO</x:v>
      </x:c>
      <x:c r="D332" s="37" t="str">
        <x:v>PLDXSOT</x:v>
      </x:c>
      <x:c r="E332" s="37" t="str">
        <x:v>PLDXSOT</x:v>
      </x:c>
      <x:c r="F332" s="37" t="n">
        <x:v>12</x:v>
      </x:c>
      <x:c r="G332" s="37" t="n">
        <x:v>13000</x:v>
      </x:c>
      <x:c r="H332" s="37" t="str">
        <x:v>g</x:v>
      </x:c>
      <x:c r="I332" s="37" t="str">
        <x:v>THÙNG</x:v>
      </x:c>
      <x:c r="J332" s="59" t="n">
        <x:v>0</x:v>
      </x:c>
      <x:c r="K332" s="59" t="n">
        <x:v>0</x:v>
      </x:c>
      <x:c r="L332" s="59" t="n">
        <x:v>0</x:v>
      </x:c>
      <x:c r="M332" s="37" t="str">
        <x:v>Flan / pudding</x:v>
      </x:c>
      <x:c r="N332" s="37" t="str">
        <x:v>ĐÃ GHÉP - AUTO</x:v>
      </x:c>
      <x:c r="O332" s="61" t="n">
        <x:v>0.869</x:v>
      </x:c>
      <x:c r="P332" s="37" t="n">
        <x:v>123</x:v>
      </x:c>
      <x:c r="Q332" s="30" t="str">
        <x:v>Flan Douxian</x:v>
      </x:c>
      <x:c r="R332" s="30" t="str">
        <x:v>Thùng 12 gói</x:v>
      </x:c>
      <x:c r="S332" s="30" t="str">
        <x:v>gói 1kg</x:v>
      </x:c>
      <x:c r="T332" s="37" t="str">
        <x:v>ĐƠN VỊ</x:v>
      </x:c>
      <x:c r="U332" s="59" t="n">
        <x:v>170000</x:v>
      </x:c>
      <x:c r="V332" s="59" t="n">
        <x:v>168000</x:v>
      </x:c>
      <x:c r="W332" s="117" t="n">
        <x:v>170000</x:v>
      </x:c>
      <x:c r="X332" s="59" t="n">
        <x:f>IFERROR(IF(OR($N332="ĐÃ GHÉP - AUTO",$N332="ĐÃ GHÉP - QUY TẮC"),IF($V332="","",IF($T332="THÙNG",$V332/$F332,$V332)),""),"")</x:f>
        <x:v>168000</x:v>
      </x:c>
      <x:c r="Y332" s="117" t="n">
        <x:f>IF(OR(W332="",F332=""),"",W332*F332)</x:f>
        <x:v>2040000</x:v>
      </x:c>
      <x:c r="Z332" s="59" t="n">
        <x:f>IFERROR(IF(OR($N332="ĐÃ GHÉP - AUTO",$N332="ĐÃ GHÉP - QUY TẮC"),IF($V332="","",IF($T332="THÙNG",$V332,$V332*$F332)),""),"")</x:f>
        <x:v>2016000</x:v>
      </x:c>
      <x:c r="AA332" s="28" t="str">
        <x:f>IFERROR(IF(OR($K332="",$K332=0,$Y332=""),"",($Y332-$K332)/$K332),"")</x:f>
      </x:c>
      <x:c r="AB332" s="37" t="str">
        <x:f>IFERROR(IF($N332="CẦN DUYỆT","DUYỆT MAP",IF($N332="CHƯA CÓ GIÁ LẺ","THIẾU GIÁ",IF(OR($K332="",$K332=0,$Y332=""),"OK",IF(ABS(($Y332-$K332)/$K332)&gt;0.15,"LỆCH GIÁ CŨ","OK")))),"OK")</x:f>
        <x:v>OK</x:v>
      </x:c>
      <x:c r="AC332" s="30" t="str">
        <x:v>score=0.869; gap=0.268</x:v>
      </x:c>
      <x:c r="AD332" s="37" t="str">
        <x:v>PLDXSO</x:v>
      </x:c>
      <x:c r="AE332" s="38" t="str">
        <x:v>PLDXSOT</x:v>
      </x:c>
      <x:c r="AF332" s="123" t="n">
        <x:v>1020</x:v>
      </x:c>
      <x:c r="AG332" s="112" t="str">
        <x:v>g</x:v>
      </x:c>
      <x:c r="AH332" s="112" t="str">
        <x:v>BỊCH</x:v>
      </x:c>
      <x:c r="AI332" s="112" t="str">
        <x:v>1020 g / BỊCH</x:v>
      </x:c>
      <x:c r="AJ332" s="120" t="n">
        <x:v>170000</x:v>
      </x:c>
      <x:c r="AK332" s="120" t="n">
        <x:v>170000</x:v>
      </x:c>
      <x:c r="AL332" s="120" t="n">
        <x:v>170000</x:v>
      </x:c>
      <x:c r="AM332" s="112" t="str">
        <x:v>GIỮ NGUYÊN - ĐÃ KHỚP</x:v>
      </x:c>
      <x:c r="AN332" s="126" t="n">
        <x:v>723</x:v>
      </x:c>
      <x:c r="AO332" s="126" t="n">
        <x:v>724</x:v>
      </x:c>
      <x:c r="AP332" s="113" t="str">
        <x:v>12 BỊCH / THÙNG</x:v>
      </x:c>
    </x:row>
    <x:row r="333">
      <x:c r="A333" s="71" t="str">
        <x:v>PUDING MÔN DOUXIAN</x:v>
      </x:c>
      <x:c r="B333" s="30" t="str">
        <x:v>PUDING MÔN DOUXIAN - THÙNG</x:v>
      </x:c>
      <x:c r="C333" s="37" t="str">
        <x:v>PLDXMN</x:v>
      </x:c>
      <x:c r="D333" s="37" t="str">
        <x:v>PLDXMNT</x:v>
      </x:c>
      <x:c r="E333" s="37" t="str">
        <x:v>PLDXMNT</x:v>
      </x:c>
      <x:c r="F333" s="37" t="n">
        <x:v>12</x:v>
      </x:c>
      <x:c r="G333" s="37" t="n">
        <x:v>13000</x:v>
      </x:c>
      <x:c r="H333" s="37" t="str">
        <x:v>g</x:v>
      </x:c>
      <x:c r="I333" s="37" t="str">
        <x:v>THÙNG</x:v>
      </x:c>
      <x:c r="J333" s="59" t="n">
        <x:v>0</x:v>
      </x:c>
      <x:c r="K333" s="59" t="n">
        <x:v>0</x:v>
      </x:c>
      <x:c r="L333" s="59" t="n">
        <x:v>0</x:v>
      </x:c>
      <x:c r="M333" s="37" t="str">
        <x:v>Flan / pudding</x:v>
      </x:c>
      <x:c r="N333" s="37" t="str">
        <x:v>ĐÃ GHÉP - AUTO</x:v>
      </x:c>
      <x:c r="O333" s="61" t="n">
        <x:v>0.866</x:v>
      </x:c>
      <x:c r="P333" s="37" t="n">
        <x:v>123</x:v>
      </x:c>
      <x:c r="Q333" s="30" t="str">
        <x:v>Flan Douxian</x:v>
      </x:c>
      <x:c r="R333" s="30" t="str">
        <x:v>Thùng 12 gói</x:v>
      </x:c>
      <x:c r="S333" s="30" t="str">
        <x:v>gói 1kg</x:v>
      </x:c>
      <x:c r="T333" s="37" t="str">
        <x:v>ĐƠN VỊ</x:v>
      </x:c>
      <x:c r="U333" s="59" t="n">
        <x:v>170000</x:v>
      </x:c>
      <x:c r="V333" s="59" t="n">
        <x:v>168000</x:v>
      </x:c>
      <x:c r="W333" s="117" t="n">
        <x:v>170000</x:v>
      </x:c>
      <x:c r="X333" s="59" t="n">
        <x:f>IFERROR(IF(OR($N333="ĐÃ GHÉP - AUTO",$N333="ĐÃ GHÉP - QUY TẮC"),IF($V333="","",IF($T333="THÙNG",$V333/$F333,$V333)),""),"")</x:f>
        <x:v>168000</x:v>
      </x:c>
      <x:c r="Y333" s="117" t="n">
        <x:f>IF(OR(W333="",F333=""),"",W333*F333)</x:f>
        <x:v>2040000</x:v>
      </x:c>
      <x:c r="Z333" s="59" t="n">
        <x:f>IFERROR(IF(OR($N333="ĐÃ GHÉP - AUTO",$N333="ĐÃ GHÉP - QUY TẮC"),IF($V333="","",IF($T333="THÙNG",$V333,$V333*$F333)),""),"")</x:f>
        <x:v>2016000</x:v>
      </x:c>
      <x:c r="AA333" s="28" t="str">
        <x:f>IFERROR(IF(OR($K333="",$K333=0,$Y333=""),"",($Y333-$K333)/$K333),"")</x:f>
      </x:c>
      <x:c r="AB333" s="37" t="str">
        <x:f>IFERROR(IF($N333="CẦN DUYỆT","DUYỆT MAP",IF($N333="CHƯA CÓ GIÁ LẺ","THIẾU GIÁ",IF(OR($K333="",$K333=0,$Y333=""),"OK",IF(ABS(($Y333-$K333)/$K333)&gt;0.15,"LỆCH GIÁ CŨ","OK")))),"OK")</x:f>
        <x:v>OK</x:v>
      </x:c>
      <x:c r="AC333" s="30" t="str">
        <x:v>score=0.866; gap=0.365</x:v>
      </x:c>
      <x:c r="AD333" s="37" t="str">
        <x:v>PLDXMN</x:v>
      </x:c>
      <x:c r="AE333" s="38" t="str">
        <x:v>PLDXMNT</x:v>
      </x:c>
      <x:c r="AF333" s="123" t="n">
        <x:v>1020</x:v>
      </x:c>
      <x:c r="AG333" s="112" t="str">
        <x:v>g</x:v>
      </x:c>
      <x:c r="AH333" s="112" t="str">
        <x:v>BỊCH</x:v>
      </x:c>
      <x:c r="AI333" s="112" t="str">
        <x:v>1020 g / BỊCH</x:v>
      </x:c>
      <x:c r="AJ333" s="120" t="n">
        <x:v>170000</x:v>
      </x:c>
      <x:c r="AK333" s="120" t="n">
        <x:v>170000</x:v>
      </x:c>
      <x:c r="AL333" s="120" t="n">
        <x:v>170000</x:v>
      </x:c>
      <x:c r="AM333" s="112" t="str">
        <x:v>GIỮ NGUYÊN - ĐÃ KHỚP</x:v>
      </x:c>
      <x:c r="AN333" s="126" t="n">
        <x:v>725</x:v>
      </x:c>
      <x:c r="AO333" s="126" t="n">
        <x:v>726</x:v>
      </x:c>
      <x:c r="AP333" s="113" t="str">
        <x:v>12 BỊCH / THÙNG</x:v>
      </x:c>
    </x:row>
    <x:row r="334">
      <x:c r="A334" s="71" t="str">
        <x:v>PUDING MOTA TRỨNG</x:v>
      </x:c>
      <x:c r="B334" s="30" t="str">
        <x:v>PUDING MOTA TRỨNG - THÙNG</x:v>
      </x:c>
      <x:c r="C334" s="37" t="str">
        <x:v>PLMOTR</x:v>
      </x:c>
      <x:c r="D334" s="37" t="str">
        <x:v>PLMOTRT</x:v>
      </x:c>
      <x:c r="E334" s="37" t="str">
        <x:v>PLMOTRT</x:v>
      </x:c>
      <x:c r="F334" s="37" t="n">
        <x:v>20</x:v>
      </x:c>
      <x:c r="G334" s="37" t="n">
        <x:v>21000</x:v>
      </x:c>
      <x:c r="H334" s="37" t="str">
        <x:v>g</x:v>
      </x:c>
      <x:c r="I334" s="37" t="str">
        <x:v>THÙNG</x:v>
      </x:c>
      <x:c r="J334" s="59" t="n">
        <x:v>0</x:v>
      </x:c>
      <x:c r="K334" s="59" t="n">
        <x:v>0</x:v>
      </x:c>
      <x:c r="L334" s="59" t="n">
        <x:v>0</x:v>
      </x:c>
      <x:c r="M334" s="37" t="str">
        <x:v>Flan / pudding</x:v>
      </x:c>
      <x:c r="N334" s="37" t="str">
        <x:v>ĐÃ GHÉP - QUY TẮC</x:v>
      </x:c>
      <x:c r="O334" s="61" t="n">
        <x:v>0.99</x:v>
      </x:c>
      <x:c r="P334" s="37" t="n">
        <x:v>124</x:v>
      </x:c>
      <x:c r="Q334" s="30" t="str">
        <x:v>Flan  mota</x:v>
      </x:c>
      <x:c r="R334" s="30" t="str">
        <x:v>Thung 12 goi</x:v>
      </x:c>
      <x:c r="S334" s="30" t="str">
        <x:v>gói 1kg</x:v>
      </x:c>
      <x:c r="T334" s="37" t="str">
        <x:v>ĐƠN VỊ</x:v>
      </x:c>
      <x:c r="U334" s="59" t="n">
        <x:v>163000</x:v>
      </x:c>
      <x:c r="V334" s="59" t="n">
        <x:v>161000</x:v>
      </x:c>
      <x:c r="W334" s="117" t="n">
        <x:v>153000</x:v>
      </x:c>
      <x:c r="X334" s="59" t="n">
        <x:f>IFERROR(IF(OR($N334="ĐÃ GHÉP - AUTO",$N334="ĐÃ GHÉP - QUY TẮC"),IF($V334="","",IF($T334="THÙNG",$V334/$F334,$V334)),""),"")</x:f>
        <x:v>161000</x:v>
      </x:c>
      <x:c r="Y334" s="117" t="n">
        <x:f>IF(OR(W334="",F334=""),"",W334*F334)</x:f>
        <x:v>3060000</x:v>
      </x:c>
      <x:c r="Z334" s="59" t="n">
        <x:f>IFERROR(IF(OR($N334="ĐÃ GHÉP - AUTO",$N334="ĐÃ GHÉP - QUY TẮC"),IF($V334="","",IF($T334="THÙNG",$V334,$V334*$F334)),""),"")</x:f>
        <x:v>3220000</x:v>
      </x:c>
      <x:c r="AA334" s="28" t="str">
        <x:f>IFERROR(IF(OR($K334="",$K334=0,$Y334=""),"",($Y334-$K334)/$K334),"")</x:f>
      </x:c>
      <x:c r="AB334" s="37" t="str">
        <x:f>IFERROR(IF($N334="CẦN DUYỆT","DUYỆT MAP",IF($N334="CHƯA CÓ GIÁ LẺ","THIẾU GIÁ",IF(OR($K334="",$K334=0,$Y334=""),"OK",IF(ABS(($Y334-$K334)/$K334)&gt;0.15,"LỆCH GIÁ CŨ","OK")))),"OK")</x:f>
        <x:v>OK</x:v>
      </x:c>
      <x:c r="AC334" s="30" t="str">
        <x:v>Flan/Puding Mota trứng</x:v>
      </x:c>
      <x:c r="AD334" s="37" t="str">
        <x:v>PLMOTR</x:v>
      </x:c>
      <x:c r="AE334" s="38" t="str">
        <x:v>PLMOTRT</x:v>
      </x:c>
      <x:c r="AF334" s="123" t="n">
        <x:v>1000</x:v>
      </x:c>
      <x:c r="AG334" s="112" t="str">
        <x:v>g</x:v>
      </x:c>
      <x:c r="AH334" s="112" t="str">
        <x:v>BỊCH</x:v>
      </x:c>
      <x:c r="AI334" s="112" t="str">
        <x:v>1000 g / BỊCH</x:v>
      </x:c>
      <x:c r="AJ334" s="120" t="n">
        <x:v>153000</x:v>
      </x:c>
      <x:c r="AK334" s="120" t="n">
        <x:v>163000</x:v>
      </x:c>
      <x:c r="AL334" s="120" t="n">
        <x:v>153000</x:v>
      </x:c>
      <x:c r="AM334" s="112" t="str">
        <x:v>CẬP NHẬT GIÁ</x:v>
      </x:c>
      <x:c r="AN334" s="126" t="n">
        <x:v>727</x:v>
      </x:c>
      <x:c r="AO334" s="126" t="n">
        <x:v>728</x:v>
      </x:c>
      <x:c r="AP334" s="113" t="str">
        <x:v>20 BỊCH / THÙNG</x:v>
      </x:c>
    </x:row>
    <x:row r="335">
      <x:c r="A335" s="71" t="str">
        <x:v>PUDING MOTA SOCOLA</x:v>
      </x:c>
      <x:c r="B335" s="30" t="str">
        <x:v>PUDING MOTA SOCOLA - THÙNG</x:v>
      </x:c>
      <x:c r="C335" s="37" t="str">
        <x:v>PLMOSO</x:v>
      </x:c>
      <x:c r="D335" s="37" t="str">
        <x:v>PLMOSOT</x:v>
      </x:c>
      <x:c r="E335" s="37" t="str">
        <x:v>PLMOSOT</x:v>
      </x:c>
      <x:c r="F335" s="37" t="n">
        <x:v>20</x:v>
      </x:c>
      <x:c r="G335" s="37" t="n">
        <x:v>21000</x:v>
      </x:c>
      <x:c r="H335" s="37" t="str">
        <x:v>g</x:v>
      </x:c>
      <x:c r="I335" s="37" t="str">
        <x:v>THÙNG</x:v>
      </x:c>
      <x:c r="J335" s="59" t="n">
        <x:v>0</x:v>
      </x:c>
      <x:c r="K335" s="59" t="n">
        <x:v>0</x:v>
      </x:c>
      <x:c r="L335" s="59" t="n">
        <x:v>0</x:v>
      </x:c>
      <x:c r="M335" s="37" t="str">
        <x:v>Flan / pudding</x:v>
      </x:c>
      <x:c r="N335" s="37" t="str">
        <x:v>ĐÃ GHÉP - QUY TẮC</x:v>
      </x:c>
      <x:c r="O335" s="61" t="n">
        <x:v>0.99</x:v>
      </x:c>
      <x:c r="P335" s="37" t="n">
        <x:v>125</x:v>
      </x:c>
      <x:c r="Q335" s="30" t="str">
        <x:v>Flan  mota sô</x:v>
      </x:c>
      <x:c r="R335" s="30" t="str">
        <x:v>Thung 12 goi</x:v>
      </x:c>
      <x:c r="S335" s="30" t="str">
        <x:v>gói 1kg</x:v>
      </x:c>
      <x:c r="T335" s="37" t="str">
        <x:v>ĐƠN VỊ</x:v>
      </x:c>
      <x:c r="U335" s="59" t="n">
        <x:v>155000</x:v>
      </x:c>
      <x:c r="V335" s="59"/>
      <x:c r="W335" s="117" t="n">
        <x:v>163000</x:v>
      </x:c>
      <x:c r="X335" s="59" t="str">
        <x:f>IFERROR(IF(OR($N335="ĐÃ GHÉP - AUTO",$N335="ĐÃ GHÉP - QUY TẮC"),IF($V335="","",IF($T335="THÙNG",$V335/$F335,$V335)),""),"")</x:f>
      </x:c>
      <x:c r="Y335" s="117" t="n">
        <x:f>IF(OR(W335="",F335=""),"",W335*F335)</x:f>
        <x:v>3260000</x:v>
      </x:c>
      <x:c r="Z335" s="59" t="str">
        <x:f>IFERROR(IF(OR($N335="ĐÃ GHÉP - AUTO",$N335="ĐÃ GHÉP - QUY TẮC"),IF($V335="","",IF($T335="THÙNG",$V335,$V335*$F335)),""),"")</x:f>
      </x:c>
      <x:c r="AA335" s="28" t="str">
        <x:f>IFERROR(IF(OR($K335="",$K335=0,$Y335=""),"",($Y335-$K335)/$K335),"")</x:f>
      </x:c>
      <x:c r="AB335" s="37" t="str">
        <x:f>IFERROR(IF($N335="CẦN DUYỆT","DUYỆT MAP",IF($N335="CHƯA CÓ GIÁ LẺ","THIẾU GIÁ",IF(OR($K335="",$K335=0,$Y335=""),"OK",IF(ABS(($Y335-$K335)/$K335)&gt;0.15,"LỆCH GIÁ CŨ","OK")))),"OK")</x:f>
        <x:v>OK</x:v>
      </x:c>
      <x:c r="AC335" s="30" t="str">
        <x:v>Flan/Puding Mota socola</x:v>
      </x:c>
      <x:c r="AD335" s="37" t="str">
        <x:v>PLMOSO</x:v>
      </x:c>
      <x:c r="AE335" s="38" t="str">
        <x:v>PLMOSOT</x:v>
      </x:c>
      <x:c r="AF335" s="123" t="n">
        <x:v>1000</x:v>
      </x:c>
      <x:c r="AG335" s="112" t="str">
        <x:v>g</x:v>
      </x:c>
      <x:c r="AH335" s="112" t="str">
        <x:v>BỊCH</x:v>
      </x:c>
      <x:c r="AI335" s="112" t="str">
        <x:v>1000 g / BỊCH</x:v>
      </x:c>
      <x:c r="AJ335" s="120" t="n">
        <x:v>163000</x:v>
      </x:c>
      <x:c r="AK335" s="120" t="n">
        <x:v>155000</x:v>
      </x:c>
      <x:c r="AL335" s="120" t="n">
        <x:v>163000</x:v>
      </x:c>
      <x:c r="AM335" s="112" t="str">
        <x:v>CẬP NHẬT GIÁ</x:v>
      </x:c>
      <x:c r="AN335" s="126" t="n">
        <x:v>729</x:v>
      </x:c>
      <x:c r="AO335" s="126" t="n">
        <x:v>730</x:v>
      </x:c>
      <x:c r="AP335" s="113" t="str">
        <x:v>20 BỊCH / THÙNG</x:v>
      </x:c>
    </x:row>
    <x:row r="336">
      <x:c r="A336" s="71" t="str">
        <x:v>PUDING MOTA MÔN</x:v>
      </x:c>
      <x:c r="B336" s="30" t="str">
        <x:v>PUDING MOTA MÔN - THÙNG</x:v>
      </x:c>
      <x:c r="C336" s="37" t="str">
        <x:v>PLMOMN</x:v>
      </x:c>
      <x:c r="D336" s="37" t="str">
        <x:v>PLMOMNT</x:v>
      </x:c>
      <x:c r="E336" s="37" t="str">
        <x:v>PLMOMNT</x:v>
      </x:c>
      <x:c r="F336" s="37" t="n">
        <x:v>20</x:v>
      </x:c>
      <x:c r="G336" s="37" t="n">
        <x:v>21000</x:v>
      </x:c>
      <x:c r="H336" s="37" t="str">
        <x:v>g</x:v>
      </x:c>
      <x:c r="I336" s="37" t="str">
        <x:v>THÙNG</x:v>
      </x:c>
      <x:c r="J336" s="59" t="n">
        <x:v>0</x:v>
      </x:c>
      <x:c r="K336" s="59" t="n">
        <x:v>0</x:v>
      </x:c>
      <x:c r="L336" s="59" t="n">
        <x:v>0</x:v>
      </x:c>
      <x:c r="M336" s="37" t="str">
        <x:v>Flan / pudding</x:v>
      </x:c>
      <x:c r="N336" s="37" t="str">
        <x:v>CHƯA CÓ GIÁ LẺ</x:v>
      </x:c>
      <x:c r="O336" s="61" t="n">
        <x:v>0.802</x:v>
      </x:c>
      <x:c r="P336" s="37"/>
      <x:c r="Q336" s="30"/>
      <x:c r="R336" s="30"/>
      <x:c r="S336" s="30"/>
      <x:c r="T336" s="37"/>
      <x:c r="U336" s="59"/>
      <x:c r="V336" s="59"/>
      <x:c r="W336" s="117" t="n">
        <x:v>153000</x:v>
      </x:c>
      <x:c r="X336" s="59" t="str">
        <x:f>IFERROR(IF(OR($N336="ĐÃ GHÉP - AUTO",$N336="ĐÃ GHÉP - QUY TẮC"),IF($V336="","",IF($T336="THÙNG",$V336/$F336,$V336)),""),"")</x:f>
      </x:c>
      <x:c r="Y336" s="117" t="n">
        <x:f>IF(OR(W336="",F336=""),"",W336*F336)</x:f>
        <x:v>3060000</x:v>
      </x:c>
      <x:c r="Z336" s="59" t="str">
        <x:f>IFERROR(IF(OR($N336="ĐÃ GHÉP - AUTO",$N336="ĐÃ GHÉP - QUY TẮC"),IF($V336="","",IF($T336="THÙNG",$V336,$V336*$F336)),""),"")</x:f>
      </x:c>
      <x:c r="AA336" s="28" t="str">
        <x:f>IFERROR(IF(OR($K336="",$K336=0,$Y336=""),"",($Y336-$K336)/$K336),"")</x:f>
      </x:c>
      <x:c r="AB336" s="37" t="str">
        <x:f>IFERROR(IF($N336="CẦN DUYỆT","DUYỆT MAP",IF($N336="CHƯA CÓ GIÁ LẺ","THIẾU GIÁ",IF(OR($K336="",$K336=0,$Y336=""),"OK",IF(ABS(($Y336-$K336)/$K336)&gt;0.15,"LỆCH GIÁ CŨ","OK")))),"OK")</x:f>
        <x:v>THIẾU GIÁ</x:v>
      </x:c>
      <x:c r="AC336" s="30" t="str">
        <x:v>Nguồn không có giá riêng cho vị Mota này</x:v>
      </x:c>
      <x:c r="AD336" s="37" t="str">
        <x:v>PLMOMN</x:v>
      </x:c>
      <x:c r="AE336" s="38" t="str">
        <x:v>PLMOMNT</x:v>
      </x:c>
      <x:c r="AF336" s="123" t="n">
        <x:v>1000</x:v>
      </x:c>
      <x:c r="AG336" s="112" t="str">
        <x:v>g</x:v>
      </x:c>
      <x:c r="AH336" s="112" t="str">
        <x:v>BỊCH</x:v>
      </x:c>
      <x:c r="AI336" s="112" t="str">
        <x:v>1000 g / BỊCH</x:v>
      </x:c>
      <x:c r="AJ336" s="120" t="n">
        <x:v>153000</x:v>
      </x:c>
      <x:c r="AK336" s="120"/>
      <x:c r="AL336" s="120" t="n">
        <x:v>153000</x:v>
      </x:c>
      <x:c r="AM336" s="112" t="str">
        <x:v>BỔ SUNG GIÁ</x:v>
      </x:c>
      <x:c r="AN336" s="126" t="n">
        <x:v>731</x:v>
      </x:c>
      <x:c r="AO336" s="126" t="n">
        <x:v>732</x:v>
      </x:c>
      <x:c r="AP336" s="113" t="str">
        <x:v>20 BỊCH / THÙNG</x:v>
      </x:c>
    </x:row>
    <x:row r="337">
      <x:c r="A337" s="71" t="str">
        <x:v>PUDING MOTA LƯỚI</x:v>
      </x:c>
      <x:c r="B337" s="30" t="str">
        <x:v>PUDING MOTA LƯỚI - THÙNG</x:v>
      </x:c>
      <x:c r="C337" s="37" t="str">
        <x:v>PLMODU</x:v>
      </x:c>
      <x:c r="D337" s="37" t="str">
        <x:v>PLMODUT</x:v>
      </x:c>
      <x:c r="E337" s="37" t="str">
        <x:v>PLMODUT</x:v>
      </x:c>
      <x:c r="F337" s="37" t="n">
        <x:v>20</x:v>
      </x:c>
      <x:c r="G337" s="37" t="n">
        <x:v>21000</x:v>
      </x:c>
      <x:c r="H337" s="37" t="str">
        <x:v>g</x:v>
      </x:c>
      <x:c r="I337" s="37" t="str">
        <x:v>THÙNG</x:v>
      </x:c>
      <x:c r="J337" s="59" t="n">
        <x:v>0</x:v>
      </x:c>
      <x:c r="K337" s="59" t="n">
        <x:v>0</x:v>
      </x:c>
      <x:c r="L337" s="59" t="n">
        <x:v>0</x:v>
      </x:c>
      <x:c r="M337" s="37" t="str">
        <x:v>Flan / pudding</x:v>
      </x:c>
      <x:c r="N337" s="37" t="str">
        <x:v>CHƯA CÓ GIÁ LẺ</x:v>
      </x:c>
      <x:c r="O337" s="61" t="n">
        <x:v>0.799</x:v>
      </x:c>
      <x:c r="P337" s="37"/>
      <x:c r="Q337" s="30"/>
      <x:c r="R337" s="30"/>
      <x:c r="S337" s="30"/>
      <x:c r="T337" s="37"/>
      <x:c r="U337" s="59"/>
      <x:c r="V337" s="59"/>
      <x:c r="W337" s="117" t="n">
        <x:v>153000</x:v>
      </x:c>
      <x:c r="X337" s="59" t="str">
        <x:f>IFERROR(IF(OR($N337="ĐÃ GHÉP - AUTO",$N337="ĐÃ GHÉP - QUY TẮC"),IF($V337="","",IF($T337="THÙNG",$V337/$F337,$V337)),""),"")</x:f>
      </x:c>
      <x:c r="Y337" s="117" t="n">
        <x:f>IF(OR(W337="",F337=""),"",W337*F337)</x:f>
        <x:v>3060000</x:v>
      </x:c>
      <x:c r="Z337" s="59" t="str">
        <x:f>IFERROR(IF(OR($N337="ĐÃ GHÉP - AUTO",$N337="ĐÃ GHÉP - QUY TẮC"),IF($V337="","",IF($T337="THÙNG",$V337,$V337*$F337)),""),"")</x:f>
      </x:c>
      <x:c r="AA337" s="28" t="str">
        <x:f>IFERROR(IF(OR($K337="",$K337=0,$Y337=""),"",($Y337-$K337)/$K337),"")</x:f>
      </x:c>
      <x:c r="AB337" s="37" t="str">
        <x:f>IFERROR(IF($N337="CẦN DUYỆT","DUYỆT MAP",IF($N337="CHƯA CÓ GIÁ LẺ","THIẾU GIÁ",IF(OR($K337="",$K337=0,$Y337=""),"OK",IF(ABS(($Y337-$K337)/$K337)&gt;0.15,"LỆCH GIÁ CŨ","OK")))),"OK")</x:f>
        <x:v>THIẾU GIÁ</x:v>
      </x:c>
      <x:c r="AC337" s="30" t="str">
        <x:v>Nguồn không có giá riêng cho vị Mota này</x:v>
      </x:c>
      <x:c r="AD337" s="37" t="str">
        <x:v>PLMODU</x:v>
      </x:c>
      <x:c r="AE337" s="38" t="str">
        <x:v>PLMODUT</x:v>
      </x:c>
      <x:c r="AF337" s="123" t="n">
        <x:v>1000</x:v>
      </x:c>
      <x:c r="AG337" s="112" t="str">
        <x:v>g</x:v>
      </x:c>
      <x:c r="AH337" s="112" t="str">
        <x:v>BỊCH</x:v>
      </x:c>
      <x:c r="AI337" s="112" t="str">
        <x:v>1000 g / BỊCH</x:v>
      </x:c>
      <x:c r="AJ337" s="120" t="n">
        <x:v>153000</x:v>
      </x:c>
      <x:c r="AK337" s="120"/>
      <x:c r="AL337" s="120" t="n">
        <x:v>153000</x:v>
      </x:c>
      <x:c r="AM337" s="112" t="str">
        <x:v>BỔ SUNG GIÁ</x:v>
      </x:c>
      <x:c r="AN337" s="126" t="n">
        <x:v>733</x:v>
      </x:c>
      <x:c r="AO337" s="126" t="n">
        <x:v>734</x:v>
      </x:c>
      <x:c r="AP337" s="113" t="str">
        <x:v>20 BỊCH / THÙNG</x:v>
      </x:c>
    </x:row>
    <x:row r="338">
      <x:c r="A338" s="71" t="str">
        <x:v>PUDING MOTA DÂU</x:v>
      </x:c>
      <x:c r="B338" s="30" t="str">
        <x:v>PUDING MOTA DÂU - THÙNG</x:v>
      </x:c>
      <x:c r="C338" s="37" t="str">
        <x:v>PLMODA</x:v>
      </x:c>
      <x:c r="D338" s="37" t="str">
        <x:v>PLMODAT</x:v>
      </x:c>
      <x:c r="E338" s="37" t="str">
        <x:v>PLMODAT</x:v>
      </x:c>
      <x:c r="F338" s="37" t="n">
        <x:v>20</x:v>
      </x:c>
      <x:c r="G338" s="37" t="n">
        <x:v>21000</x:v>
      </x:c>
      <x:c r="H338" s="37" t="str">
        <x:v>g</x:v>
      </x:c>
      <x:c r="I338" s="37" t="str">
        <x:v>THÙNG</x:v>
      </x:c>
      <x:c r="J338" s="59" t="n">
        <x:v>0</x:v>
      </x:c>
      <x:c r="K338" s="59" t="n">
        <x:v>0</x:v>
      </x:c>
      <x:c r="L338" s="59" t="n">
        <x:v>0</x:v>
      </x:c>
      <x:c r="M338" s="37" t="str">
        <x:v>Flan / pudding</x:v>
      </x:c>
      <x:c r="N338" s="37" t="str">
        <x:v>CHƯA CÓ GIÁ LẺ</x:v>
      </x:c>
      <x:c r="O338" s="61" t="n">
        <x:v>0.802</x:v>
      </x:c>
      <x:c r="P338" s="37"/>
      <x:c r="Q338" s="30"/>
      <x:c r="R338" s="30"/>
      <x:c r="S338" s="30"/>
      <x:c r="T338" s="37"/>
      <x:c r="U338" s="59"/>
      <x:c r="V338" s="59"/>
      <x:c r="W338" s="117" t="n">
        <x:v>153000</x:v>
      </x:c>
      <x:c r="X338" s="59" t="str">
        <x:f>IFERROR(IF(OR($N338="ĐÃ GHÉP - AUTO",$N338="ĐÃ GHÉP - QUY TẮC"),IF($V338="","",IF($T338="THÙNG",$V338/$F338,$V338)),""),"")</x:f>
      </x:c>
      <x:c r="Y338" s="117" t="n">
        <x:f>IF(OR(W338="",F338=""),"",W338*F338)</x:f>
        <x:v>3060000</x:v>
      </x:c>
      <x:c r="Z338" s="59" t="str">
        <x:f>IFERROR(IF(OR($N338="ĐÃ GHÉP - AUTO",$N338="ĐÃ GHÉP - QUY TẮC"),IF($V338="","",IF($T338="THÙNG",$V338,$V338*$F338)),""),"")</x:f>
      </x:c>
      <x:c r="AA338" s="28" t="str">
        <x:f>IFERROR(IF(OR($K338="",$K338=0,$Y338=""),"",($Y338-$K338)/$K338),"")</x:f>
      </x:c>
      <x:c r="AB338" s="37" t="str">
        <x:f>IFERROR(IF($N338="CẦN DUYỆT","DUYỆT MAP",IF($N338="CHƯA CÓ GIÁ LẺ","THIẾU GIÁ",IF(OR($K338="",$K338=0,$Y338=""),"OK",IF(ABS(($Y338-$K338)/$K338)&gt;0.15,"LỆCH GIÁ CŨ","OK")))),"OK")</x:f>
        <x:v>THIẾU GIÁ</x:v>
      </x:c>
      <x:c r="AC338" s="30" t="str">
        <x:v>Nguồn không có giá riêng cho vị Mota này</x:v>
      </x:c>
      <x:c r="AD338" s="37" t="str">
        <x:v>PLMODA</x:v>
      </x:c>
      <x:c r="AE338" s="38" t="str">
        <x:v>PLMODAT</x:v>
      </x:c>
      <x:c r="AF338" s="123" t="n">
        <x:v>1000</x:v>
      </x:c>
      <x:c r="AG338" s="112" t="str">
        <x:v>g</x:v>
      </x:c>
      <x:c r="AH338" s="112" t="str">
        <x:v>BỊCH</x:v>
      </x:c>
      <x:c r="AI338" s="112" t="str">
        <x:v>1000 g / BỊCH</x:v>
      </x:c>
      <x:c r="AJ338" s="120" t="n">
        <x:v>153000</x:v>
      </x:c>
      <x:c r="AK338" s="120"/>
      <x:c r="AL338" s="120" t="n">
        <x:v>153000</x:v>
      </x:c>
      <x:c r="AM338" s="112" t="str">
        <x:v>BỔ SUNG GIÁ</x:v>
      </x:c>
      <x:c r="AN338" s="126" t="n">
        <x:v>735</x:v>
      </x:c>
      <x:c r="AO338" s="126" t="n">
        <x:v>736</x:v>
      </x:c>
      <x:c r="AP338" s="113" t="str">
        <x:v>20 BỊCH / THÙNG</x:v>
      </x:c>
    </x:row>
    <x:row r="339">
      <x:c r="A339" s="71" t="str">
        <x:v>PUDING MOLE TRỨNG</x:v>
      </x:c>
      <x:c r="B339" s="30" t="str">
        <x:v>PUDING MOLE TRỨNG - THÙNG</x:v>
      </x:c>
      <x:c r="C339" s="37" t="str">
        <x:v>PLMTRU</x:v>
      </x:c>
      <x:c r="D339" s="37" t="str">
        <x:v>PLMTRUT</x:v>
      </x:c>
      <x:c r="E339" s="37" t="str">
        <x:v>PLMTRUT</x:v>
      </x:c>
      <x:c r="F339" s="37" t="n">
        <x:v>20</x:v>
      </x:c>
      <x:c r="G339" s="37" t="n">
        <x:v>0</x:v>
      </x:c>
      <x:c r="H339" s="37" t="str">
        <x:v>g</x:v>
      </x:c>
      <x:c r="I339" s="37" t="str">
        <x:v>THÙNG</x:v>
      </x:c>
      <x:c r="J339" s="59" t="n">
        <x:v>0</x:v>
      </x:c>
      <x:c r="K339" s="59" t="n">
        <x:v>0</x:v>
      </x:c>
      <x:c r="L339" s="59" t="n">
        <x:v>0</x:v>
      </x:c>
      <x:c r="M339" s="37" t="str">
        <x:v>Flan / pudding</x:v>
      </x:c>
      <x:c r="N339" s="37" t="str">
        <x:v>ĐÃ GHÉP - AUTO</x:v>
      </x:c>
      <x:c r="O339" s="61" t="n">
        <x:v>0.97</x:v>
      </x:c>
      <x:c r="P339" s="37" t="n">
        <x:v>126</x:v>
      </x:c>
      <x:c r="Q339" s="30" t="str">
        <x:v>Flan Mole trứng</x:v>
      </x:c>
      <x:c r="R339" s="30" t="str">
        <x:v>Thùng 20 gói</x:v>
      </x:c>
      <x:c r="S339" s="30" t="str">
        <x:v>gói 1kg</x:v>
      </x:c>
      <x:c r="T339" s="37" t="str">
        <x:v>ĐƠN VỊ</x:v>
      </x:c>
      <x:c r="U339" s="59" t="n">
        <x:v>235000</x:v>
      </x:c>
      <x:c r="V339" s="59"/>
      <x:c r="W339" s="117" t="n">
        <x:v>235000</x:v>
      </x:c>
      <x:c r="X339" s="59" t="str">
        <x:f>IFERROR(IF(OR($N339="ĐÃ GHÉP - AUTO",$N339="ĐÃ GHÉP - QUY TẮC"),IF($V339="","",IF($T339="THÙNG",$V339/$F339,$V339)),""),"")</x:f>
      </x:c>
      <x:c r="Y339" s="117" t="n">
        <x:f>IF(OR(W339="",F339=""),"",W339*F339)</x:f>
        <x:v>4700000</x:v>
      </x:c>
      <x:c r="Z339" s="59" t="str">
        <x:f>IFERROR(IF(OR($N339="ĐÃ GHÉP - AUTO",$N339="ĐÃ GHÉP - QUY TẮC"),IF($V339="","",IF($T339="THÙNG",$V339,$V339*$F339)),""),"")</x:f>
      </x:c>
      <x:c r="AA339" s="28" t="str">
        <x:f>IFERROR(IF(OR($K339="",$K339=0,$Y339=""),"",($Y339-$K339)/$K339),"")</x:f>
      </x:c>
      <x:c r="AB339" s="37" t="str">
        <x:f>IFERROR(IF($N339="CẦN DUYỆT","DUYỆT MAP",IF($N339="CHƯA CÓ GIÁ LẺ","THIẾU GIÁ",IF(OR($K339="",$K339=0,$Y339=""),"OK",IF(ABS(($Y339-$K339)/$K339)&gt;0.15,"LỆCH GIÁ CŨ","OK")))),"OK")</x:f>
        <x:v>OK</x:v>
      </x:c>
      <x:c r="AC339" s="30" t="str">
        <x:v>score=0.970; gap=0.443</x:v>
      </x:c>
      <x:c r="AD339" s="37" t="str">
        <x:v>PLMTRU</x:v>
      </x:c>
      <x:c r="AE339" s="38" t="str">
        <x:v>PLMTRUT</x:v>
      </x:c>
      <x:c r="AF339" s="123" t="n">
        <x:v>1000</x:v>
      </x:c>
      <x:c r="AG339" s="112" t="str">
        <x:v>g</x:v>
      </x:c>
      <x:c r="AH339" s="112" t="str">
        <x:v>BỊCH</x:v>
      </x:c>
      <x:c r="AI339" s="112" t="str">
        <x:v>1000 g / BỊCH</x:v>
      </x:c>
      <x:c r="AJ339" s="120" t="n">
        <x:v>235000</x:v>
      </x:c>
      <x:c r="AK339" s="120" t="n">
        <x:v>235000</x:v>
      </x:c>
      <x:c r="AL339" s="120" t="n">
        <x:v>235000</x:v>
      </x:c>
      <x:c r="AM339" s="112" t="str">
        <x:v>GIỮ NGUYÊN - ĐÃ KHỚP</x:v>
      </x:c>
      <x:c r="AN339" s="126" t="n">
        <x:v>737</x:v>
      </x:c>
      <x:c r="AO339" s="126" t="n">
        <x:v>738</x:v>
      </x:c>
      <x:c r="AP339" s="113" t="str">
        <x:v>20 BỊCH / THÙNG</x:v>
      </x:c>
    </x:row>
    <x:row r="340">
      <x:c r="A340" s="71" t="str">
        <x:v>PUDING MOLE SOCOLA</x:v>
      </x:c>
      <x:c r="B340" s="30" t="str">
        <x:v>PUDING MOLE SOCOLA - THÙNG</x:v>
      </x:c>
      <x:c r="C340" s="37" t="str">
        <x:v>PLMSCL</x:v>
      </x:c>
      <x:c r="D340" s="37" t="str">
        <x:v>PLMSCLT</x:v>
      </x:c>
      <x:c r="E340" s="37" t="str">
        <x:v>PLMSCLT</x:v>
      </x:c>
      <x:c r="F340" s="37" t="n">
        <x:v>20</x:v>
      </x:c>
      <x:c r="G340" s="37" t="n">
        <x:v>21000</x:v>
      </x:c>
      <x:c r="H340" s="37" t="str">
        <x:v>g</x:v>
      </x:c>
      <x:c r="I340" s="37" t="str">
        <x:v>THÙNG</x:v>
      </x:c>
      <x:c r="J340" s="59" t="n">
        <x:v>0</x:v>
      </x:c>
      <x:c r="K340" s="59" t="n">
        <x:v>0</x:v>
      </x:c>
      <x:c r="L340" s="59" t="n">
        <x:v>0</x:v>
      </x:c>
      <x:c r="M340" s="37" t="str">
        <x:v>Flan / pudding</x:v>
      </x:c>
      <x:c r="N340" s="37" t="str">
        <x:v>ĐÃ GHÉP - AUTO</x:v>
      </x:c>
      <x:c r="O340" s="61" t="n">
        <x:v>0.97</x:v>
      </x:c>
      <x:c r="P340" s="37" t="n">
        <x:v>127</x:v>
      </x:c>
      <x:c r="Q340" s="30" t="str">
        <x:v>Flan Mole SÔ</x:v>
      </x:c>
      <x:c r="R340" s="30" t="str">
        <x:v>Thùng 20 gói</x:v>
      </x:c>
      <x:c r="S340" s="30" t="str">
        <x:v>gói 1kg</x:v>
      </x:c>
      <x:c r="T340" s="37" t="str">
        <x:v>ĐƠN VỊ</x:v>
      </x:c>
      <x:c r="U340" s="59" t="n">
        <x:v>257000</x:v>
      </x:c>
      <x:c r="V340" s="59"/>
      <x:c r="W340" s="117" t="n">
        <x:v>257000</x:v>
      </x:c>
      <x:c r="X340" s="59" t="str">
        <x:f>IFERROR(IF(OR($N340="ĐÃ GHÉP - AUTO",$N340="ĐÃ GHÉP - QUY TẮC"),IF($V340="","",IF($T340="THÙNG",$V340/$F340,$V340)),""),"")</x:f>
      </x:c>
      <x:c r="Y340" s="117" t="n">
        <x:f>IF(OR(W340="",F340=""),"",W340*F340)</x:f>
        <x:v>5140000</x:v>
      </x:c>
      <x:c r="Z340" s="59" t="str">
        <x:f>IFERROR(IF(OR($N340="ĐÃ GHÉP - AUTO",$N340="ĐÃ GHÉP - QUY TẮC"),IF($V340="","",IF($T340="THÙNG",$V340,$V340*$F340)),""),"")</x:f>
      </x:c>
      <x:c r="AA340" s="28" t="str">
        <x:f>IFERROR(IF(OR($K340="",$K340=0,$Y340=""),"",($Y340-$K340)/$K340),"")</x:f>
      </x:c>
      <x:c r="AB340" s="37" t="str">
        <x:f>IFERROR(IF($N340="CẦN DUYỆT","DUYỆT MAP",IF($N340="CHƯA CÓ GIÁ LẺ","THIẾU GIÁ",IF(OR($K340="",$K340=0,$Y340=""),"OK",IF(ABS(($Y340-$K340)/$K340)&gt;0.15,"LỆCH GIÁ CŨ","OK")))),"OK")</x:f>
        <x:v>OK</x:v>
      </x:c>
      <x:c r="AC340" s="30" t="str">
        <x:v>score=0.970; gap=0.398</x:v>
      </x:c>
      <x:c r="AD340" s="37" t="str">
        <x:v>PLMSCL</x:v>
      </x:c>
      <x:c r="AE340" s="38" t="str">
        <x:v>PLMSCLT</x:v>
      </x:c>
      <x:c r="AF340" s="123" t="n">
        <x:v>1</x:v>
      </x:c>
      <x:c r="AG340" s="112" t="str">
        <x:v>kg</x:v>
      </x:c>
      <x:c r="AH340" s="112" t="str">
        <x:v>BỊCH</x:v>
      </x:c>
      <x:c r="AI340" s="112" t="str">
        <x:v>1 kg / BỊCH</x:v>
      </x:c>
      <x:c r="AJ340" s="120" t="n">
        <x:v>257000</x:v>
      </x:c>
      <x:c r="AK340" s="120" t="n">
        <x:v>257000</x:v>
      </x:c>
      <x:c r="AL340" s="120" t="n">
        <x:v>257000</x:v>
      </x:c>
      <x:c r="AM340" s="112" t="str">
        <x:v>GIỮ NGUYÊN - ĐÃ KHỚP</x:v>
      </x:c>
      <x:c r="AN340" s="126" t="n">
        <x:v>739</x:v>
      </x:c>
      <x:c r="AO340" s="126" t="n">
        <x:v>740</x:v>
      </x:c>
      <x:c r="AP340" s="113" t="str">
        <x:v>20 BỊCH / THÙNG</x:v>
      </x:c>
    </x:row>
    <x:row r="341">
      <x:c r="A341" s="71" t="str">
        <x:v>PUDING MOLE MÔN</x:v>
      </x:c>
      <x:c r="B341" s="30" t="str">
        <x:v>PUDING MOLE MÔN - THÙNG</x:v>
      </x:c>
      <x:c r="C341" s="37" t="str">
        <x:v>PLMMON</x:v>
      </x:c>
      <x:c r="D341" s="37" t="str">
        <x:v>PLMMONT</x:v>
      </x:c>
      <x:c r="E341" s="37" t="str">
        <x:v>PLMMONT</x:v>
      </x:c>
      <x:c r="F341" s="37" t="n">
        <x:v>20</x:v>
      </x:c>
      <x:c r="G341" s="37" t="n">
        <x:v>21000</x:v>
      </x:c>
      <x:c r="H341" s="37" t="str">
        <x:v>g</x:v>
      </x:c>
      <x:c r="I341" s="37" t="str">
        <x:v>THÙNG</x:v>
      </x:c>
      <x:c r="J341" s="59" t="n">
        <x:v>0</x:v>
      </x:c>
      <x:c r="K341" s="59" t="n">
        <x:v>0</x:v>
      </x:c>
      <x:c r="L341" s="59" t="n">
        <x:v>0</x:v>
      </x:c>
      <x:c r="M341" s="37" t="str">
        <x:v>Flan / pudding</x:v>
      </x:c>
      <x:c r="N341" s="37" t="str">
        <x:v>ĐÃ GHÉP - AUTO</x:v>
      </x:c>
      <x:c r="O341" s="61" t="n">
        <x:v>0.97</x:v>
      </x:c>
      <x:c r="P341" s="37" t="n">
        <x:v>128</x:v>
      </x:c>
      <x:c r="Q341" s="30" t="str">
        <x:v>Flan Mole MÔN</x:v>
      </x:c>
      <x:c r="R341" s="30" t="str">
        <x:v>Thùng 20 gói</x:v>
      </x:c>
      <x:c r="S341" s="30" t="str">
        <x:v>gói 1kg</x:v>
      </x:c>
      <x:c r="T341" s="37" t="str">
        <x:v>ĐƠN VỊ</x:v>
      </x:c>
      <x:c r="U341" s="59" t="n">
        <x:v>215000</x:v>
      </x:c>
      <x:c r="V341" s="59"/>
      <x:c r="W341" s="117" t="n">
        <x:v>215000</x:v>
      </x:c>
      <x:c r="X341" s="59" t="str">
        <x:f>IFERROR(IF(OR($N341="ĐÃ GHÉP - AUTO",$N341="ĐÃ GHÉP - QUY TẮC"),IF($V341="","",IF($T341="THÙNG",$V341/$F341,$V341)),""),"")</x:f>
      </x:c>
      <x:c r="Y341" s="117" t="n">
        <x:f>IF(OR(W341="",F341=""),"",W341*F341)</x:f>
        <x:v>4300000</x:v>
      </x:c>
      <x:c r="Z341" s="59" t="str">
        <x:f>IFERROR(IF(OR($N341="ĐÃ GHÉP - AUTO",$N341="ĐÃ GHÉP - QUY TẮC"),IF($V341="","",IF($T341="THÙNG",$V341,$V341*$F341)),""),"")</x:f>
      </x:c>
      <x:c r="AA341" s="28" t="str">
        <x:f>IFERROR(IF(OR($K341="",$K341=0,$Y341=""),"",($Y341-$K341)/$K341),"")</x:f>
      </x:c>
      <x:c r="AB341" s="37" t="str">
        <x:f>IFERROR(IF($N341="CẦN DUYỆT","DUYỆT MAP",IF($N341="CHƯA CÓ GIÁ LẺ","THIẾU GIÁ",IF(OR($K341="",$K341=0,$Y341=""),"OK",IF(ABS(($Y341-$K341)/$K341)&gt;0.15,"LỆCH GIÁ CŨ","OK")))),"OK")</x:f>
        <x:v>OK</x:v>
      </x:c>
      <x:c r="AC341" s="30" t="str">
        <x:v>score=0.970; gap=0.439</x:v>
      </x:c>
      <x:c r="AD341" s="37" t="str">
        <x:v>PLMMON</x:v>
      </x:c>
      <x:c r="AE341" s="38" t="str">
        <x:v>PLMMONT</x:v>
      </x:c>
      <x:c r="AF341" s="123" t="n">
        <x:v>1</x:v>
      </x:c>
      <x:c r="AG341" s="112" t="str">
        <x:v>kg</x:v>
      </x:c>
      <x:c r="AH341" s="112" t="str">
        <x:v>BỊCH</x:v>
      </x:c>
      <x:c r="AI341" s="112" t="str">
        <x:v>1 kg / BỊCH</x:v>
      </x:c>
      <x:c r="AJ341" s="120" t="n">
        <x:v>215000</x:v>
      </x:c>
      <x:c r="AK341" s="120" t="n">
        <x:v>215000</x:v>
      </x:c>
      <x:c r="AL341" s="120" t="n">
        <x:v>215000</x:v>
      </x:c>
      <x:c r="AM341" s="112" t="str">
        <x:v>GIỮ NGUYÊN - ĐÃ KHỚP</x:v>
      </x:c>
      <x:c r="AN341" s="126" t="n">
        <x:v>741</x:v>
      </x:c>
      <x:c r="AO341" s="126" t="n">
        <x:v>742</x:v>
      </x:c>
      <x:c r="AP341" s="113" t="str">
        <x:v>20 BỊCH / THÙNG</x:v>
      </x:c>
    </x:row>
    <x:row r="342">
      <x:c r="A342" s="71" t="str">
        <x:v>PUDING MOLE DƯA LƯỚI</x:v>
      </x:c>
      <x:c r="B342" s="30" t="str">
        <x:v>PUDING MOLE DƯA LƯỚI - THÙNG</x:v>
      </x:c>
      <x:c r="C342" s="37" t="str">
        <x:v>PLMDLU</x:v>
      </x:c>
      <x:c r="D342" s="37" t="str">
        <x:v>PLMDLUT</x:v>
      </x:c>
      <x:c r="E342" s="37" t="str">
        <x:v>PLMDLUT</x:v>
      </x:c>
      <x:c r="F342" s="37" t="n">
        <x:v>20</x:v>
      </x:c>
      <x:c r="G342" s="37" t="n">
        <x:v>21000</x:v>
      </x:c>
      <x:c r="H342" s="37" t="str">
        <x:v>g</x:v>
      </x:c>
      <x:c r="I342" s="37" t="str">
        <x:v>THÙNG</x:v>
      </x:c>
      <x:c r="J342" s="59" t="n">
        <x:v>0</x:v>
      </x:c>
      <x:c r="K342" s="59" t="n">
        <x:v>0</x:v>
      </x:c>
      <x:c r="L342" s="59" t="n">
        <x:v>0</x:v>
      </x:c>
      <x:c r="M342" s="37" t="str">
        <x:v>Flan / pudding</x:v>
      </x:c>
      <x:c r="N342" s="37" t="str">
        <x:v>ĐÃ GHÉP - AUTO</x:v>
      </x:c>
      <x:c r="O342" s="61" t="n">
        <x:v>0.898</x:v>
      </x:c>
      <x:c r="P342" s="37" t="n">
        <x:v>130</x:v>
      </x:c>
      <x:c r="Q342" s="30" t="str">
        <x:v>PLAN MOLE DƯA</x:v>
      </x:c>
      <x:c r="R342" s="30" t="str">
        <x:v>Thùng 20 gói</x:v>
      </x:c>
      <x:c r="S342" s="30" t="str">
        <x:v>gói 1kg</x:v>
      </x:c>
      <x:c r="T342" s="37" t="str">
        <x:v>ĐƠN VỊ</x:v>
      </x:c>
      <x:c r="U342" s="59" t="n">
        <x:v>203000</x:v>
      </x:c>
      <x:c r="V342" s="59"/>
      <x:c r="W342" s="117" t="n">
        <x:v>203000</x:v>
      </x:c>
      <x:c r="X342" s="59" t="str">
        <x:f>IFERROR(IF(OR($N342="ĐÃ GHÉP - AUTO",$N342="ĐÃ GHÉP - QUY TẮC"),IF($V342="","",IF($T342="THÙNG",$V342/$F342,$V342)),""),"")</x:f>
      </x:c>
      <x:c r="Y342" s="117" t="n">
        <x:f>IF(OR(W342="",F342=""),"",W342*F342)</x:f>
        <x:v>4060000</x:v>
      </x:c>
      <x:c r="Z342" s="59" t="str">
        <x:f>IFERROR(IF(OR($N342="ĐÃ GHÉP - AUTO",$N342="ĐÃ GHÉP - QUY TẮC"),IF($V342="","",IF($T342="THÙNG",$V342,$V342*$F342)),""),"")</x:f>
      </x:c>
      <x:c r="AA342" s="28" t="str">
        <x:f>IFERROR(IF(OR($K342="",$K342=0,$Y342=""),"",($Y342-$K342)/$K342),"")</x:f>
      </x:c>
      <x:c r="AB342" s="37" t="str">
        <x:f>IFERROR(IF($N342="CẦN DUYỆT","DUYỆT MAP",IF($N342="CHƯA CÓ GIÁ LẺ","THIẾU GIÁ",IF(OR($K342="",$K342=0,$Y342=""),"OK",IF(ABS(($Y342-$K342)/$K342)&gt;0.15,"LỆCH GIÁ CŨ","OK")))),"OK")</x:f>
        <x:v>OK</x:v>
      </x:c>
      <x:c r="AC342" s="30" t="str">
        <x:v>score=0.898; gap=0.339</x:v>
      </x:c>
      <x:c r="AD342" s="37" t="str">
        <x:v>PLMDLU</x:v>
      </x:c>
      <x:c r="AE342" s="38" t="str">
        <x:v>PLMDLUT</x:v>
      </x:c>
      <x:c r="AF342" s="123" t="n">
        <x:v>1</x:v>
      </x:c>
      <x:c r="AG342" s="112" t="str">
        <x:v>kg</x:v>
      </x:c>
      <x:c r="AH342" s="112" t="str">
        <x:v>BỊCH</x:v>
      </x:c>
      <x:c r="AI342" s="112" t="str">
        <x:v>1 kg / BỊCH</x:v>
      </x:c>
      <x:c r="AJ342" s="120" t="n">
        <x:v>203000</x:v>
      </x:c>
      <x:c r="AK342" s="120" t="n">
        <x:v>203000</x:v>
      </x:c>
      <x:c r="AL342" s="120" t="n">
        <x:v>203000</x:v>
      </x:c>
      <x:c r="AM342" s="112" t="str">
        <x:v>GIỮ NGUYÊN - ĐÃ KHỚP</x:v>
      </x:c>
      <x:c r="AN342" s="126" t="n">
        <x:v>743</x:v>
      </x:c>
      <x:c r="AO342" s="126" t="n">
        <x:v>744</x:v>
      </x:c>
      <x:c r="AP342" s="113" t="str">
        <x:v>20 BỊCH / THÙNG</x:v>
      </x:c>
    </x:row>
    <x:row r="343">
      <x:c r="A343" s="71" t="str">
        <x:v>PUDING MOLE DÂU</x:v>
      </x:c>
      <x:c r="B343" s="30" t="str">
        <x:v>PUDING MOLE DÂU - THÙNG</x:v>
      </x:c>
      <x:c r="C343" s="37" t="str">
        <x:v>PLMDAU</x:v>
      </x:c>
      <x:c r="D343" s="37" t="str">
        <x:v>PLMDAUT</x:v>
      </x:c>
      <x:c r="E343" s="37" t="str">
        <x:v>PLMDAUT</x:v>
      </x:c>
      <x:c r="F343" s="37" t="n">
        <x:v>20</x:v>
      </x:c>
      <x:c r="G343" s="37" t="n">
        <x:v>21000</x:v>
      </x:c>
      <x:c r="H343" s="37" t="str">
        <x:v>g</x:v>
      </x:c>
      <x:c r="I343" s="37" t="str">
        <x:v>THÙNG</x:v>
      </x:c>
      <x:c r="J343" s="59" t="n">
        <x:v>0</x:v>
      </x:c>
      <x:c r="K343" s="59" t="n">
        <x:v>0</x:v>
      </x:c>
      <x:c r="L343" s="59" t="n">
        <x:v>0</x:v>
      </x:c>
      <x:c r="M343" s="37" t="str">
        <x:v>Flan / pudding</x:v>
      </x:c>
      <x:c r="N343" s="37" t="str">
        <x:v>ĐÃ GHÉP - AUTO</x:v>
      </x:c>
      <x:c r="O343" s="61" t="n">
        <x:v>0.97</x:v>
      </x:c>
      <x:c r="P343" s="37" t="n">
        <x:v>129</x:v>
      </x:c>
      <x:c r="Q343" s="30" t="str">
        <x:v>Flan Mole DÂU</x:v>
      </x:c>
      <x:c r="R343" s="30" t="str">
        <x:v>Thùng 20 gói</x:v>
      </x:c>
      <x:c r="S343" s="30" t="str">
        <x:v>gói 1kg</x:v>
      </x:c>
      <x:c r="T343" s="37" t="str">
        <x:v>ĐƠN VỊ</x:v>
      </x:c>
      <x:c r="U343" s="59" t="n">
        <x:v>203000</x:v>
      </x:c>
      <x:c r="V343" s="59"/>
      <x:c r="W343" s="117" t="n">
        <x:v>203000</x:v>
      </x:c>
      <x:c r="X343" s="59" t="str">
        <x:f>IFERROR(IF(OR($N343="ĐÃ GHÉP - AUTO",$N343="ĐÃ GHÉP - QUY TẮC"),IF($V343="","",IF($T343="THÙNG",$V343/$F343,$V343)),""),"")</x:f>
      </x:c>
      <x:c r="Y343" s="117" t="n">
        <x:f>IF(OR(W343="",F343=""),"",W343*F343)</x:f>
        <x:v>4060000</x:v>
      </x:c>
      <x:c r="Z343" s="59" t="str">
        <x:f>IFERROR(IF(OR($N343="ĐÃ GHÉP - AUTO",$N343="ĐÃ GHÉP - QUY TẮC"),IF($V343="","",IF($T343="THÙNG",$V343,$V343*$F343)),""),"")</x:f>
      </x:c>
      <x:c r="AA343" s="28" t="str">
        <x:f>IFERROR(IF(OR($K343="",$K343=0,$Y343=""),"",($Y343-$K343)/$K343),"")</x:f>
      </x:c>
      <x:c r="AB343" s="37" t="str">
        <x:f>IFERROR(IF($N343="CẦN DUYỆT","DUYỆT MAP",IF($N343="CHƯA CÓ GIÁ LẺ","THIẾU GIÁ",IF(OR($K343="",$K343=0,$Y343=""),"OK",IF(ABS(($Y343-$K343)/$K343)&gt;0.15,"LỆCH GIÁ CŨ","OK")))),"OK")</x:f>
        <x:v>OK</x:v>
      </x:c>
      <x:c r="AC343" s="30" t="str">
        <x:v>score=0.970; gap=0.380</x:v>
      </x:c>
      <x:c r="AD343" s="37" t="str">
        <x:v>PLMDAU</x:v>
      </x:c>
      <x:c r="AE343" s="38" t="str">
        <x:v>PLMDAUT</x:v>
      </x:c>
      <x:c r="AF343" s="123" t="n">
        <x:v>1</x:v>
      </x:c>
      <x:c r="AG343" s="112" t="str">
        <x:v>kg</x:v>
      </x:c>
      <x:c r="AH343" s="112" t="str">
        <x:v>BỊCH</x:v>
      </x:c>
      <x:c r="AI343" s="112" t="str">
        <x:v>1 kg / BỊCH</x:v>
      </x:c>
      <x:c r="AJ343" s="120" t="n">
        <x:v>203000</x:v>
      </x:c>
      <x:c r="AK343" s="120" t="n">
        <x:v>203000</x:v>
      </x:c>
      <x:c r="AL343" s="120" t="n">
        <x:v>203000</x:v>
      </x:c>
      <x:c r="AM343" s="112" t="str">
        <x:v>GIỮ NGUYÊN - ĐÃ KHỚP</x:v>
      </x:c>
      <x:c r="AN343" s="126" t="n">
        <x:v>745</x:v>
      </x:c>
      <x:c r="AO343" s="126" t="n">
        <x:v>746</x:v>
      </x:c>
      <x:c r="AP343" s="113" t="str">
        <x:v>20 BỊCH / THÙNG</x:v>
      </x:c>
    </x:row>
    <x:row r="344">
      <x:c r="A344" s="71" t="str">
        <x:v>PUDING MATCHA DOUXIAN</x:v>
      </x:c>
      <x:c r="B344" s="30" t="str">
        <x:v>PUDING MATCHA DOUXIAN - THÙNG</x:v>
      </x:c>
      <x:c r="C344" s="37" t="str">
        <x:v>PLDXMA</x:v>
      </x:c>
      <x:c r="D344" s="37" t="str">
        <x:v>PLDXMAT</x:v>
      </x:c>
      <x:c r="E344" s="37" t="str">
        <x:v>PLDXMAT</x:v>
      </x:c>
      <x:c r="F344" s="37" t="n">
        <x:v>12</x:v>
      </x:c>
      <x:c r="G344" s="37" t="n">
        <x:v>13000</x:v>
      </x:c>
      <x:c r="H344" s="37" t="str">
        <x:v>g</x:v>
      </x:c>
      <x:c r="I344" s="37" t="str">
        <x:v>THÙNG</x:v>
      </x:c>
      <x:c r="J344" s="59" t="n">
        <x:v>0</x:v>
      </x:c>
      <x:c r="K344" s="59" t="n">
        <x:v>0</x:v>
      </x:c>
      <x:c r="L344" s="59" t="n">
        <x:v>0</x:v>
      </x:c>
      <x:c r="M344" s="37" t="str">
        <x:v>Flan / pudding</x:v>
      </x:c>
      <x:c r="N344" s="37" t="str">
        <x:v>ĐÃ GHÉP - AUTO</x:v>
      </x:c>
      <x:c r="O344" s="61" t="n">
        <x:v>0.855</x:v>
      </x:c>
      <x:c r="P344" s="37" t="n">
        <x:v>123</x:v>
      </x:c>
      <x:c r="Q344" s="30" t="str">
        <x:v>Flan Douxian</x:v>
      </x:c>
      <x:c r="R344" s="30" t="str">
        <x:v>Thùng 12 gói</x:v>
      </x:c>
      <x:c r="S344" s="30" t="str">
        <x:v>gói 1kg</x:v>
      </x:c>
      <x:c r="T344" s="37" t="str">
        <x:v>ĐƠN VỊ</x:v>
      </x:c>
      <x:c r="U344" s="59" t="n">
        <x:v>170000</x:v>
      </x:c>
      <x:c r="V344" s="59" t="n">
        <x:v>168000</x:v>
      </x:c>
      <x:c r="W344" s="117" t="n">
        <x:v>170000</x:v>
      </x:c>
      <x:c r="X344" s="59" t="n">
        <x:f>IFERROR(IF(OR($N344="ĐÃ GHÉP - AUTO",$N344="ĐÃ GHÉP - QUY TẮC"),IF($V344="","",IF($T344="THÙNG",$V344/$F344,$V344)),""),"")</x:f>
        <x:v>168000</x:v>
      </x:c>
      <x:c r="Y344" s="117" t="n">
        <x:f>IF(OR(W344="",F344=""),"",W344*F344)</x:f>
        <x:v>2040000</x:v>
      </x:c>
      <x:c r="Z344" s="59" t="n">
        <x:f>IFERROR(IF(OR($N344="ĐÃ GHÉP - AUTO",$N344="ĐÃ GHÉP - QUY TẮC"),IF($V344="","",IF($T344="THÙNG",$V344,$V344*$F344)),""),"")</x:f>
        <x:v>2016000</x:v>
      </x:c>
      <x:c r="AA344" s="28" t="str">
        <x:f>IFERROR(IF(OR($K344="",$K344=0,$Y344=""),"",($Y344-$K344)/$K344),"")</x:f>
      </x:c>
      <x:c r="AB344" s="37" t="str">
        <x:f>IFERROR(IF($N344="CẦN DUYỆT","DUYỆT MAP",IF($N344="CHƯA CÓ GIÁ LẺ","THIẾU GIÁ",IF(OR($K344="",$K344=0,$Y344=""),"OK",IF(ABS(($Y344-$K344)/$K344)&gt;0.15,"LỆCH GIÁ CŨ","OK")))),"OK")</x:f>
        <x:v>OK</x:v>
      </x:c>
      <x:c r="AC344" s="30" t="str">
        <x:v>score=0.855; gap=0.531</x:v>
      </x:c>
      <x:c r="AD344" s="37" t="str">
        <x:v>PLDXMA</x:v>
      </x:c>
      <x:c r="AE344" s="38" t="str">
        <x:v>PLDXMAT</x:v>
      </x:c>
      <x:c r="AF344" s="123" t="n">
        <x:v>1020</x:v>
      </x:c>
      <x:c r="AG344" s="112" t="str">
        <x:v>g</x:v>
      </x:c>
      <x:c r="AH344" s="112" t="str">
        <x:v>BỊCH</x:v>
      </x:c>
      <x:c r="AI344" s="112" t="str">
        <x:v>1020 g / BỊCH</x:v>
      </x:c>
      <x:c r="AJ344" s="120" t="n">
        <x:v>170000</x:v>
      </x:c>
      <x:c r="AK344" s="120" t="n">
        <x:v>170000</x:v>
      </x:c>
      <x:c r="AL344" s="120" t="n">
        <x:v>170000</x:v>
      </x:c>
      <x:c r="AM344" s="112" t="str">
        <x:v>GIỮ NGUYÊN - ĐÃ KHỚP</x:v>
      </x:c>
      <x:c r="AN344" s="126" t="n">
        <x:v>747</x:v>
      </x:c>
      <x:c r="AO344" s="126" t="n">
        <x:v>748</x:v>
      </x:c>
      <x:c r="AP344" s="113" t="str">
        <x:v>12 BỊCH / THÙNG</x:v>
      </x:c>
    </x:row>
    <x:row r="345">
      <x:c r="A345" s="71" t="str">
        <x:v>PUDING ĐÀO DOUXIAN</x:v>
      </x:c>
      <x:c r="B345" s="30" t="str">
        <x:v>PUDING ĐÀO DOUXIAN - THÙNG</x:v>
      </x:c>
      <x:c r="C345" s="37" t="str">
        <x:v>PLDXDO</x:v>
      </x:c>
      <x:c r="D345" s="37" t="str">
        <x:v>PLDXDOT</x:v>
      </x:c>
      <x:c r="E345" s="37" t="str">
        <x:v>PLDXDOT</x:v>
      </x:c>
      <x:c r="F345" s="37" t="n">
        <x:v>12</x:v>
      </x:c>
      <x:c r="G345" s="37" t="n">
        <x:v>13000</x:v>
      </x:c>
      <x:c r="H345" s="37" t="str">
        <x:v>g</x:v>
      </x:c>
      <x:c r="I345" s="37" t="str">
        <x:v>THÙNG</x:v>
      </x:c>
      <x:c r="J345" s="59" t="n">
        <x:v>0</x:v>
      </x:c>
      <x:c r="K345" s="59" t="n">
        <x:v>0</x:v>
      </x:c>
      <x:c r="L345" s="59" t="n">
        <x:v>0</x:v>
      </x:c>
      <x:c r="M345" s="37" t="str">
        <x:v>Flan / pudding</x:v>
      </x:c>
      <x:c r="N345" s="37" t="str">
        <x:v>ĐÃ GHÉP - AUTO</x:v>
      </x:c>
      <x:c r="O345" s="61" t="n">
        <x:v>0.855</x:v>
      </x:c>
      <x:c r="P345" s="37" t="n">
        <x:v>123</x:v>
      </x:c>
      <x:c r="Q345" s="30" t="str">
        <x:v>Flan Douxian</x:v>
      </x:c>
      <x:c r="R345" s="30" t="str">
        <x:v>Thùng 12 gói</x:v>
      </x:c>
      <x:c r="S345" s="30" t="str">
        <x:v>gói 1kg</x:v>
      </x:c>
      <x:c r="T345" s="37" t="str">
        <x:v>ĐƠN VỊ</x:v>
      </x:c>
      <x:c r="U345" s="59" t="n">
        <x:v>170000</x:v>
      </x:c>
      <x:c r="V345" s="59" t="n">
        <x:v>168000</x:v>
      </x:c>
      <x:c r="W345" s="117" t="n">
        <x:v>170000</x:v>
      </x:c>
      <x:c r="X345" s="59" t="n">
        <x:f>IFERROR(IF(OR($N345="ĐÃ GHÉP - AUTO",$N345="ĐÃ GHÉP - QUY TẮC"),IF($V345="","",IF($T345="THÙNG",$V345/$F345,$V345)),""),"")</x:f>
        <x:v>168000</x:v>
      </x:c>
      <x:c r="Y345" s="117" t="n">
        <x:f>IF(OR(W345="",F345=""),"",W345*F345)</x:f>
        <x:v>2040000</x:v>
      </x:c>
      <x:c r="Z345" s="59" t="n">
        <x:f>IFERROR(IF(OR($N345="ĐÃ GHÉP - AUTO",$N345="ĐÃ GHÉP - QUY TẮC"),IF($V345="","",IF($T345="THÙNG",$V345,$V345*$F345)),""),"")</x:f>
        <x:v>2016000</x:v>
      </x:c>
      <x:c r="AA345" s="28" t="str">
        <x:f>IFERROR(IF(OR($K345="",$K345=0,$Y345=""),"",($Y345-$K345)/$K345),"")</x:f>
      </x:c>
      <x:c r="AB345" s="37" t="str">
        <x:f>IFERROR(IF($N345="CẦN DUYỆT","DUYỆT MAP",IF($N345="CHƯA CÓ GIÁ LẺ","THIẾU GIÁ",IF(OR($K345="",$K345=0,$Y345=""),"OK",IF(ABS(($Y345-$K345)/$K345)&gt;0.15,"LỆCH GIÁ CŨ","OK")))),"OK")</x:f>
        <x:v>OK</x:v>
      </x:c>
      <x:c r="AC345" s="30" t="str">
        <x:v>score=0.855; gap=0.673</x:v>
      </x:c>
      <x:c r="AD345" s="37" t="str">
        <x:v>PLDXDO</x:v>
      </x:c>
      <x:c r="AE345" s="38" t="str">
        <x:v>PLDXDOT</x:v>
      </x:c>
      <x:c r="AF345" s="123" t="n">
        <x:v>1020</x:v>
      </x:c>
      <x:c r="AG345" s="112" t="str">
        <x:v>g</x:v>
      </x:c>
      <x:c r="AH345" s="112" t="str">
        <x:v>BỊCH</x:v>
      </x:c>
      <x:c r="AI345" s="112" t="str">
        <x:v>1020 g / BỊCH</x:v>
      </x:c>
      <x:c r="AJ345" s="120" t="n">
        <x:v>170000</x:v>
      </x:c>
      <x:c r="AK345" s="120" t="n">
        <x:v>170000</x:v>
      </x:c>
      <x:c r="AL345" s="120" t="n">
        <x:v>170000</x:v>
      </x:c>
      <x:c r="AM345" s="112" t="str">
        <x:v>GIỮ NGUYÊN - ĐÃ KHỚP</x:v>
      </x:c>
      <x:c r="AN345" s="126" t="n">
        <x:v>749</x:v>
      </x:c>
      <x:c r="AO345" s="126" t="n">
        <x:v>750</x:v>
      </x:c>
      <x:c r="AP345" s="113" t="str">
        <x:v>12 BỊCH / THÙNG</x:v>
      </x:c>
    </x:row>
    <x:row r="346">
      <x:c r="A346" s="71" t="str">
        <x:v>PUDING DƯA LƯỚI DOUXIAN</x:v>
      </x:c>
      <x:c r="B346" s="30" t="str">
        <x:v>PUDING DƯA LƯỚI DOUXIAN - THÙNG</x:v>
      </x:c>
      <x:c r="C346" s="37" t="str">
        <x:v>PLDXDL</x:v>
      </x:c>
      <x:c r="D346" s="37" t="str">
        <x:v>PLDXDLT</x:v>
      </x:c>
      <x:c r="E346" s="37" t="str">
        <x:v>PLDXDLT</x:v>
      </x:c>
      <x:c r="F346" s="37" t="n">
        <x:v>12</x:v>
      </x:c>
      <x:c r="G346" s="37" t="n">
        <x:v>13000</x:v>
      </x:c>
      <x:c r="H346" s="37" t="str">
        <x:v>g</x:v>
      </x:c>
      <x:c r="I346" s="37" t="str">
        <x:v>THÙNG</x:v>
      </x:c>
      <x:c r="J346" s="59" t="n">
        <x:v>0</x:v>
      </x:c>
      <x:c r="K346" s="59" t="n">
        <x:v>0</x:v>
      </x:c>
      <x:c r="L346" s="59" t="n">
        <x:v>0</x:v>
      </x:c>
      <x:c r="M346" s="37" t="str">
        <x:v>Flan / pudding</x:v>
      </x:c>
      <x:c r="N346" s="37" t="str">
        <x:v>ĐÃ GHÉP - AUTO</x:v>
      </x:c>
      <x:c r="O346" s="61" t="n">
        <x:v>0.839</x:v>
      </x:c>
      <x:c r="P346" s="37" t="n">
        <x:v>123</x:v>
      </x:c>
      <x:c r="Q346" s="30" t="str">
        <x:v>Flan Douxian</x:v>
      </x:c>
      <x:c r="R346" s="30" t="str">
        <x:v>Thùng 12 gói</x:v>
      </x:c>
      <x:c r="S346" s="30" t="str">
        <x:v>gói 1kg</x:v>
      </x:c>
      <x:c r="T346" s="37" t="str">
        <x:v>ĐƠN VỊ</x:v>
      </x:c>
      <x:c r="U346" s="59" t="n">
        <x:v>170000</x:v>
      </x:c>
      <x:c r="V346" s="59" t="n">
        <x:v>168000</x:v>
      </x:c>
      <x:c r="W346" s="117" t="n">
        <x:v>170000</x:v>
      </x:c>
      <x:c r="X346" s="59" t="n">
        <x:f>IFERROR(IF(OR($N346="ĐÃ GHÉP - AUTO",$N346="ĐÃ GHÉP - QUY TẮC"),IF($V346="","",IF($T346="THÙNG",$V346/$F346,$V346)),""),"")</x:f>
        <x:v>168000</x:v>
      </x:c>
      <x:c r="Y346" s="117" t="n">
        <x:f>IF(OR(W346="",F346=""),"",W346*F346)</x:f>
        <x:v>2040000</x:v>
      </x:c>
      <x:c r="Z346" s="59" t="n">
        <x:f>IFERROR(IF(OR($N346="ĐÃ GHÉP - AUTO",$N346="ĐÃ GHÉP - QUY TẮC"),IF($V346="","",IF($T346="THÙNG",$V346,$V346*$F346)),""),"")</x:f>
        <x:v>2016000</x:v>
      </x:c>
      <x:c r="AA346" s="28" t="str">
        <x:f>IFERROR(IF(OR($K346="",$K346=0,$Y346=""),"",($Y346-$K346)/$K346),"")</x:f>
      </x:c>
      <x:c r="AB346" s="37" t="str">
        <x:f>IFERROR(IF($N346="CẦN DUYỆT","DUYỆT MAP",IF($N346="CHƯA CÓ GIÁ LẺ","THIẾU GIÁ",IF(OR($K346="",$K346=0,$Y346=""),"OK",IF(ABS(($Y346-$K346)/$K346)&gt;0.15,"LỆCH GIÁ CŨ","OK")))),"OK")</x:f>
        <x:v>OK</x:v>
      </x:c>
      <x:c r="AC346" s="30" t="str">
        <x:v>score=0.839; gap=0.308</x:v>
      </x:c>
      <x:c r="AD346" s="37" t="str">
        <x:v>PLDXDL</x:v>
      </x:c>
      <x:c r="AE346" s="38" t="str">
        <x:v>PLDXDLT</x:v>
      </x:c>
      <x:c r="AF346" s="123" t="n">
        <x:v>1020</x:v>
      </x:c>
      <x:c r="AG346" s="112" t="str">
        <x:v>g</x:v>
      </x:c>
      <x:c r="AH346" s="112" t="str">
        <x:v>BỊCH</x:v>
      </x:c>
      <x:c r="AI346" s="112" t="str">
        <x:v>1020 g / BỊCH</x:v>
      </x:c>
      <x:c r="AJ346" s="120" t="n">
        <x:v>170000</x:v>
      </x:c>
      <x:c r="AK346" s="120" t="n">
        <x:v>170000</x:v>
      </x:c>
      <x:c r="AL346" s="120" t="n">
        <x:v>170000</x:v>
      </x:c>
      <x:c r="AM346" s="112" t="str">
        <x:v>GIỮ NGUYÊN - ĐÃ KHỚP</x:v>
      </x:c>
      <x:c r="AN346" s="126" t="n">
        <x:v>751</x:v>
      </x:c>
      <x:c r="AO346" s="126" t="n">
        <x:v>752</x:v>
      </x:c>
      <x:c r="AP346" s="113" t="str">
        <x:v>12 BỊCH / THÙNG</x:v>
      </x:c>
    </x:row>
    <x:row r="347">
      <x:c r="A347" s="71" t="str">
        <x:v>PUDING DÂU DOUXIAN</x:v>
      </x:c>
      <x:c r="B347" s="30" t="str">
        <x:v>PUDING DÂU DOUXIAN - THÙNG</x:v>
      </x:c>
      <x:c r="C347" s="37" t="str">
        <x:v>PLDXDA</x:v>
      </x:c>
      <x:c r="D347" s="37" t="str">
        <x:v>PLDXDAT</x:v>
      </x:c>
      <x:c r="E347" s="37" t="str">
        <x:v>PLDXDAT</x:v>
      </x:c>
      <x:c r="F347" s="37" t="n">
        <x:v>12</x:v>
      </x:c>
      <x:c r="G347" s="37" t="n">
        <x:v>13000</x:v>
      </x:c>
      <x:c r="H347" s="37" t="str">
        <x:v>g</x:v>
      </x:c>
      <x:c r="I347" s="37" t="str">
        <x:v>THÙNG</x:v>
      </x:c>
      <x:c r="J347" s="59" t="n">
        <x:v>0</x:v>
      </x:c>
      <x:c r="K347" s="59" t="n">
        <x:v>0</x:v>
      </x:c>
      <x:c r="L347" s="59" t="n">
        <x:v>0</x:v>
      </x:c>
      <x:c r="M347" s="37" t="str">
        <x:v>Flan / pudding</x:v>
      </x:c>
      <x:c r="N347" s="37" t="str">
        <x:v>ĐÃ GHÉP - AUTO</x:v>
      </x:c>
      <x:c r="O347" s="61" t="n">
        <x:v>0.866</x:v>
      </x:c>
      <x:c r="P347" s="37" t="n">
        <x:v>123</x:v>
      </x:c>
      <x:c r="Q347" s="30" t="str">
        <x:v>Flan Douxian</x:v>
      </x:c>
      <x:c r="R347" s="30" t="str">
        <x:v>Thùng 12 gói</x:v>
      </x:c>
      <x:c r="S347" s="30" t="str">
        <x:v>gói 1kg</x:v>
      </x:c>
      <x:c r="T347" s="37" t="str">
        <x:v>ĐƠN VỊ</x:v>
      </x:c>
      <x:c r="U347" s="59" t="n">
        <x:v>170000</x:v>
      </x:c>
      <x:c r="V347" s="59" t="n">
        <x:v>168000</x:v>
      </x:c>
      <x:c r="W347" s="117" t="n">
        <x:v>170000</x:v>
      </x:c>
      <x:c r="X347" s="59" t="n">
        <x:f>IFERROR(IF(OR($N347="ĐÃ GHÉP - AUTO",$N347="ĐÃ GHÉP - QUY TẮC"),IF($V347="","",IF($T347="THÙNG",$V347/$F347,$V347)),""),"")</x:f>
        <x:v>168000</x:v>
      </x:c>
      <x:c r="Y347" s="117" t="n">
        <x:f>IF(OR(W347="",F347=""),"",W347*F347)</x:f>
        <x:v>2040000</x:v>
      </x:c>
      <x:c r="Z347" s="59" t="n">
        <x:f>IFERROR(IF(OR($N347="ĐÃ GHÉP - AUTO",$N347="ĐÃ GHÉP - QUY TẮC"),IF($V347="","",IF($T347="THÙNG",$V347,$V347*$F347)),""),"")</x:f>
        <x:v>2016000</x:v>
      </x:c>
      <x:c r="AA347" s="28" t="str">
        <x:f>IFERROR(IF(OR($K347="",$K347=0,$Y347=""),"",($Y347-$K347)/$K347),"")</x:f>
      </x:c>
      <x:c r="AB347" s="37" t="str">
        <x:f>IFERROR(IF($N347="CẦN DUYỆT","DUYỆT MAP",IF($N347="CHƯA CÓ GIÁ LẺ","THIẾU GIÁ",IF(OR($K347="",$K347=0,$Y347=""),"OK",IF(ABS(($Y347-$K347)/$K347)&gt;0.15,"LỆCH GIÁ CŨ","OK")))),"OK")</x:f>
        <x:v>OK</x:v>
      </x:c>
      <x:c r="AC347" s="30" t="str">
        <x:v>score=0.866; gap=0.366</x:v>
      </x:c>
      <x:c r="AD347" s="37" t="str">
        <x:v>PLDXDA</x:v>
      </x:c>
      <x:c r="AE347" s="38" t="str">
        <x:v>PLDXDAT</x:v>
      </x:c>
      <x:c r="AF347" s="123" t="n">
        <x:v>1020</x:v>
      </x:c>
      <x:c r="AG347" s="112" t="str">
        <x:v>g</x:v>
      </x:c>
      <x:c r="AH347" s="112" t="str">
        <x:v>BỊCH</x:v>
      </x:c>
      <x:c r="AI347" s="112" t="str">
        <x:v>1020 g / BỊCH</x:v>
      </x:c>
      <x:c r="AJ347" s="120" t="n">
        <x:v>170000</x:v>
      </x:c>
      <x:c r="AK347" s="120" t="n">
        <x:v>170000</x:v>
      </x:c>
      <x:c r="AL347" s="120" t="n">
        <x:v>170000</x:v>
      </x:c>
      <x:c r="AM347" s="112" t="str">
        <x:v>GIỮ NGUYÊN - ĐÃ KHỚP</x:v>
      </x:c>
      <x:c r="AN347" s="126" t="n">
        <x:v>753</x:v>
      </x:c>
      <x:c r="AO347" s="126" t="n">
        <x:v>754</x:v>
      </x:c>
      <x:c r="AP347" s="113" t="str">
        <x:v>12 BỊCH / THÙNG</x:v>
      </x:c>
    </x:row>
    <x:row r="348">
      <x:c r="A348" s="71" t="str">
        <x:v>OSTERBER ĐÀO</x:v>
      </x:c>
      <x:c r="B348" s="30" t="str">
        <x:v>OSTERBER ĐÀO - THÙNG</x:v>
      </x:c>
      <x:c r="C348" s="37" t="str">
        <x:v>OCTDAO</x:v>
      </x:c>
      <x:c r="D348" s="37" t="str">
        <x:v>OCTDAOT</x:v>
      </x:c>
      <x:c r="E348" s="37" t="str">
        <x:v>OCTDAOT</x:v>
      </x:c>
      <x:c r="F348" s="37" t="n">
        <x:v>12</x:v>
      </x:c>
      <x:c r="G348" s="37" t="n">
        <x:v>15</x:v>
      </x:c>
      <x:c r="H348" s="37" t="str">
        <x:v>kg</x:v>
      </x:c>
      <x:c r="I348" s="37" t="str">
        <x:v>THÙNG</x:v>
      </x:c>
      <x:c r="J348" s="59" t="n">
        <x:v>0</x:v>
      </x:c>
      <x:c r="K348" s="59" t="n">
        <x:v>0</x:v>
      </x:c>
      <x:c r="L348" s="59" t="n">
        <x:v>0</x:v>
      </x:c>
      <x:c r="M348" s="37" t="str">
        <x:v>Khác</x:v>
      </x:c>
      <x:c r="N348" s="37" t="str">
        <x:v>CHƯA CÓ GIÁ LẺ</x:v>
      </x:c>
      <x:c r="O348" s="61" t="n">
        <x:v>0.545</x:v>
      </x:c>
      <x:c r="P348" s="37"/>
      <x:c r="Q348" s="30"/>
      <x:c r="R348" s="30"/>
      <x:c r="S348" s="30"/>
      <x:c r="T348" s="37"/>
      <x:c r="U348" s="59"/>
      <x:c r="V348" s="59"/>
      <x:c r="W348" s="117" t="n">
        <x:v>100000</x:v>
      </x:c>
      <x:c r="X348" s="59" t="str">
        <x:f>IFERROR(IF(OR($N348="ĐÃ GHÉP - AUTO",$N348="ĐÃ GHÉP - QUY TẮC"),IF($V348="","",IF($T348="THÙNG",$V348/$F348,$V348)),""),"")</x:f>
      </x:c>
      <x:c r="Y348" s="117" t="n">
        <x:f>IF(OR(W348="",F348=""),"",W348*F348)</x:f>
        <x:v>1200000</x:v>
      </x:c>
      <x:c r="Z348" s="59" t="str">
        <x:f>IFERROR(IF(OR($N348="ĐÃ GHÉP - AUTO",$N348="ĐÃ GHÉP - QUY TẮC"),IF($V348="","",IF($T348="THÙNG",$V348,$V348*$F348)),""),"")</x:f>
      </x:c>
      <x:c r="AA348" s="28" t="str">
        <x:f>IFERROR(IF(OR($K348="",$K348=0,$Y348=""),"",($Y348-$K348)/$K348),"")</x:f>
      </x:c>
      <x:c r="AB348" s="37" t="str">
        <x:f>IFERROR(IF($N348="CẦN DUYỆT","DUYỆT MAP",IF($N348="CHƯA CÓ GIÁ LẺ","THIẾU GIÁ",IF(OR($K348="",$K348=0,$Y348=""),"OK",IF(ABS(($Y348-$K348)/$K348)&gt;0.15,"LỆCH GIÁ CŨ","OK")))),"OK")</x:f>
        <x:v>THIẾU GIÁ</x:v>
      </x:c>
      <x:c r="AC348" s="30" t="str">
        <x:v>ứng viên gần nhất=Sinh Tố Berrino Đào; score=0.545</x:v>
      </x:c>
      <x:c r="AD348" s="37" t="str">
        <x:v>OCTDAO</x:v>
      </x:c>
      <x:c r="AE348" s="38" t="str">
        <x:v>OCTDAOT</x:v>
      </x:c>
      <x:c r="AF348" s="123" t="n">
        <x:v>1</x:v>
      </x:c>
      <x:c r="AG348" s="112" t="str">
        <x:v>kg</x:v>
      </x:c>
      <x:c r="AH348" s="112" t="str">
        <x:v>CHAI</x:v>
      </x:c>
      <x:c r="AI348" s="112" t="str">
        <x:v>1 kg / CHAI</x:v>
      </x:c>
      <x:c r="AJ348" s="120" t="n">
        <x:v>100000</x:v>
      </x:c>
      <x:c r="AK348" s="120"/>
      <x:c r="AL348" s="120" t="n">
        <x:v>100000</x:v>
      </x:c>
      <x:c r="AM348" s="112" t="str">
        <x:v>BỔ SUNG GIÁ</x:v>
      </x:c>
      <x:c r="AN348" s="126" t="n">
        <x:v>757</x:v>
      </x:c>
      <x:c r="AO348" s="126" t="n">
        <x:v>758</x:v>
      </x:c>
      <x:c r="AP348" s="113" t="str">
        <x:v>12 CHAI / THÙNG</x:v>
      </x:c>
    </x:row>
    <x:row r="349">
      <x:c r="A349" s="71" t="str">
        <x:v>OSTERBER DÂU</x:v>
      </x:c>
      <x:c r="B349" s="30" t="str">
        <x:v>OSTERBER DÂU - THÙNG</x:v>
      </x:c>
      <x:c r="C349" s="37" t="str">
        <x:v>OCTDAU</x:v>
      </x:c>
      <x:c r="D349" s="37" t="str">
        <x:v>OCTDAUT</x:v>
      </x:c>
      <x:c r="E349" s="37" t="str">
        <x:v>OCTDAUT</x:v>
      </x:c>
      <x:c r="F349" s="37" t="n">
        <x:v>12</x:v>
      </x:c>
      <x:c r="G349" s="37" t="n">
        <x:v>16</x:v>
      </x:c>
      <x:c r="H349" s="37" t="str">
        <x:v>kg</x:v>
      </x:c>
      <x:c r="I349" s="37" t="str">
        <x:v>THÙNG</x:v>
      </x:c>
      <x:c r="J349" s="59" t="n">
        <x:v>0</x:v>
      </x:c>
      <x:c r="K349" s="59" t="n">
        <x:v>0</x:v>
      </x:c>
      <x:c r="L349" s="59" t="n">
        <x:v>0</x:v>
      </x:c>
      <x:c r="M349" s="37" t="str">
        <x:v>Khác</x:v>
      </x:c>
      <x:c r="N349" s="37" t="str">
        <x:v>CHƯA CÓ GIÁ LẺ</x:v>
      </x:c>
      <x:c r="O349" s="61" t="n">
        <x:v>0.522</x:v>
      </x:c>
      <x:c r="P349" s="37"/>
      <x:c r="Q349" s="30"/>
      <x:c r="R349" s="30"/>
      <x:c r="S349" s="30"/>
      <x:c r="T349" s="37"/>
      <x:c r="U349" s="59"/>
      <x:c r="V349" s="59"/>
      <x:c r="W349" s="117" t="n">
        <x:v>97000</x:v>
      </x:c>
      <x:c r="X349" s="59" t="str">
        <x:f>IFERROR(IF(OR($N349="ĐÃ GHÉP - AUTO",$N349="ĐÃ GHÉP - QUY TẮC"),IF($V349="","",IF($T349="THÙNG",$V349/$F349,$V349)),""),"")</x:f>
      </x:c>
      <x:c r="Y349" s="117" t="n">
        <x:f>IF(OR(W349="",F349=""),"",W349*F349)</x:f>
        <x:v>1164000</x:v>
      </x:c>
      <x:c r="Z349" s="59" t="str">
        <x:f>IFERROR(IF(OR($N349="ĐÃ GHÉP - AUTO",$N349="ĐÃ GHÉP - QUY TẮC"),IF($V349="","",IF($T349="THÙNG",$V349,$V349*$F349)),""),"")</x:f>
      </x:c>
      <x:c r="AA349" s="28" t="str">
        <x:f>IFERROR(IF(OR($K349="",$K349=0,$Y349=""),"",($Y349-$K349)/$K349),"")</x:f>
      </x:c>
      <x:c r="AB349" s="37" t="str">
        <x:f>IFERROR(IF($N349="CẦN DUYỆT","DUYỆT MAP",IF($N349="CHƯA CÓ GIÁ LẺ","THIẾU GIÁ",IF(OR($K349="",$K349=0,$Y349=""),"OK",IF(ABS(($Y349-$K349)/$K349)&gt;0.15,"LỆCH GIÁ CŨ","OK")))),"OK")</x:f>
        <x:v>THIẾU GIÁ</x:v>
      </x:c>
      <x:c r="AC349" s="30" t="str">
        <x:v>ứng viên gần nhất=Sinh Tố Berrino Dâu; score=0.522</x:v>
      </x:c>
      <x:c r="AD349" s="37" t="str">
        <x:v>OCTDAU</x:v>
      </x:c>
      <x:c r="AE349" s="38" t="str">
        <x:v>OCTDAUT</x:v>
      </x:c>
      <x:c r="AF349" s="123" t="n">
        <x:v>1</x:v>
      </x:c>
      <x:c r="AG349" s="112" t="str">
        <x:v>kg</x:v>
      </x:c>
      <x:c r="AH349" s="112" t="str">
        <x:v>CHAI</x:v>
      </x:c>
      <x:c r="AI349" s="112" t="str">
        <x:v>1 kg / CHAI</x:v>
      </x:c>
      <x:c r="AJ349" s="120" t="n">
        <x:v>97000</x:v>
      </x:c>
      <x:c r="AK349" s="120"/>
      <x:c r="AL349" s="120" t="n">
        <x:v>97000</x:v>
      </x:c>
      <x:c r="AM349" s="112" t="str">
        <x:v>BỔ SUNG GIÁ</x:v>
      </x:c>
      <x:c r="AN349" s="126" t="n">
        <x:v>759</x:v>
      </x:c>
      <x:c r="AO349" s="126" t="n">
        <x:v>760</x:v>
      </x:c>
      <x:c r="AP349" s="113" t="str">
        <x:v>12 CHAI / THÙNG</x:v>
      </x:c>
    </x:row>
    <x:row r="350">
      <x:c r="A350" s="71" t="str">
        <x:v>SỮA OATSIDE</x:v>
      </x:c>
      <x:c r="B350" s="30" t="str">
        <x:v>SỮA OATSIDE - THÙNG</x:v>
      </x:c>
      <x:c r="C350" s="37" t="str">
        <x:v>OATSID</x:v>
      </x:c>
      <x:c r="D350" s="37" t="str">
        <x:v>OATSIDT</x:v>
      </x:c>
      <x:c r="E350" s="37" t="str">
        <x:v>OATSIDT</x:v>
      </x:c>
      <x:c r="F350" s="37" t="n">
        <x:v>6</x:v>
      </x:c>
      <x:c r="G350" s="37" t="n">
        <x:v>7000</x:v>
      </x:c>
      <x:c r="H350" s="37" t="str">
        <x:v>g</x:v>
      </x:c>
      <x:c r="I350" s="37" t="str">
        <x:v>THÙNG</x:v>
      </x:c>
      <x:c r="J350" s="59" t="n">
        <x:v>0</x:v>
      </x:c>
      <x:c r="K350" s="59" t="n">
        <x:v>220000</x:v>
      </x:c>
      <x:c r="L350" s="59" t="n">
        <x:v>0</x:v>
      </x:c>
      <x:c r="M350" s="37" t="str">
        <x:v>Khác</x:v>
      </x:c>
      <x:c r="N350" s="37" t="str">
        <x:v>CHƯA CÓ GIÁ LẺ</x:v>
      </x:c>
      <x:c r="O350" s="61" t="n">
        <x:v>0.342</x:v>
      </x:c>
      <x:c r="P350" s="37"/>
      <x:c r="Q350" s="30"/>
      <x:c r="R350" s="30"/>
      <x:c r="S350" s="30"/>
      <x:c r="T350" s="37"/>
      <x:c r="U350" s="59"/>
      <x:c r="V350" s="59"/>
      <x:c r="W350" s="117" t="n">
        <x:v>39000</x:v>
      </x:c>
      <x:c r="X350" s="59" t="str">
        <x:f>IFERROR(IF(OR($N350="ĐÃ GHÉP - AUTO",$N350="ĐÃ GHÉP - QUY TẮC"),IF($V350="","",IF($T350="THÙNG",$V350/$F350,$V350)),""),"")</x:f>
      </x:c>
      <x:c r="Y350" s="117" t="n">
        <x:f>IF(OR(W350="",F350=""),"",W350*F350)</x:f>
        <x:v>234000</x:v>
      </x:c>
      <x:c r="Z350" s="59" t="str">
        <x:f>IFERROR(IF(OR($N350="ĐÃ GHÉP - AUTO",$N350="ĐÃ GHÉP - QUY TẮC"),IF($V350="","",IF($T350="THÙNG",$V350,$V350*$F350)),""),"")</x:f>
      </x:c>
      <x:c r="AA350" s="28" t="n">
        <x:f>IFERROR(IF(OR($K350="",$K350=0,$Y350=""),"",($Y350-$K350)/$K350),"")</x:f>
        <x:v>0.06363636363636363</x:v>
      </x:c>
      <x:c r="AB350" s="37" t="str">
        <x:f>IFERROR(IF($N350="CẦN DUYỆT","DUYỆT MAP",IF($N350="CHƯA CÓ GIÁ LẺ","THIẾU GIÁ",IF(OR($K350="",$K350=0,$Y350=""),"OK",IF(ABS(($Y350-$K350)/$K350)&gt;0.15,"LỆCH GIÁ CŨ","OK")))),"OK")</x:f>
        <x:v>THIẾU GIÁ</x:v>
      </x:c>
      <x:c r="AC350" s="30" t="str">
        <x:v>ứng viên gần nhất=Bánh sữa tươi; score=0.342</x:v>
      </x:c>
      <x:c r="AD350" s="37" t="str">
        <x:v>OATSID</x:v>
      </x:c>
      <x:c r="AE350" s="38" t="str">
        <x:v>OATSIDT</x:v>
      </x:c>
      <x:c r="AF350" s="123" t="n">
        <x:v>0</x:v>
      </x:c>
      <x:c r="AG350" s="112" t="str">
        <x:v>g</x:v>
      </x:c>
      <x:c r="AH350" s="112" t="str">
        <x:v>HỘP</x:v>
      </x:c>
      <x:c r="AI350" s="112" t="str">
        <x:v>0 g / HỘP</x:v>
      </x:c>
      <x:c r="AJ350" s="120" t="n">
        <x:v>39000</x:v>
      </x:c>
      <x:c r="AK350" s="120"/>
      <x:c r="AL350" s="120" t="n">
        <x:v>39000</x:v>
      </x:c>
      <x:c r="AM350" s="112" t="str">
        <x:v>BỔ SUNG GIÁ</x:v>
      </x:c>
      <x:c r="AN350" s="126" t="n">
        <x:v>761</x:v>
      </x:c>
      <x:c r="AO350" s="126" t="n">
        <x:v>762</x:v>
      </x:c>
      <x:c r="AP350" s="113" t="str">
        <x:v>6 HỘP / THÙNG</x:v>
      </x:c>
    </x:row>
    <x:row r="351">
      <x:c r="A351" s="71" t="str">
        <x:v>NHÃN LON THÁI</x:v>
      </x:c>
      <x:c r="B351" s="30" t="str">
        <x:v>NHÃN LON THÁI - THÙNG</x:v>
      </x:c>
      <x:c r="C351" s="37" t="str">
        <x:v>NHANTH</x:v>
      </x:c>
      <x:c r="D351" s="37" t="str">
        <x:v>NHANTHT</x:v>
      </x:c>
      <x:c r="E351" s="37" t="str">
        <x:v>NHANTHT</x:v>
      </x:c>
      <x:c r="F351" s="37" t="n">
        <x:v>24</x:v>
      </x:c>
      <x:c r="G351" s="37" t="n">
        <x:v>16</x:v>
      </x:c>
      <x:c r="H351" s="37" t="str">
        <x:v>kg</x:v>
      </x:c>
      <x:c r="I351" s="37" t="str">
        <x:v>THÙNG</x:v>
      </x:c>
      <x:c r="J351" s="59" t="n">
        <x:v>0</x:v>
      </x:c>
      <x:c r="K351" s="59" t="n">
        <x:v>920000</x:v>
      </x:c>
      <x:c r="L351" s="59" t="n">
        <x:v>0</x:v>
      </x:c>
      <x:c r="M351" s="37" t="str">
        <x:v>Khác</x:v>
      </x:c>
      <x:c r="N351" s="37" t="str">
        <x:v>CẦN DUYỆT</x:v>
      </x:c>
      <x:c r="O351" s="61" t="n">
        <x:v>0.911</x:v>
      </x:c>
      <x:c r="P351" s="37" t="n">
        <x:v>111</x:v>
      </x:c>
      <x:c r="Q351" s="30" t="str">
        <x:v>NHÃN thái</x:v>
      </x:c>
      <x:c r="R351" s="30" t="str">
        <x:v>Thùng 24 lon</x:v>
      </x:c>
      <x:c r="S351" s="30" t="str">
        <x:v>LON</x:v>
      </x:c>
      <x:c r="T351" s="37" t="str">
        <x:v>ĐƠN VỊ</x:v>
      </x:c>
      <x:c r="U351" s="59" t="n">
        <x:v>40000</x:v>
      </x:c>
      <x:c r="V351" s="59"/>
      <x:c r="W351" s="117" t="n">
        <x:v>40000</x:v>
      </x:c>
      <x:c r="X351" s="59" t="str">
        <x:f>IFERROR(IF(OR($N351="ĐÃ GHÉP - AUTO",$N351="ĐÃ GHÉP - QUY TẮC"),IF($V351="","",IF($T351="THÙNG",$V351/$F351,$V351)),""),"")</x:f>
      </x:c>
      <x:c r="Y351" s="117" t="n">
        <x:f>IF(OR(W351="",F351=""),"",W351*F351)</x:f>
        <x:v>960000</x:v>
      </x:c>
      <x:c r="Z351" s="59" t="str">
        <x:f>IFERROR(IF(OR($N351="ĐÃ GHÉP - AUTO",$N351="ĐÃ GHÉP - QUY TẮC"),IF($V351="","",IF($T351="THÙNG",$V351,$V351*$F351)),""),"")</x:f>
      </x:c>
      <x:c r="AA351" s="28" t="n">
        <x:f>IFERROR(IF(OR($K351="",$K351=0,$Y351=""),"",($Y351-$K351)/$K351),"")</x:f>
        <x:v>0.043478260869565216</x:v>
      </x:c>
      <x:c r="AB351" s="37" t="str">
        <x:f>IFERROR(IF($N351="CẦN DUYỆT","DUYỆT MAP",IF($N351="CHƯA CÓ GIÁ LẺ","THIẾU GIÁ",IF(OR($K351="",$K351=0,$Y351=""),"OK",IF(ABS(($Y351-$K351)/$K351)&gt;0.15,"LỆCH GIÁ CŨ","OK")))),"OK")</x:f>
        <x:v>DUYỆT MAP</x:v>
      </x:c>
      <x:c r="AC351" s="30" t="str">
        <x:v>score=0.911; gap=0.138; khác nhóm hàng</x:v>
      </x:c>
      <x:c r="AD351" s="37" t="str">
        <x:v>NHANTH</x:v>
      </x:c>
      <x:c r="AE351" s="38" t="str">
        <x:v>NHANTHT</x:v>
      </x:c>
      <x:c r="AF351" s="123" t="n">
        <x:v>600</x:v>
      </x:c>
      <x:c r="AG351" s="112" t="str">
        <x:v>g</x:v>
      </x:c>
      <x:c r="AH351" s="112" t="str">
        <x:v>LON</x:v>
      </x:c>
      <x:c r="AI351" s="112" t="str">
        <x:v>600 g / LON</x:v>
      </x:c>
      <x:c r="AJ351" s="120" t="n">
        <x:v>40000</x:v>
      </x:c>
      <x:c r="AK351" s="120"/>
      <x:c r="AL351" s="120" t="n">
        <x:v>40000</x:v>
      </x:c>
      <x:c r="AM351" s="112" t="str">
        <x:v>BỔ SUNG GIÁ</x:v>
      </x:c>
      <x:c r="AN351" s="126" t="n">
        <x:v>763</x:v>
      </x:c>
      <x:c r="AO351" s="126" t="n">
        <x:v>764</x:v>
      </x:c>
      <x:c r="AP351" s="113" t="str">
        <x:v>24 LON / THÙNG</x:v>
      </x:c>
    </x:row>
    <x:row r="352">
      <x:c r="A352" s="71" t="str">
        <x:v>NHA ĐAM PESO</x:v>
      </x:c>
      <x:c r="B352" s="30" t="str">
        <x:v>NHA ĐAM PESO - THÙNG</x:v>
      </x:c>
      <x:c r="C352" s="37" t="str">
        <x:v>NDPESO</x:v>
      </x:c>
      <x:c r="D352" s="37" t="str">
        <x:v>NDPESOT</x:v>
      </x:c>
      <x:c r="E352" s="37" t="str">
        <x:v>NDPESOT</x:v>
      </x:c>
      <x:c r="F352" s="37" t="n">
        <x:v>10</x:v>
      </x:c>
      <x:c r="G352" s="37" t="n">
        <x:v>13</x:v>
      </x:c>
      <x:c r="H352" s="37" t="str">
        <x:v>kg</x:v>
      </x:c>
      <x:c r="I352" s="37" t="str">
        <x:v>THÙNG</x:v>
      </x:c>
      <x:c r="J352" s="59" t="n">
        <x:v>0</x:v>
      </x:c>
      <x:c r="K352" s="59" t="n">
        <x:v>280000</x:v>
      </x:c>
      <x:c r="L352" s="59" t="n">
        <x:v>0</x:v>
      </x:c>
      <x:c r="M352" s="37" t="str">
        <x:v>Trái cây hộp</x:v>
      </x:c>
      <x:c r="N352" s="37" t="str">
        <x:v>ĐÃ GHÉP - AUTO</x:v>
      </x:c>
      <x:c r="O352" s="61" t="n">
        <x:v>0.921</x:v>
      </x:c>
      <x:c r="P352" s="37" t="n">
        <x:v>113</x:v>
      </x:c>
      <x:c r="Q352" s="30" t="str">
        <x:v>Nha Đam</x:v>
      </x:c>
      <x:c r="R352" s="30" t="str">
        <x:v>Thùng 10 gói</x:v>
      </x:c>
      <x:c r="S352" s="30" t="str">
        <x:v>bịch</x:v>
      </x:c>
      <x:c r="T352" s="37" t="str">
        <x:v>ĐƠN VỊ</x:v>
      </x:c>
      <x:c r="U352" s="59" t="n">
        <x:v>29000</x:v>
      </x:c>
      <x:c r="V352" s="59"/>
      <x:c r="W352" s="117" t="n">
        <x:v>29000</x:v>
      </x:c>
      <x:c r="X352" s="59" t="str">
        <x:f>IFERROR(IF(OR($N352="ĐÃ GHÉP - AUTO",$N352="ĐÃ GHÉP - QUY TẮC"),IF($V352="","",IF($T352="THÙNG",$V352/$F352,$V352)),""),"")</x:f>
      </x:c>
      <x:c r="Y352" s="117" t="n">
        <x:f>IF(OR(W352="",F352=""),"",W352*F352)</x:f>
        <x:v>290000</x:v>
      </x:c>
      <x:c r="Z352" s="59" t="str">
        <x:f>IFERROR(IF(OR($N352="ĐÃ GHÉP - AUTO",$N352="ĐÃ GHÉP - QUY TẮC"),IF($V352="","",IF($T352="THÙNG",$V352,$V352*$F352)),""),"")</x:f>
      </x:c>
      <x:c r="AA352" s="28" t="n">
        <x:f>IFERROR(IF(OR($K352="",$K352=0,$Y352=""),"",($Y352-$K352)/$K352),"")</x:f>
        <x:v>0.03571428571428571</x:v>
      </x:c>
      <x:c r="AB352" s="37" t="str">
        <x:f>IFERROR(IF($N352="CẦN DUYỆT","DUYỆT MAP",IF($N352="CHƯA CÓ GIÁ LẺ","THIẾU GIÁ",IF(OR($K352="",$K352=0,$Y352=""),"OK",IF(ABS(($Y352-$K352)/$K352)&gt;0.15,"LỆCH GIÁ CŨ","OK")))),"OK")</x:f>
        <x:v>OK</x:v>
      </x:c>
      <x:c r="AC352" s="30" t="str">
        <x:v>score=0.921; gap=0.861</x:v>
      </x:c>
      <x:c r="AD352" s="37" t="str">
        <x:v>NDPESO</x:v>
      </x:c>
      <x:c r="AE352" s="38" t="str">
        <x:v>NDPESOT</x:v>
      </x:c>
      <x:c r="AF352" s="123" t="n">
        <x:v>1</x:v>
      </x:c>
      <x:c r="AG352" s="112" t="str">
        <x:v>kg</x:v>
      </x:c>
      <x:c r="AH352" s="112" t="str">
        <x:v>GÓI</x:v>
      </x:c>
      <x:c r="AI352" s="112" t="str">
        <x:v>1 kg / GÓI</x:v>
      </x:c>
      <x:c r="AJ352" s="120" t="n">
        <x:v>29000</x:v>
      </x:c>
      <x:c r="AK352" s="120" t="n">
        <x:v>29000</x:v>
      </x:c>
      <x:c r="AL352" s="120" t="n">
        <x:v>29000</x:v>
      </x:c>
      <x:c r="AM352" s="112" t="str">
        <x:v>GIỮ NGUYÊN - ĐÃ KHỚP</x:v>
      </x:c>
      <x:c r="AN352" s="126" t="n">
        <x:v>765</x:v>
      </x:c>
      <x:c r="AO352" s="126" t="n">
        <x:v>766</x:v>
      </x:c>
      <x:c r="AP352" s="113" t="str">
        <x:v>10 GÓI / THÙNG</x:v>
      </x:c>
    </x:row>
    <x:row r="353">
      <x:c r="A353" s="71" t="str">
        <x:v>NƯỚC CỐT TẮC LIME</x:v>
      </x:c>
      <x:c r="B353" s="30" t="str">
        <x:v>NƯỚC CỐT TẮC LIME - THÙNG</x:v>
      </x:c>
      <x:c r="C353" s="37" t="str">
        <x:v>CTLIME</x:v>
      </x:c>
      <x:c r="D353" s="37" t="str">
        <x:v>CTLIMET</x:v>
      </x:c>
      <x:c r="E353" s="37" t="str">
        <x:v>CTLIMET</x:v>
      </x:c>
      <x:c r="F353" s="37" t="n">
        <x:v>12</x:v>
      </x:c>
      <x:c r="G353" s="37" t="n">
        <x:v>16</x:v>
      </x:c>
      <x:c r="H353" s="37" t="str">
        <x:v>kg</x:v>
      </x:c>
      <x:c r="I353" s="37" t="str">
        <x:v>THÙNG</x:v>
      </x:c>
      <x:c r="J353" s="59" t="n">
        <x:v>0</x:v>
      </x:c>
      <x:c r="K353" s="59" t="n">
        <x:v>0</x:v>
      </x:c>
      <x:c r="L353" s="59" t="n">
        <x:v>0</x:v>
      </x:c>
      <x:c r="M353" s="37" t="str">
        <x:v>Khác</x:v>
      </x:c>
      <x:c r="N353" s="37" t="str">
        <x:v>CHƯA CÓ GIÁ LẺ</x:v>
      </x:c>
      <x:c r="O353" s="61" t="n">
        <x:v>0.498</x:v>
      </x:c>
      <x:c r="P353" s="37"/>
      <x:c r="Q353" s="30"/>
      <x:c r="R353" s="30"/>
      <x:c r="S353" s="30"/>
      <x:c r="T353" s="37"/>
      <x:c r="U353" s="59"/>
      <x:c r="V353" s="59"/>
      <x:c r="W353" s="117" t="n">
        <x:v>55000</x:v>
      </x:c>
      <x:c r="X353" s="59" t="str">
        <x:f>IFERROR(IF(OR($N353="ĐÃ GHÉP - AUTO",$N353="ĐÃ GHÉP - QUY TẮC"),IF($V353="","",IF($T353="THÙNG",$V353/$F353,$V353)),""),"")</x:f>
      </x:c>
      <x:c r="Y353" s="117" t="n">
        <x:f>IF(OR(W353="",F353=""),"",W353*F353)</x:f>
        <x:v>660000</x:v>
      </x:c>
      <x:c r="Z353" s="59" t="str">
        <x:f>IFERROR(IF(OR($N353="ĐÃ GHÉP - AUTO",$N353="ĐÃ GHÉP - QUY TẮC"),IF($V353="","",IF($T353="THÙNG",$V353,$V353*$F353)),""),"")</x:f>
      </x:c>
      <x:c r="AA353" s="28" t="str">
        <x:f>IFERROR(IF(OR($K353="",$K353=0,$Y353=""),"",($Y353-$K353)/$K353),"")</x:f>
      </x:c>
      <x:c r="AB353" s="37" t="str">
        <x:f>IFERROR(IF($N353="CẦN DUYỆT","DUYỆT MAP",IF($N353="CHƯA CÓ GIÁ LẺ","THIẾU GIÁ",IF(OR($K353="",$K353=0,$Y353=""),"OK",IF(ABS(($Y353-$K353)/$K353)&gt;0.15,"LỆCH GIÁ CŨ","OK")))),"OK")</x:f>
        <x:v>THIẾU GIÁ</x:v>
      </x:c>
      <x:c r="AC353" s="30" t="str">
        <x:v>ứng viên gần nhất=nước bò; score=0.498</x:v>
      </x:c>
      <x:c r="AD353" s="37" t="str">
        <x:v>CTLIME</x:v>
      </x:c>
      <x:c r="AE353" s="38" t="str">
        <x:v>CTLIMET</x:v>
      </x:c>
      <x:c r="AF353" s="123" t="n">
        <x:v>0</x:v>
      </x:c>
      <x:c r="AG353" s="112" t="str">
        <x:v>g</x:v>
      </x:c>
      <x:c r="AH353" s="112" t="str">
        <x:v>CHAI</x:v>
      </x:c>
      <x:c r="AI353" s="112" t="str">
        <x:v>0 g / CHAI</x:v>
      </x:c>
      <x:c r="AJ353" s="120" t="n">
        <x:v>55000</x:v>
      </x:c>
      <x:c r="AK353" s="120"/>
      <x:c r="AL353" s="120" t="n">
        <x:v>55000</x:v>
      </x:c>
      <x:c r="AM353" s="112" t="str">
        <x:v>BỔ SUNG GIÁ</x:v>
      </x:c>
      <x:c r="AN353" s="126" t="n">
        <x:v>768</x:v>
      </x:c>
      <x:c r="AO353" s="126" t="n">
        <x:v>769</x:v>
      </x:c>
      <x:c r="AP353" s="113" t="str">
        <x:v>12 CHAI / THÙNG</x:v>
      </x:c>
    </x:row>
    <x:row r="354">
      <x:c r="A354" s="71" t="str">
        <x:v>NƯỚC CỐT CHANH LIME</x:v>
      </x:c>
      <x:c r="B354" s="30" t="str">
        <x:v>NƯỚC CỐT CHANH LIME - THÙNG</x:v>
      </x:c>
      <x:c r="C354" s="37" t="str">
        <x:v>CCLIME</x:v>
      </x:c>
      <x:c r="D354" s="37" t="str">
        <x:v>CCLIMET</x:v>
      </x:c>
      <x:c r="E354" s="37" t="str">
        <x:v>CCLIMET</x:v>
      </x:c>
      <x:c r="F354" s="37" t="n">
        <x:v>12</x:v>
      </x:c>
      <x:c r="G354" s="37" t="n">
        <x:v>16</x:v>
      </x:c>
      <x:c r="H354" s="37" t="str">
        <x:v>kg</x:v>
      </x:c>
      <x:c r="I354" s="37" t="str">
        <x:v>THÙNG</x:v>
      </x:c>
      <x:c r="J354" s="59" t="n">
        <x:v>0</x:v>
      </x:c>
      <x:c r="K354" s="59" t="n">
        <x:v>0</x:v>
      </x:c>
      <x:c r="L354" s="59" t="n">
        <x:v>0</x:v>
      </x:c>
      <x:c r="M354" s="37" t="str">
        <x:v>Khác</x:v>
      </x:c>
      <x:c r="N354" s="37" t="str">
        <x:v>CHƯA CÓ GIÁ LẺ</x:v>
      </x:c>
      <x:c r="O354" s="61" t="n">
        <x:v>0.498</x:v>
      </x:c>
      <x:c r="P354" s="37"/>
      <x:c r="Q354" s="30"/>
      <x:c r="R354" s="30"/>
      <x:c r="S354" s="30"/>
      <x:c r="T354" s="37"/>
      <x:c r="U354" s="59"/>
      <x:c r="V354" s="59"/>
      <x:c r="W354" s="117" t="n">
        <x:v>55000</x:v>
      </x:c>
      <x:c r="X354" s="59" t="str">
        <x:f>IFERROR(IF(OR($N354="ĐÃ GHÉP - AUTO",$N354="ĐÃ GHÉP - QUY TẮC"),IF($V354="","",IF($T354="THÙNG",$V354/$F354,$V354)),""),"")</x:f>
      </x:c>
      <x:c r="Y354" s="117" t="n">
        <x:f>IF(OR(W354="",F354=""),"",W354*F354)</x:f>
        <x:v>660000</x:v>
      </x:c>
      <x:c r="Z354" s="59" t="str">
        <x:f>IFERROR(IF(OR($N354="ĐÃ GHÉP - AUTO",$N354="ĐÃ GHÉP - QUY TẮC"),IF($V354="","",IF($T354="THÙNG",$V354,$V354*$F354)),""),"")</x:f>
      </x:c>
      <x:c r="AA354" s="28" t="str">
        <x:f>IFERROR(IF(OR($K354="",$K354=0,$Y354=""),"",($Y354-$K354)/$K354),"")</x:f>
      </x:c>
      <x:c r="AB354" s="37" t="str">
        <x:f>IFERROR(IF($N354="CẦN DUYỆT","DUYỆT MAP",IF($N354="CHƯA CÓ GIÁ LẺ","THIẾU GIÁ",IF(OR($K354="",$K354=0,$Y354=""),"OK",IF(ABS(($Y354-$K354)/$K354)&gt;0.15,"LỆCH GIÁ CŨ","OK")))),"OK")</x:f>
        <x:v>THIẾU GIÁ</x:v>
      </x:c>
      <x:c r="AC354" s="30" t="str">
        <x:v>ứng viên gần nhất=nước bò; score=0.498</x:v>
      </x:c>
      <x:c r="AD354" s="37" t="str">
        <x:v>CCLIME</x:v>
      </x:c>
      <x:c r="AE354" s="38" t="str">
        <x:v>CCLIMET</x:v>
      </x:c>
      <x:c r="AF354" s="123" t="n">
        <x:v>0</x:v>
      </x:c>
      <x:c r="AG354" s="112" t="str">
        <x:v>g</x:v>
      </x:c>
      <x:c r="AH354" s="112" t="str">
        <x:v>CHAI</x:v>
      </x:c>
      <x:c r="AI354" s="112" t="str">
        <x:v>0 g / CHAI</x:v>
      </x:c>
      <x:c r="AJ354" s="120" t="n">
        <x:v>55000</x:v>
      </x:c>
      <x:c r="AK354" s="120"/>
      <x:c r="AL354" s="120" t="n">
        <x:v>55000</x:v>
      </x:c>
      <x:c r="AM354" s="112" t="str">
        <x:v>BỔ SUNG GIÁ</x:v>
      </x:c>
      <x:c r="AN354" s="126" t="n">
        <x:v>770</x:v>
      </x:c>
      <x:c r="AO354" s="126" t="n">
        <x:v>771</x:v>
      </x:c>
      <x:c r="AP354" s="113" t="str">
        <x:v>12 CHAI / THÙNG</x:v>
      </x:c>
    </x:row>
    <x:row r="355">
      <x:c r="A355" s="71" t="str">
        <x:v>NƯỚC BÒ 1 LÍT</x:v>
      </x:c>
      <x:c r="B355" s="30" t="str">
        <x:v>NƯỚC BÒ 1 LÍT - THÙNG</x:v>
      </x:c>
      <x:c r="C355" s="37" t="str">
        <x:v>NCBO1L</x:v>
      </x:c>
      <x:c r="D355" s="37" t="str">
        <x:v>NCBO1LT</x:v>
      </x:c>
      <x:c r="E355" s="37" t="str">
        <x:v>NCBO1LT</x:v>
      </x:c>
      <x:c r="F355" s="37" t="n">
        <x:v>24</x:v>
      </x:c>
      <x:c r="G355" s="37" t="n">
        <x:v>25</x:v>
      </x:c>
      <x:c r="H355" s="37" t="str">
        <x:v>kg</x:v>
      </x:c>
      <x:c r="I355" s="37" t="str">
        <x:v>THÙNG</x:v>
      </x:c>
      <x:c r="J355" s="59" t="n">
        <x:v>780000</x:v>
      </x:c>
      <x:c r="K355" s="59" t="n">
        <x:v>0</x:v>
      </x:c>
      <x:c r="L355" s="59" t="n">
        <x:v>0</x:v>
      </x:c>
      <x:c r="M355" s="37" t="str">
        <x:v>Nguyên liệu bánh tráng</x:v>
      </x:c>
      <x:c r="N355" s="37" t="str">
        <x:v>ĐÃ GHÉP - QUY TẮC</x:v>
      </x:c>
      <x:c r="O355" s="61" t="n">
        <x:v>0.99</x:v>
      </x:c>
      <x:c r="P355" s="37" t="n">
        <x:v>300</x:v>
      </x:c>
      <x:c r="Q355" s="30" t="str">
        <x:v>nước bò 1 lit</x:v>
      </x:c>
      <x:c r="R355" s="30" t="str"/>
      <x:c r="S355" s="30" t="str">
        <x:v>chai</x:v>
      </x:c>
      <x:c r="T355" s="37" t="str">
        <x:v>ĐƠN VỊ</x:v>
      </x:c>
      <x:c r="U355" s="59" t="n">
        <x:v>37000</x:v>
      </x:c>
      <x:c r="V355" s="59"/>
      <x:c r="W355" s="117" t="n">
        <x:v>35000</x:v>
      </x:c>
      <x:c r="X355" s="59" t="str">
        <x:f>IFERROR(IF(OR($N355="ĐÃ GHÉP - AUTO",$N355="ĐÃ GHÉP - QUY TẮC"),IF($V355="","",IF($T355="THÙNG",$V355/$F355,$V355)),""),"")</x:f>
      </x:c>
      <x:c r="Y355" s="117" t="n">
        <x:f>IF(OR(W355="",F355=""),"",W355*F355)</x:f>
        <x:v>840000</x:v>
      </x:c>
      <x:c r="Z355" s="59" t="str">
        <x:f>IFERROR(IF(OR($N355="ĐÃ GHÉP - AUTO",$N355="ĐÃ GHÉP - QUY TẮC"),IF($V355="","",IF($T355="THÙNG",$V355,$V355*$F355)),""),"")</x:f>
      </x:c>
      <x:c r="AA355" s="28" t="str">
        <x:f>IFERROR(IF(OR($K355="",$K355=0,$Y355=""),"",($Y355-$K355)/$K355),"")</x:f>
      </x:c>
      <x:c r="AB355" s="37" t="str">
        <x:f>IFERROR(IF($N355="CẦN DUYỆT","DUYỆT MAP",IF($N355="CHƯA CÓ GIÁ LẺ","THIẾU GIÁ",IF(OR($K355="",$K355=0,$Y355=""),"OK",IF(ABS(($Y355-$K355)/$K355)&gt;0.15,"LỆCH GIÁ CŨ","OK")))),"OK")</x:f>
        <x:v>OK</x:v>
      </x:c>
      <x:c r="AC355" s="30" t="str">
        <x:v>Nước bò 1 lít</x:v>
      </x:c>
      <x:c r="AD355" s="37" t="str">
        <x:v>NCBO1L</x:v>
      </x:c>
      <x:c r="AE355" s="38" t="str">
        <x:v>NCBO1LT</x:v>
      </x:c>
      <x:c r="AF355" s="123" t="n">
        <x:v>1</x:v>
      </x:c>
      <x:c r="AG355" s="112" t="str">
        <x:v>kg</x:v>
      </x:c>
      <x:c r="AH355" s="112" t="str">
        <x:v>CHAI</x:v>
      </x:c>
      <x:c r="AI355" s="112" t="str">
        <x:v>1 kg / CHAI</x:v>
      </x:c>
      <x:c r="AJ355" s="120" t="n">
        <x:v>35000</x:v>
      </x:c>
      <x:c r="AK355" s="120" t="n">
        <x:v>37000</x:v>
      </x:c>
      <x:c r="AL355" s="120" t="n">
        <x:v>35000</x:v>
      </x:c>
      <x:c r="AM355" s="112" t="str">
        <x:v>CẬP NHẬT GIÁ</x:v>
      </x:c>
      <x:c r="AN355" s="126" t="n">
        <x:v>772</x:v>
      </x:c>
      <x:c r="AO355" s="126" t="n">
        <x:v>773</x:v>
      </x:c>
      <x:c r="AP355" s="113" t="str">
        <x:v>24 CHAI / THÙNG</x:v>
      </x:c>
    </x:row>
    <x:row r="356">
      <x:c r="A356" s="71" t="str">
        <x:v>NƯỚC BÒ 5 LÍT</x:v>
      </x:c>
      <x:c r="B356" s="30" t="str">
        <x:v>NƯỚC BÒ 5 LÍT - THÙNG</x:v>
      </x:c>
      <x:c r="C356" s="37" t="str">
        <x:v>NCBO5L</x:v>
      </x:c>
      <x:c r="D356" s="37" t="str">
        <x:v>NCBO5LT</x:v>
      </x:c>
      <x:c r="E356" s="37" t="str">
        <x:v>NCBO5LT</x:v>
      </x:c>
      <x:c r="F356" s="37" t="n">
        <x:v>6</x:v>
      </x:c>
      <x:c r="G356" s="37" t="n">
        <x:v>31</x:v>
      </x:c>
      <x:c r="H356" s="37" t="str">
        <x:v>kg</x:v>
      </x:c>
      <x:c r="I356" s="37" t="str">
        <x:v>THÙNG</x:v>
      </x:c>
      <x:c r="J356" s="59" t="n">
        <x:v>830000</x:v>
      </x:c>
      <x:c r="K356" s="59" t="n">
        <x:v>0</x:v>
      </x:c>
      <x:c r="L356" s="59" t="n">
        <x:v>0</x:v>
      </x:c>
      <x:c r="M356" s="37" t="str">
        <x:v>Nguyên liệu bánh tráng</x:v>
      </x:c>
      <x:c r="N356" s="37" t="str">
        <x:v>ĐÃ GHÉP - QUY TẮC</x:v>
      </x:c>
      <x:c r="O356" s="61" t="n">
        <x:v>0.99</x:v>
      </x:c>
      <x:c r="P356" s="37" t="n">
        <x:v>301</x:v>
      </x:c>
      <x:c r="Q356" s="30" t="str">
        <x:v>nước bò</x:v>
      </x:c>
      <x:c r="R356" s="30" t="str"/>
      <x:c r="S356" s="30" t="str">
        <x:v>bình</x:v>
      </x:c>
      <x:c r="T356" s="37" t="str">
        <x:v>ĐƠN VỊ</x:v>
      </x:c>
      <x:c r="U356" s="59" t="n">
        <x:v>145000</x:v>
      </x:c>
      <x:c r="V356" s="59"/>
      <x:c r="W356" s="117" t="n">
        <x:v>145000</x:v>
      </x:c>
      <x:c r="X356" s="59" t="str">
        <x:f>IFERROR(IF(OR($N356="ĐÃ GHÉP - AUTO",$N356="ĐÃ GHÉP - QUY TẮC"),IF($V356="","",IF($T356="THÙNG",$V356/$F356,$V356)),""),"")</x:f>
      </x:c>
      <x:c r="Y356" s="117" t="n">
        <x:f>IF(OR(W356="",F356=""),"",W356*F356)</x:f>
        <x:v>870000</x:v>
      </x:c>
      <x:c r="Z356" s="59" t="str">
        <x:f>IFERROR(IF(OR($N356="ĐÃ GHÉP - AUTO",$N356="ĐÃ GHÉP - QUY TẮC"),IF($V356="","",IF($T356="THÙNG",$V356,$V356*$F356)),""),"")</x:f>
      </x:c>
      <x:c r="AA356" s="28" t="str">
        <x:f>IFERROR(IF(OR($K356="",$K356=0,$Y356=""),"",($Y356-$K356)/$K356),"")</x:f>
      </x:c>
      <x:c r="AB356" s="37" t="str">
        <x:f>IFERROR(IF($N356="CẦN DUYỆT","DUYỆT MAP",IF($N356="CHƯA CÓ GIÁ LẺ","THIẾU GIÁ",IF(OR($K356="",$K356=0,$Y356=""),"OK",IF(ABS(($Y356-$K356)/$K356)&gt;0.15,"LỆCH GIÁ CŨ","OK")))),"OK")</x:f>
        <x:v>OK</x:v>
      </x:c>
      <x:c r="AC356" s="30" t="str">
        <x:v>Nước bò bình</x:v>
      </x:c>
      <x:c r="AD356" s="37" t="str">
        <x:v>NCBO5L</x:v>
      </x:c>
      <x:c r="AE356" s="38" t="str">
        <x:v>NCBO5LT</x:v>
      </x:c>
      <x:c r="AF356" s="123" t="n">
        <x:v>5</x:v>
      </x:c>
      <x:c r="AG356" s="112" t="str">
        <x:v>kg</x:v>
      </x:c>
      <x:c r="AH356" s="112" t="str">
        <x:v>BÌNH</x:v>
      </x:c>
      <x:c r="AI356" s="112" t="str">
        <x:v>5 kg / BÌNH</x:v>
      </x:c>
      <x:c r="AJ356" s="120" t="n">
        <x:v>145000</x:v>
      </x:c>
      <x:c r="AK356" s="120" t="n">
        <x:v>145000</x:v>
      </x:c>
      <x:c r="AL356" s="120" t="n">
        <x:v>145000</x:v>
      </x:c>
      <x:c r="AM356" s="112" t="str">
        <x:v>GIỮ NGUYÊN - ĐÃ KHỚP</x:v>
      </x:c>
      <x:c r="AN356" s="126" t="n">
        <x:v>774</x:v>
      </x:c>
      <x:c r="AO356" s="126" t="n">
        <x:v>775</x:v>
      </x:c>
      <x:c r="AP356" s="113" t="str">
        <x:v>6 BÌNH / THÙNG</x:v>
      </x:c>
    </x:row>
    <x:row r="357">
      <x:c r="A357" s="71" t="str">
        <x:v>NẤM 20GAM</x:v>
      </x:c>
      <x:c r="B357" s="30" t="str">
        <x:v>NẤM 20GAM - THÙNG</x:v>
      </x:c>
      <x:c r="C357" s="37" t="str">
        <x:v>NAM200</x:v>
      </x:c>
      <x:c r="D357" s="37" t="str">
        <x:v>NAM200T</x:v>
      </x:c>
      <x:c r="E357" s="37" t="str">
        <x:v>NAM200T</x:v>
      </x:c>
      <x:c r="F357" s="37" t="n">
        <x:v>35</x:v>
      </x:c>
      <x:c r="G357" s="37" t="n">
        <x:v>700</x:v>
      </x:c>
      <x:c r="H357" s="37" t="str">
        <x:v>g</x:v>
      </x:c>
      <x:c r="I357" s="37" t="str">
        <x:v>THÙNG</x:v>
      </x:c>
      <x:c r="J357" s="59" t="n">
        <x:v>0</x:v>
      </x:c>
      <x:c r="K357" s="59" t="n">
        <x:v>0</x:v>
      </x:c>
      <x:c r="L357" s="59" t="n">
        <x:v>0</x:v>
      </x:c>
      <x:c r="M357" s="37" t="str">
        <x:v>Khác</x:v>
      </x:c>
      <x:c r="N357" s="37" t="str">
        <x:v>CHƯA CÓ GIÁ LẺ</x:v>
      </x:c>
      <x:c r="O357" s="61" t="n">
        <x:v>0.32</x:v>
      </x:c>
      <x:c r="P357" s="37"/>
      <x:c r="Q357" s="30"/>
      <x:c r="R357" s="30"/>
      <x:c r="S357" s="30"/>
      <x:c r="T357" s="37"/>
      <x:c r="U357" s="59"/>
      <x:c r="V357" s="59"/>
      <x:c r="W357" s="117" t="n">
        <x:v>7500</x:v>
      </x:c>
      <x:c r="X357" s="59" t="str">
        <x:f>IFERROR(IF(OR($N357="ĐÃ GHÉP - AUTO",$N357="ĐÃ GHÉP - QUY TẮC"),IF($V357="","",IF($T357="THÙNG",$V357/$F357,$V357)),""),"")</x:f>
      </x:c>
      <x:c r="Y357" s="117" t="n">
        <x:f>IF(OR(W357="",F357=""),"",W357*F357)</x:f>
        <x:v>262500</x:v>
      </x:c>
      <x:c r="Z357" s="59" t="str">
        <x:f>IFERROR(IF(OR($N357="ĐÃ GHÉP - AUTO",$N357="ĐÃ GHÉP - QUY TẮC"),IF($V357="","",IF($T357="THÙNG",$V357,$V357*$F357)),""),"")</x:f>
      </x:c>
      <x:c r="AA357" s="28" t="str">
        <x:f>IFERROR(IF(OR($K357="",$K357=0,$Y357=""),"",($Y357-$K357)/$K357),"")</x:f>
      </x:c>
      <x:c r="AB357" s="37" t="str">
        <x:f>IFERROR(IF($N357="CẦN DUYỆT","DUYỆT MAP",IF($N357="CHƯA CÓ GIÁ LẺ","THIẾU GIÁ",IF(OR($K357="",$K357=0,$Y357=""),"OK",IF(ABS(($Y357-$K357)/$K357)&gt;0.15,"LỆCH GIÁ CŨ","OK")))),"OK")</x:f>
        <x:v>THIẾU GIÁ</x:v>
      </x:c>
      <x:c r="AC357" s="30" t="str">
        <x:v>ứng viên gần nhất=Trà lài túi lọc TNB; score=0.320</x:v>
      </x:c>
      <x:c r="AD357" s="37" t="str">
        <x:v>NAM200</x:v>
      </x:c>
      <x:c r="AE357" s="38" t="str">
        <x:v>NAM200T</x:v>
      </x:c>
      <x:c r="AF357" s="123" t="n">
        <x:v>20</x:v>
      </x:c>
      <x:c r="AG357" s="112" t="str">
        <x:v>g</x:v>
      </x:c>
      <x:c r="AH357" s="112" t="str">
        <x:v>GÓI</x:v>
      </x:c>
      <x:c r="AI357" s="112" t="str">
        <x:v>20 g / GÓI</x:v>
      </x:c>
      <x:c r="AJ357" s="120" t="n">
        <x:v>7500</x:v>
      </x:c>
      <x:c r="AK357" s="120"/>
      <x:c r="AL357" s="120" t="n">
        <x:v>7500</x:v>
      </x:c>
      <x:c r="AM357" s="112" t="str">
        <x:v>BỔ SUNG GIÁ</x:v>
      </x:c>
      <x:c r="AN357" s="126" t="n">
        <x:v>776</x:v>
      </x:c>
      <x:c r="AO357" s="126" t="n">
        <x:v>777</x:v>
      </x:c>
      <x:c r="AP357" s="113" t="str">
        <x:v>35 GÓI / THÙNG</x:v>
      </x:c>
    </x:row>
    <x:row r="358">
      <x:c r="A358" s="71" t="str">
        <x:v>NẮP CẦU VUÔNG 95</x:v>
      </x:c>
      <x:c r="B358" s="30" t="str">
        <x:v>NẮP CẦU VUÔNG 95 - THÙNG</x:v>
      </x:c>
      <x:c r="C358" s="37" t="str">
        <x:v>NCVG95</x:v>
      </x:c>
      <x:c r="D358" s="37" t="str">
        <x:v>NCVG95T</x:v>
      </x:c>
      <x:c r="E358" s="37" t="str">
        <x:v>NCVG95T</x:v>
      </x:c>
      <x:c r="F358" s="37" t="n">
        <x:v>40</x:v>
      </x:c>
      <x:c r="G358" s="37" t="n">
        <x:v>10</x:v>
      </x:c>
      <x:c r="H358" s="37" t="str">
        <x:v>kg</x:v>
      </x:c>
      <x:c r="I358" s="37" t="str">
        <x:v>THÙNG</x:v>
      </x:c>
      <x:c r="J358" s="59" t="n">
        <x:v>0</x:v>
      </x:c>
      <x:c r="K358" s="59" t="n">
        <x:v>0</x:v>
      </x:c>
      <x:c r="L358" s="59" t="n">
        <x:v>0</x:v>
      </x:c>
      <x:c r="M358" s="37" t="str">
        <x:v>Nắp</x:v>
      </x:c>
      <x:c r="N358" s="37" t="str">
        <x:v>ĐÃ GHÉP - QUY TẮC</x:v>
      </x:c>
      <x:c r="O358" s="61" t="n">
        <x:v>0.99</x:v>
      </x:c>
      <x:c r="P358" s="37" t="n">
        <x:v>235</x:v>
      </x:c>
      <x:c r="Q358" s="30" t="str">
        <x:v>Nắp cầu/ vuông</x:v>
      </x:c>
      <x:c r="R358" s="30" t="str">
        <x:v>Thùng 40 cây</x:v>
      </x:c>
      <x:c r="S358" s="30" t="str">
        <x:v>cây</x:v>
      </x:c>
      <x:c r="T358" s="37" t="str">
        <x:v>ĐƠN VỊ</x:v>
      </x:c>
      <x:c r="U358" s="59" t="n">
        <x:v>11000</x:v>
      </x:c>
      <x:c r="V358" s="59"/>
      <x:c r="W358" s="117" t="n">
        <x:v>11000</x:v>
      </x:c>
      <x:c r="X358" s="59" t="str">
        <x:f>IFERROR(IF(OR($N358="ĐÃ GHÉP - AUTO",$N358="ĐÃ GHÉP - QUY TẮC"),IF($V358="","",IF($T358="THÙNG",$V358/$F358,$V358)),""),"")</x:f>
      </x:c>
      <x:c r="Y358" s="117" t="n">
        <x:f>IF(OR(W358="",F358=""),"",W358*F358)</x:f>
        <x:v>440000</x:v>
      </x:c>
      <x:c r="Z358" s="59" t="str">
        <x:f>IFERROR(IF(OR($N358="ĐÃ GHÉP - AUTO",$N358="ĐÃ GHÉP - QUY TẮC"),IF($V358="","",IF($T358="THÙNG",$V358,$V358*$F358)),""),"")</x:f>
      </x:c>
      <x:c r="AA358" s="28" t="str">
        <x:f>IFERROR(IF(OR($K358="",$K358=0,$Y358=""),"",($Y358-$K358)/$K358),"")</x:f>
      </x:c>
      <x:c r="AB358" s="37" t="str">
        <x:f>IFERROR(IF($N358="CẦN DUYỆT","DUYỆT MAP",IF($N358="CHƯA CÓ GIÁ LẺ","THIẾU GIÁ",IF(OR($K358="",$K358=0,$Y358=""),"OK",IF(ABS(($Y358-$K358)/$K358)&gt;0.15,"LỆCH GIÁ CŨ","OK")))),"OK")</x:f>
        <x:v>OK</x:v>
      </x:c>
      <x:c r="AC358" s="30" t="str">
        <x:v>Giá chung nắp cầu</x:v>
      </x:c>
      <x:c r="AD358" s="37" t="str">
        <x:v>NCVG95</x:v>
      </x:c>
      <x:c r="AE358" s="38" t="str">
        <x:v>NCVG95T</x:v>
      </x:c>
      <x:c r="AF358" s="123" t="n">
        <x:v>0</x:v>
      </x:c>
      <x:c r="AG358" s="112" t="str">
        <x:v>g</x:v>
      </x:c>
      <x:c r="AH358" s="112" t="str">
        <x:v>THÙNG</x:v>
      </x:c>
      <x:c r="AI358" s="112" t="str">
        <x:v>0 g / THÙNG</x:v>
      </x:c>
      <x:c r="AJ358" s="120" t="n">
        <x:v>0</x:v>
      </x:c>
      <x:c r="AK358" s="120" t="n">
        <x:v>11000</x:v>
      </x:c>
      <x:c r="AL358" s="120" t="n">
        <x:v>11000</x:v>
      </x:c>
      <x:c r="AM358" s="112" t="str">
        <x:v>DS SP GIÁ 0 - GIỮ GIÁ CŨ</x:v>
      </x:c>
      <x:c r="AN358" s="126" t="n">
        <x:v>779</x:v>
      </x:c>
      <x:c r="AO358" s="126" t="n">
        <x:v>780</x:v>
      </x:c>
      <x:c r="AP358" s="113" t="str">
        <x:v>40 THÙNG / THÙNG</x:v>
      </x:c>
    </x:row>
    <x:row r="359">
      <x:c r="A359" s="71" t="str">
        <x:v>NẮP CẦU TRÒN PHI 95</x:v>
      </x:c>
      <x:c r="B359" s="30" t="str">
        <x:v>NẮP CẦU TRÒN PHI 95 - THÙNG</x:v>
      </x:c>
      <x:c r="C359" s="37" t="str">
        <x:v>NCTR95</x:v>
      </x:c>
      <x:c r="D359" s="37" t="str">
        <x:v>NCTR95T</x:v>
      </x:c>
      <x:c r="E359" s="37" t="str">
        <x:v>NCTR95T</x:v>
      </x:c>
      <x:c r="F359" s="37" t="n">
        <x:v>40</x:v>
      </x:c>
      <x:c r="G359" s="37" t="n">
        <x:v>10</x:v>
      </x:c>
      <x:c r="H359" s="37" t="str">
        <x:v>kg</x:v>
      </x:c>
      <x:c r="I359" s="37" t="str">
        <x:v>THÙNG</x:v>
      </x:c>
      <x:c r="J359" s="59" t="n">
        <x:v>0</x:v>
      </x:c>
      <x:c r="K359" s="59" t="n">
        <x:v>0</x:v>
      </x:c>
      <x:c r="L359" s="59" t="n">
        <x:v>0</x:v>
      </x:c>
      <x:c r="M359" s="37" t="str">
        <x:v>Nắp</x:v>
      </x:c>
      <x:c r="N359" s="37" t="str">
        <x:v>ĐÃ GHÉP - QUY TẮC</x:v>
      </x:c>
      <x:c r="O359" s="61" t="n">
        <x:v>0.99</x:v>
      </x:c>
      <x:c r="P359" s="37" t="n">
        <x:v>235</x:v>
      </x:c>
      <x:c r="Q359" s="30" t="str">
        <x:v>Nắp cầu/ vuông</x:v>
      </x:c>
      <x:c r="R359" s="30" t="str">
        <x:v>Thùng 40 cây</x:v>
      </x:c>
      <x:c r="S359" s="30" t="str">
        <x:v>cây</x:v>
      </x:c>
      <x:c r="T359" s="37" t="str">
        <x:v>ĐƠN VỊ</x:v>
      </x:c>
      <x:c r="U359" s="59" t="n">
        <x:v>11000</x:v>
      </x:c>
      <x:c r="V359" s="59"/>
      <x:c r="W359" s="117" t="n">
        <x:v>11000</x:v>
      </x:c>
      <x:c r="X359" s="59" t="str">
        <x:f>IFERROR(IF(OR($N359="ĐÃ GHÉP - AUTO",$N359="ĐÃ GHÉP - QUY TẮC"),IF($V359="","",IF($T359="THÙNG",$V359/$F359,$V359)),""),"")</x:f>
      </x:c>
      <x:c r="Y359" s="117" t="n">
        <x:f>IF(OR(W359="",F359=""),"",W359*F359)</x:f>
        <x:v>440000</x:v>
      </x:c>
      <x:c r="Z359" s="59" t="str">
        <x:f>IFERROR(IF(OR($N359="ĐÃ GHÉP - AUTO",$N359="ĐÃ GHÉP - QUY TẮC"),IF($V359="","",IF($T359="THÙNG",$V359,$V359*$F359)),""),"")</x:f>
      </x:c>
      <x:c r="AA359" s="28" t="str">
        <x:f>IFERROR(IF(OR($K359="",$K359=0,$Y359=""),"",($Y359-$K359)/$K359),"")</x:f>
      </x:c>
      <x:c r="AB359" s="37" t="str">
        <x:f>IFERROR(IF($N359="CẦN DUYỆT","DUYỆT MAP",IF($N359="CHƯA CÓ GIÁ LẺ","THIẾU GIÁ",IF(OR($K359="",$K359=0,$Y359=""),"OK",IF(ABS(($Y359-$K359)/$K359)&gt;0.15,"LỆCH GIÁ CŨ","OK")))),"OK")</x:f>
        <x:v>OK</x:v>
      </x:c>
      <x:c r="AC359" s="30" t="str">
        <x:v>Giá chung nắp cầu</x:v>
      </x:c>
      <x:c r="AD359" s="37" t="str">
        <x:v>NCTR95</x:v>
      </x:c>
      <x:c r="AE359" s="38" t="str">
        <x:v>NCTR95T</x:v>
      </x:c>
      <x:c r="AF359" s="123" t="n">
        <x:v>0</x:v>
      </x:c>
      <x:c r="AG359" s="112" t="str">
        <x:v>g</x:v>
      </x:c>
      <x:c r="AH359" s="112" t="str">
        <x:v>BỊCH</x:v>
      </x:c>
      <x:c r="AI359" s="112" t="str">
        <x:v>0 g / BỊCH</x:v>
      </x:c>
      <x:c r="AJ359" s="120" t="n">
        <x:v>11000</x:v>
      </x:c>
      <x:c r="AK359" s="120" t="n">
        <x:v>11000</x:v>
      </x:c>
      <x:c r="AL359" s="120" t="n">
        <x:v>11000</x:v>
      </x:c>
      <x:c r="AM359" s="112" t="str">
        <x:v>GIỮ NGUYÊN - ĐÃ KHỚP</x:v>
      </x:c>
      <x:c r="AN359" s="126" t="n">
        <x:v>781</x:v>
      </x:c>
      <x:c r="AO359" s="126" t="n">
        <x:v>782</x:v>
      </x:c>
      <x:c r="AP359" s="113" t="str">
        <x:v>40 BỊCH / THÙNG</x:v>
      </x:c>
    </x:row>
    <x:row r="360">
      <x:c r="A360" s="71" t="str">
        <x:v>MỨT VINA 1L XOÀI</x:v>
      </x:c>
      <x:c r="B360" s="30" t="str">
        <x:v>MỨT VINA 1L XOÀI - THÙNG</x:v>
      </x:c>
      <x:c r="C360" s="37" t="str">
        <x:v>STV1XO</x:v>
      </x:c>
      <x:c r="D360" s="37" t="str">
        <x:v>STV1XOT</x:v>
      </x:c>
      <x:c r="E360" s="37" t="str">
        <x:v>STV1XOT</x:v>
      </x:c>
      <x:c r="F360" s="37" t="n">
        <x:v>12</x:v>
      </x:c>
      <x:c r="G360" s="37" t="n">
        <x:v>16000</x:v>
      </x:c>
      <x:c r="H360" s="37" t="str">
        <x:v>g</x:v>
      </x:c>
      <x:c r="I360" s="37" t="str">
        <x:v>THÙNG</x:v>
      </x:c>
      <x:c r="J360" s="59" t="n">
        <x:v>0</x:v>
      </x:c>
      <x:c r="K360" s="59" t="n">
        <x:v>0</x:v>
      </x:c>
      <x:c r="L360" s="59" t="n">
        <x:v>0</x:v>
      </x:c>
      <x:c r="M360" s="37" t="str">
        <x:v>Sinh tố / mứt</x:v>
      </x:c>
      <x:c r="N360" s="37" t="str">
        <x:v>CẦN DUYỆT</x:v>
      </x:c>
      <x:c r="O360" s="61" t="n">
        <x:v>0.685</x:v>
      </x:c>
      <x:c r="P360" s="37" t="n">
        <x:v>52</x:v>
      </x:c>
      <x:c r="Q360" s="30" t="str">
        <x:v>SINH TỐ VINA ỔI</x:v>
      </x:c>
      <x:c r="R360" s="30" t="str">
        <x:v>THÙNG 12 CHAI</x:v>
      </x:c>
      <x:c r="S360" s="30" t="str">
        <x:v>CHAI</x:v>
      </x:c>
      <x:c r="T360" s="37" t="str">
        <x:v>ĐƠN VỊ</x:v>
      </x:c>
      <x:c r="U360" s="59" t="n">
        <x:v>70000</x:v>
      </x:c>
      <x:c r="V360" s="59" t="n">
        <x:v>68000</x:v>
      </x:c>
      <x:c r="W360" s="117" t="n">
        <x:v>72000</x:v>
      </x:c>
      <x:c r="X360" s="59" t="str">
        <x:f>IFERROR(IF(OR($N360="ĐÃ GHÉP - AUTO",$N360="ĐÃ GHÉP - QUY TẮC"),IF($V360="","",IF($T360="THÙNG",$V360/$F360,$V360)),""),"")</x:f>
      </x:c>
      <x:c r="Y360" s="117" t="n">
        <x:f>IF(OR(W360="",F360=""),"",W360*F360)</x:f>
        <x:v>864000</x:v>
      </x:c>
      <x:c r="Z360" s="59" t="str">
        <x:f>IFERROR(IF(OR($N360="ĐÃ GHÉP - AUTO",$N360="ĐÃ GHÉP - QUY TẮC"),IF($V360="","",IF($T360="THÙNG",$V360,$V360*$F360)),""),"")</x:f>
      </x:c>
      <x:c r="AA360" s="28" t="str">
        <x:f>IFERROR(IF(OR($K360="",$K360=0,$Y360=""),"",($Y360-$K360)/$K360),"")</x:f>
      </x:c>
      <x:c r="AB360" s="37" t="str">
        <x:f>IFERROR(IF($N360="CẦN DUYỆT","DUYỆT MAP",IF($N360="CHƯA CÓ GIÁ LẺ","THIẾU GIÁ",IF(OR($K360="",$K360=0,$Y360=""),"OK",IF(ABS(($Y360-$K360)/$K360)&gt;0.15,"LỆCH GIÁ CŨ","OK")))),"OK")</x:f>
        <x:v>DUYỆT MAP</x:v>
      </x:c>
      <x:c r="AC360" s="30" t="str">
        <x:v>score=0.685; gap=0.021; phương án 2=SINH TỐ VINA VẢI</x:v>
      </x:c>
      <x:c r="AD360" s="37" t="str">
        <x:v>STV1XO</x:v>
      </x:c>
      <x:c r="AE360" s="38" t="str">
        <x:v>STV1XOT</x:v>
      </x:c>
      <x:c r="AF360" s="123" t="n">
        <x:v>1300</x:v>
      </x:c>
      <x:c r="AG360" s="112" t="str">
        <x:v>g</x:v>
      </x:c>
      <x:c r="AH360" s="112" t="str">
        <x:v>CHAI</x:v>
      </x:c>
      <x:c r="AI360" s="112" t="str">
        <x:v>1300 g / CHAI</x:v>
      </x:c>
      <x:c r="AJ360" s="120" t="n">
        <x:v>72000</x:v>
      </x:c>
      <x:c r="AK360" s="120"/>
      <x:c r="AL360" s="120" t="n">
        <x:v>72000</x:v>
      </x:c>
      <x:c r="AM360" s="112" t="str">
        <x:v>BỔ SUNG GIÁ</x:v>
      </x:c>
      <x:c r="AN360" s="126" t="n">
        <x:v>785</x:v>
      </x:c>
      <x:c r="AO360" s="126" t="n">
        <x:v>786</x:v>
      </x:c>
      <x:c r="AP360" s="113" t="str">
        <x:v>12 CHAI / THÙNG</x:v>
      </x:c>
    </x:row>
    <x:row r="361">
      <x:c r="A361" s="71" t="str">
        <x:v>MỨT GOLD XOÀI</x:v>
      </x:c>
      <x:c r="B361" s="30" t="str">
        <x:v>MỨT GOLD XOÀI - THÙNG</x:v>
      </x:c>
      <x:c r="C361" s="37" t="str">
        <x:v>STGXOA</x:v>
      </x:c>
      <x:c r="D361" s="37" t="str">
        <x:v>STGXOAT</x:v>
      </x:c>
      <x:c r="E361" s="37" t="str">
        <x:v>STGXOAT</x:v>
      </x:c>
      <x:c r="F361" s="37" t="n">
        <x:v>12</x:v>
      </x:c>
      <x:c r="G361" s="37" t="n">
        <x:v>16000</x:v>
      </x:c>
      <x:c r="H361" s="37" t="str">
        <x:v>g</x:v>
      </x:c>
      <x:c r="I361" s="37" t="str">
        <x:v>THÙNG</x:v>
      </x:c>
      <x:c r="J361" s="59" t="n">
        <x:v>1164000</x:v>
      </x:c>
      <x:c r="K361" s="59" t="n">
        <x:v>0</x:v>
      </x:c>
      <x:c r="L361" s="59" t="n">
        <x:v>0</x:v>
      </x:c>
      <x:c r="M361" s="37" t="str">
        <x:v>Sinh tố / mứt</x:v>
      </x:c>
      <x:c r="N361" s="37" t="str">
        <x:v>ĐÃ GHÉP - AUTO</x:v>
      </x:c>
      <x:c r="O361" s="61" t="n">
        <x:v>0.958</x:v>
      </x:c>
      <x:c r="P361" s="37" t="n">
        <x:v>39</x:v>
      </x:c>
      <x:c r="Q361" s="30" t="str">
        <x:v>Sinh Tố Gold Xoài</x:v>
      </x:c>
      <x:c r="R361" s="30" t="str">
        <x:v>Thùng12 chai</x:v>
      </x:c>
      <x:c r="S361" s="30" t="str">
        <x:v>Chai</x:v>
      </x:c>
      <x:c r="T361" s="37" t="str">
        <x:v>ĐƠN VỊ</x:v>
      </x:c>
      <x:c r="U361" s="59" t="n">
        <x:v>100000</x:v>
      </x:c>
      <x:c r="V361" s="59"/>
      <x:c r="W361" s="117" t="n">
        <x:v>100000</x:v>
      </x:c>
      <x:c r="X361" s="59" t="str">
        <x:f>IFERROR(IF(OR($N361="ĐÃ GHÉP - AUTO",$N361="ĐÃ GHÉP - QUY TẮC"),IF($V361="","",IF($T361="THÙNG",$V361/$F361,$V361)),""),"")</x:f>
      </x:c>
      <x:c r="Y361" s="117" t="n">
        <x:f>IF(OR(W361="",F361=""),"",W361*F361)</x:f>
        <x:v>1200000</x:v>
      </x:c>
      <x:c r="Z361" s="59" t="str">
        <x:f>IFERROR(IF(OR($N361="ĐÃ GHÉP - AUTO",$N361="ĐÃ GHÉP - QUY TẮC"),IF($V361="","",IF($T361="THÙNG",$V361,$V361*$F361)),""),"")</x:f>
      </x:c>
      <x:c r="AA361" s="28" t="str">
        <x:f>IFERROR(IF(OR($K361="",$K361=0,$Y361=""),"",($Y361-$K361)/$K361),"")</x:f>
      </x:c>
      <x:c r="AB361" s="37" t="str">
        <x:f>IFERROR(IF($N361="CẦN DUYỆT","DUYỆT MAP",IF($N361="CHƯA CÓ GIÁ LẺ","THIẾU GIÁ",IF(OR($K361="",$K361=0,$Y361=""),"OK",IF(ABS(($Y361-$K361)/$K361)&gt;0.15,"LỆCH GIÁ CŨ","OK")))),"OK")</x:f>
        <x:v>OK</x:v>
      </x:c>
      <x:c r="AC361" s="30" t="str">
        <x:v>score=0.958; gap=0.309</x:v>
      </x:c>
      <x:c r="AD361" s="37" t="str">
        <x:v>STGXOA</x:v>
      </x:c>
      <x:c r="AE361" s="38" t="str">
        <x:v>STGXOAT</x:v>
      </x:c>
      <x:c r="AF361" s="123" t="n">
        <x:v>1300</x:v>
      </x:c>
      <x:c r="AG361" s="112" t="str">
        <x:v>g</x:v>
      </x:c>
      <x:c r="AH361" s="112" t="str">
        <x:v>CHAI</x:v>
      </x:c>
      <x:c r="AI361" s="112" t="str">
        <x:v>1300 g / CHAI</x:v>
      </x:c>
      <x:c r="AJ361" s="120" t="n">
        <x:v>100000</x:v>
      </x:c>
      <x:c r="AK361" s="120" t="n">
        <x:v>100000</x:v>
      </x:c>
      <x:c r="AL361" s="120" t="n">
        <x:v>100000</x:v>
      </x:c>
      <x:c r="AM361" s="112" t="str">
        <x:v>GIỮ NGUYÊN - ĐÃ KHỚP</x:v>
      </x:c>
      <x:c r="AN361" s="126" t="n">
        <x:v>787</x:v>
      </x:c>
      <x:c r="AO361" s="126" t="n">
        <x:v>788</x:v>
      </x:c>
      <x:c r="AP361" s="113" t="str">
        <x:v>12 CHAI / THÙNG</x:v>
      </x:c>
    </x:row>
    <x:row r="362">
      <x:c r="A362" s="71" t="str">
        <x:v>MỨT VINA 650G VIỆT QUỐC</x:v>
      </x:c>
      <x:c r="B362" s="30" t="str">
        <x:v>MỨT VINA 650G VIỆT QUỐC - THÙNG</x:v>
      </x:c>
      <x:c r="C362" s="37" t="str">
        <x:v>STVHVQ</x:v>
      </x:c>
      <x:c r="D362" s="37" t="str">
        <x:v>STVHVQT</x:v>
      </x:c>
      <x:c r="E362" s="37" t="str">
        <x:v>STVHVQT</x:v>
      </x:c>
      <x:c r="F362" s="37" t="n">
        <x:v>24</x:v>
      </x:c>
      <x:c r="G362" s="37" t="n">
        <x:v>16000</x:v>
      </x:c>
      <x:c r="H362" s="37" t="str">
        <x:v>g</x:v>
      </x:c>
      <x:c r="I362" s="37" t="str">
        <x:v>THÙNG</x:v>
      </x:c>
      <x:c r="J362" s="59" t="n">
        <x:v>0</x:v>
      </x:c>
      <x:c r="K362" s="59" t="n">
        <x:v>0</x:v>
      </x:c>
      <x:c r="L362" s="59" t="n">
        <x:v>0</x:v>
      </x:c>
      <x:c r="M362" s="37" t="str">
        <x:v>Sinh tố / mứt</x:v>
      </x:c>
      <x:c r="N362" s="37" t="str">
        <x:v>ĐÃ GHÉP - AUTO</x:v>
      </x:c>
      <x:c r="O362" s="61" t="n">
        <x:v>0.964</x:v>
      </x:c>
      <x:c r="P362" s="37" t="n">
        <x:v>55</x:v>
      </x:c>
      <x:c r="Q362" s="30" t="str">
        <x:v>SINH TỐ VINA VIỆT QUỐC</x:v>
      </x:c>
      <x:c r="R362" s="30" t="str">
        <x:v>THÙNG 24 CHAI</x:v>
      </x:c>
      <x:c r="S362" s="30" t="str">
        <x:v>CHAI</x:v>
      </x:c>
      <x:c r="T362" s="37" t="str">
        <x:v>ĐƠN VỊ</x:v>
      </x:c>
      <x:c r="U362" s="59" t="n">
        <x:v>60000</x:v>
      </x:c>
      <x:c r="V362" s="59"/>
      <x:c r="W362" s="117" t="n">
        <x:v>65000</x:v>
      </x:c>
      <x:c r="X362" s="59" t="str">
        <x:f>IFERROR(IF(OR($N362="ĐÃ GHÉP - AUTO",$N362="ĐÃ GHÉP - QUY TẮC"),IF($V362="","",IF($T362="THÙNG",$V362/$F362,$V362)),""),"")</x:f>
      </x:c>
      <x:c r="Y362" s="117" t="n">
        <x:f>IF(OR(W362="",F362=""),"",W362*F362)</x:f>
        <x:v>1560000</x:v>
      </x:c>
      <x:c r="Z362" s="59" t="str">
        <x:f>IFERROR(IF(OR($N362="ĐÃ GHÉP - AUTO",$N362="ĐÃ GHÉP - QUY TẮC"),IF($V362="","",IF($T362="THÙNG",$V362,$V362*$F362)),""),"")</x:f>
      </x:c>
      <x:c r="AA362" s="28" t="str">
        <x:f>IFERROR(IF(OR($K362="",$K362=0,$Y362=""),"",($Y362-$K362)/$K362),"")</x:f>
      </x:c>
      <x:c r="AB362" s="37" t="str">
        <x:f>IFERROR(IF($N362="CẦN DUYỆT","DUYỆT MAP",IF($N362="CHƯA CÓ GIÁ LẺ","THIẾU GIÁ",IF(OR($K362="",$K362=0,$Y362=""),"OK",IF(ABS(($Y362-$K362)/$K362)&gt;0.15,"LỆCH GIÁ CŨ","OK")))),"OK")</x:f>
        <x:v>OK</x:v>
      </x:c>
      <x:c r="AC362" s="30" t="str">
        <x:v>score=0.964; gap=0.243</x:v>
      </x:c>
      <x:c r="AD362" s="37" t="str">
        <x:v>STVHVQ</x:v>
      </x:c>
      <x:c r="AE362" s="38" t="str">
        <x:v>STVHVQT</x:v>
      </x:c>
      <x:c r="AF362" s="123" t="n">
        <x:v>0</x:v>
      </x:c>
      <x:c r="AG362" s="112" t="str">
        <x:v>g</x:v>
      </x:c>
      <x:c r="AH362" s="112" t="str">
        <x:v>HỦ</x:v>
      </x:c>
      <x:c r="AI362" s="112" t="str">
        <x:v>0 g / HỦ</x:v>
      </x:c>
      <x:c r="AJ362" s="120" t="n">
        <x:v>65000</x:v>
      </x:c>
      <x:c r="AK362" s="120" t="n">
        <x:v>60000</x:v>
      </x:c>
      <x:c r="AL362" s="120" t="n">
        <x:v>65000</x:v>
      </x:c>
      <x:c r="AM362" s="112" t="str">
        <x:v>CẬP NHẬT GIÁ</x:v>
      </x:c>
      <x:c r="AN362" s="126" t="n">
        <x:v>789</x:v>
      </x:c>
      <x:c r="AO362" s="126" t="n">
        <x:v>790</x:v>
      </x:c>
      <x:c r="AP362" s="113" t="str">
        <x:v>24 HỦ / THÙNG</x:v>
      </x:c>
    </x:row>
    <x:row r="363">
      <x:c r="A363" s="71" t="str">
        <x:v>MỨT VINA 650G DÂU</x:v>
      </x:c>
      <x:c r="B363" s="30" t="str">
        <x:v>MỨT VINA 650G DÂU - THÙNG</x:v>
      </x:c>
      <x:c r="C363" s="37" t="str">
        <x:v>STVHDA</x:v>
      </x:c>
      <x:c r="D363" s="37" t="str">
        <x:v>STVHDAT</x:v>
      </x:c>
      <x:c r="E363" s="37" t="str">
        <x:v>STVHDAT</x:v>
      </x:c>
      <x:c r="F363" s="37" t="n">
        <x:v>24</x:v>
      </x:c>
      <x:c r="G363" s="37" t="n">
        <x:v>16000</x:v>
      </x:c>
      <x:c r="H363" s="37" t="str">
        <x:v>g</x:v>
      </x:c>
      <x:c r="I363" s="37" t="str">
        <x:v>THÙNG</x:v>
      </x:c>
      <x:c r="J363" s="59" t="n">
        <x:v>0</x:v>
      </x:c>
      <x:c r="K363" s="59" t="n">
        <x:v>0</x:v>
      </x:c>
      <x:c r="L363" s="59" t="n">
        <x:v>0</x:v>
      </x:c>
      <x:c r="M363" s="37" t="str">
        <x:v>Sinh tố / mứt</x:v>
      </x:c>
      <x:c r="N363" s="37" t="str">
        <x:v>ĐÃ GHÉP - AUTO</x:v>
      </x:c>
      <x:c r="O363" s="61" t="n">
        <x:v>0.964</x:v>
      </x:c>
      <x:c r="P363" s="37" t="n">
        <x:v>56</x:v>
      </x:c>
      <x:c r="Q363" s="30" t="str">
        <x:v>SINH TỐ VINA DÂU</x:v>
      </x:c>
      <x:c r="R363" s="30" t="str">
        <x:v>THÙNG 24 CHAI</x:v>
      </x:c>
      <x:c r="S363" s="30" t="str">
        <x:v>CHAI</x:v>
      </x:c>
      <x:c r="T363" s="37" t="str">
        <x:v>ĐƠN VỊ</x:v>
      </x:c>
      <x:c r="U363" s="59" t="n">
        <x:v>45000</x:v>
      </x:c>
      <x:c r="V363" s="59"/>
      <x:c r="W363" s="117" t="n">
        <x:v>45000</x:v>
      </x:c>
      <x:c r="X363" s="59" t="str">
        <x:f>IFERROR(IF(OR($N363="ĐÃ GHÉP - AUTO",$N363="ĐÃ GHÉP - QUY TẮC"),IF($V363="","",IF($T363="THÙNG",$V363/$F363,$V363)),""),"")</x:f>
      </x:c>
      <x:c r="Y363" s="117" t="n">
        <x:f>IF(OR(W363="",F363=""),"",W363*F363)</x:f>
        <x:v>1080000</x:v>
      </x:c>
      <x:c r="Z363" s="59" t="str">
        <x:f>IFERROR(IF(OR($N363="ĐÃ GHÉP - AUTO",$N363="ĐÃ GHÉP - QUY TẮC"),IF($V363="","",IF($T363="THÙNG",$V363,$V363*$F363)),""),"")</x:f>
      </x:c>
      <x:c r="AA363" s="28" t="str">
        <x:f>IFERROR(IF(OR($K363="",$K363=0,$Y363=""),"",($Y363-$K363)/$K363),"")</x:f>
      </x:c>
      <x:c r="AB363" s="37" t="str">
        <x:f>IFERROR(IF($N363="CẦN DUYỆT","DUYỆT MAP",IF($N363="CHƯA CÓ GIÁ LẺ","THIẾU GIÁ",IF(OR($K363="",$K363=0,$Y363=""),"OK",IF(ABS(($Y363-$K363)/$K363)&gt;0.15,"LỆCH GIÁ CŨ","OK")))),"OK")</x:f>
        <x:v>OK</x:v>
      </x:c>
      <x:c r="AC363" s="30" t="str">
        <x:v>score=0.964; gap=0.251</x:v>
      </x:c>
      <x:c r="AD363" s="37" t="str">
        <x:v>STVHDA</x:v>
      </x:c>
      <x:c r="AE363" s="38" t="str">
        <x:v>STVHDAT</x:v>
      </x:c>
      <x:c r="AF363" s="123" t="n">
        <x:v>0</x:v>
      </x:c>
      <x:c r="AG363" s="112" t="str">
        <x:v>g</x:v>
      </x:c>
      <x:c r="AH363" s="112" t="str">
        <x:v>HỦ</x:v>
      </x:c>
      <x:c r="AI363" s="112" t="str">
        <x:v>0 g / HỦ</x:v>
      </x:c>
      <x:c r="AJ363" s="120" t="n">
        <x:v>45000</x:v>
      </x:c>
      <x:c r="AK363" s="120" t="n">
        <x:v>45000</x:v>
      </x:c>
      <x:c r="AL363" s="120" t="n">
        <x:v>45000</x:v>
      </x:c>
      <x:c r="AM363" s="112" t="str">
        <x:v>GIỮ NGUYÊN - ĐÃ KHỚP</x:v>
      </x:c>
      <x:c r="AN363" s="126" t="n">
        <x:v>791</x:v>
      </x:c>
      <x:c r="AO363" s="126" t="n">
        <x:v>792</x:v>
      </x:c>
      <x:c r="AP363" s="113" t="str">
        <x:v>24 HỦ / THÙNG</x:v>
      </x:c>
    </x:row>
    <x:row r="364">
      <x:c r="A364" s="71" t="str">
        <x:v>MỨT VINA 650G ỔI</x:v>
      </x:c>
      <x:c r="B364" s="30" t="str">
        <x:v>MỨT VINA 650G ỔI - THÙNG</x:v>
      </x:c>
      <x:c r="C364" s="37" t="str">
        <x:v>STVHOI</x:v>
      </x:c>
      <x:c r="D364" s="37" t="str">
        <x:v>STVHOIT</x:v>
      </x:c>
      <x:c r="E364" s="37" t="str">
        <x:v>STVHOIT</x:v>
      </x:c>
      <x:c r="F364" s="37" t="n">
        <x:v>24</x:v>
      </x:c>
      <x:c r="G364" s="37" t="n">
        <x:v>16000</x:v>
      </x:c>
      <x:c r="H364" s="37" t="str">
        <x:v>g</x:v>
      </x:c>
      <x:c r="I364" s="37" t="str">
        <x:v>THÙNG</x:v>
      </x:c>
      <x:c r="J364" s="59" t="n">
        <x:v>0</x:v>
      </x:c>
      <x:c r="K364" s="59" t="n">
        <x:v>0</x:v>
      </x:c>
      <x:c r="L364" s="59" t="n">
        <x:v>0</x:v>
      </x:c>
      <x:c r="M364" s="37" t="str">
        <x:v>Sinh tố / mứt</x:v>
      </x:c>
      <x:c r="N364" s="37" t="str">
        <x:v>ĐÃ GHÉP - AUTO</x:v>
      </x:c>
      <x:c r="O364" s="61" t="n">
        <x:v>0.964</x:v>
      </x:c>
      <x:c r="P364" s="37" t="n">
        <x:v>57</x:v>
      </x:c>
      <x:c r="Q364" s="30" t="str">
        <x:v>SINH TỐ VINA ỔI</x:v>
      </x:c>
      <x:c r="R364" s="30" t="str">
        <x:v>THÙNG 24 CHAI</x:v>
      </x:c>
      <x:c r="S364" s="30" t="str">
        <x:v>CHAI</x:v>
      </x:c>
      <x:c r="T364" s="37" t="str">
        <x:v>ĐƠN VỊ</x:v>
      </x:c>
      <x:c r="U364" s="59" t="n">
        <x:v>45000</x:v>
      </x:c>
      <x:c r="V364" s="59"/>
      <x:c r="W364" s="117" t="n">
        <x:v>45000</x:v>
      </x:c>
      <x:c r="X364" s="59" t="str">
        <x:f>IFERROR(IF(OR($N364="ĐÃ GHÉP - AUTO",$N364="ĐÃ GHÉP - QUY TẮC"),IF($V364="","",IF($T364="THÙNG",$V364/$F364,$V364)),""),"")</x:f>
      </x:c>
      <x:c r="Y364" s="117" t="n">
        <x:f>IF(OR(W364="",F364=""),"",W364*F364)</x:f>
        <x:v>1080000</x:v>
      </x:c>
      <x:c r="Z364" s="59" t="str">
        <x:f>IFERROR(IF(OR($N364="ĐÃ GHÉP - AUTO",$N364="ĐÃ GHÉP - QUY TẮC"),IF($V364="","",IF($T364="THÙNG",$V364,$V364*$F364)),""),"")</x:f>
      </x:c>
      <x:c r="AA364" s="28" t="str">
        <x:f>IFERROR(IF(OR($K364="",$K364=0,$Y364=""),"",($Y364-$K364)/$K364),"")</x:f>
      </x:c>
      <x:c r="AB364" s="37" t="str">
        <x:f>IFERROR(IF($N364="CẦN DUYỆT","DUYỆT MAP",IF($N364="CHƯA CÓ GIÁ LẺ","THIẾU GIÁ",IF(OR($K364="",$K364=0,$Y364=""),"OK",IF(ABS(($Y364-$K364)/$K364)&gt;0.15,"LỆCH GIÁ CŨ","OK")))),"OK")</x:f>
        <x:v>OK</x:v>
      </x:c>
      <x:c r="AC364" s="30" t="str">
        <x:v>score=0.964; gap=0.252</x:v>
      </x:c>
      <x:c r="AD364" s="37" t="str">
        <x:v>STVHOI</x:v>
      </x:c>
      <x:c r="AE364" s="38" t="str">
        <x:v>STVHOIT</x:v>
      </x:c>
      <x:c r="AF364" s="123" t="n">
        <x:v>0</x:v>
      </x:c>
      <x:c r="AG364" s="112" t="str">
        <x:v>g</x:v>
      </x:c>
      <x:c r="AH364" s="112" t="str">
        <x:v>HỦ</x:v>
      </x:c>
      <x:c r="AI364" s="112" t="str">
        <x:v>0 g / HỦ</x:v>
      </x:c>
      <x:c r="AJ364" s="120" t="n">
        <x:v>45000</x:v>
      </x:c>
      <x:c r="AK364" s="120" t="n">
        <x:v>45000</x:v>
      </x:c>
      <x:c r="AL364" s="120" t="n">
        <x:v>45000</x:v>
      </x:c>
      <x:c r="AM364" s="112" t="str">
        <x:v>GIỮ NGUYÊN - ĐÃ KHỚP</x:v>
      </x:c>
      <x:c r="AN364" s="126" t="n">
        <x:v>793</x:v>
      </x:c>
      <x:c r="AO364" s="126" t="n">
        <x:v>794</x:v>
      </x:c>
      <x:c r="AP364" s="113" t="str">
        <x:v>24 HỦ / THÙNG</x:v>
      </x:c>
    </x:row>
    <x:row r="365">
      <x:c r="A365" s="71" t="str">
        <x:v>MỨT VINA 650G ĐÀO</x:v>
      </x:c>
      <x:c r="B365" s="30" t="str">
        <x:v>MỨT VINA 650G ĐÀO - THÙNG</x:v>
      </x:c>
      <x:c r="C365" s="37" t="str">
        <x:v>STVHDO</x:v>
      </x:c>
      <x:c r="D365" s="37" t="str">
        <x:v>STVHDOT</x:v>
      </x:c>
      <x:c r="E365" s="37" t="str">
        <x:v>STVHDOT</x:v>
      </x:c>
      <x:c r="F365" s="37" t="n">
        <x:v>24</x:v>
      </x:c>
      <x:c r="G365" s="37" t="n">
        <x:v>16000</x:v>
      </x:c>
      <x:c r="H365" s="37" t="str">
        <x:v>g</x:v>
      </x:c>
      <x:c r="I365" s="37" t="str">
        <x:v>THÙNG</x:v>
      </x:c>
      <x:c r="J365" s="59" t="n">
        <x:v>0</x:v>
      </x:c>
      <x:c r="K365" s="59" t="n">
        <x:v>0</x:v>
      </x:c>
      <x:c r="L365" s="59" t="n">
        <x:v>0</x:v>
      </x:c>
      <x:c r="M365" s="37" t="str">
        <x:v>Sinh tố / mứt</x:v>
      </x:c>
      <x:c r="N365" s="37" t="str">
        <x:v>ĐÃ GHÉP - AUTO</x:v>
      </x:c>
      <x:c r="O365" s="61" t="n">
        <x:v>0.964</x:v>
      </x:c>
      <x:c r="P365" s="37" t="n">
        <x:v>54</x:v>
      </x:c>
      <x:c r="Q365" s="30" t="str">
        <x:v>SINH TỐ VINA ĐÀO</x:v>
      </x:c>
      <x:c r="R365" s="30" t="str">
        <x:v>THÙNG 24 CHAI</x:v>
      </x:c>
      <x:c r="S365" s="30" t="str">
        <x:v>CHAI</x:v>
      </x:c>
      <x:c r="T365" s="37" t="str">
        <x:v>ĐƠN VỊ</x:v>
      </x:c>
      <x:c r="U365" s="59" t="n">
        <x:v>45000</x:v>
      </x:c>
      <x:c r="V365" s="59"/>
      <x:c r="W365" s="117" t="n">
        <x:v>45000</x:v>
      </x:c>
      <x:c r="X365" s="59" t="str">
        <x:f>IFERROR(IF(OR($N365="ĐÃ GHÉP - AUTO",$N365="ĐÃ GHÉP - QUY TẮC"),IF($V365="","",IF($T365="THÙNG",$V365/$F365,$V365)),""),"")</x:f>
      </x:c>
      <x:c r="Y365" s="117" t="n">
        <x:f>IF(OR(W365="",F365=""),"",W365*F365)</x:f>
        <x:v>1080000</x:v>
      </x:c>
      <x:c r="Z365" s="59" t="str">
        <x:f>IFERROR(IF(OR($N365="ĐÃ GHÉP - AUTO",$N365="ĐÃ GHÉP - QUY TẮC"),IF($V365="","",IF($T365="THÙNG",$V365,$V365*$F365)),""),"")</x:f>
      </x:c>
      <x:c r="AA365" s="28" t="str">
        <x:f>IFERROR(IF(OR($K365="",$K365=0,$Y365=""),"",($Y365-$K365)/$K365),"")</x:f>
      </x:c>
      <x:c r="AB365" s="37" t="str">
        <x:f>IFERROR(IF($N365="CẦN DUYỆT","DUYỆT MAP",IF($N365="CHƯA CÓ GIÁ LẺ","THIẾU GIÁ",IF(OR($K365="",$K365=0,$Y365=""),"OK",IF(ABS(($Y365-$K365)/$K365)&gt;0.15,"LỆCH GIÁ CŨ","OK")))),"OK")</x:f>
        <x:v>OK</x:v>
      </x:c>
      <x:c r="AC365" s="30" t="str">
        <x:v>score=0.964; gap=0.236</x:v>
      </x:c>
      <x:c r="AD365" s="37" t="str">
        <x:v>STVHDO</x:v>
      </x:c>
      <x:c r="AE365" s="38" t="str">
        <x:v>STVHDOT</x:v>
      </x:c>
      <x:c r="AF365" s="123" t="n">
        <x:v>0</x:v>
      </x:c>
      <x:c r="AG365" s="112" t="str">
        <x:v>g</x:v>
      </x:c>
      <x:c r="AH365" s="112" t="str">
        <x:v>HỦ</x:v>
      </x:c>
      <x:c r="AI365" s="112" t="str">
        <x:v>0 g / HỦ</x:v>
      </x:c>
      <x:c r="AJ365" s="120" t="n">
        <x:v>45000</x:v>
      </x:c>
      <x:c r="AK365" s="120" t="n">
        <x:v>45000</x:v>
      </x:c>
      <x:c r="AL365" s="120" t="n">
        <x:v>45000</x:v>
      </x:c>
      <x:c r="AM365" s="112" t="str">
        <x:v>GIỮ NGUYÊN - ĐÃ KHỚP</x:v>
      </x:c>
      <x:c r="AN365" s="126" t="n">
        <x:v>795</x:v>
      </x:c>
      <x:c r="AO365" s="126" t="n">
        <x:v>796</x:v>
      </x:c>
      <x:c r="AP365" s="113" t="str">
        <x:v>24 HỦ / THÙNG</x:v>
      </x:c>
    </x:row>
    <x:row r="366">
      <x:c r="A366" s="71" t="str">
        <x:v>MỨT VINA 1L VIỆT QUỐC</x:v>
      </x:c>
      <x:c r="B366" s="30" t="str">
        <x:v>MỨT VINA 1L VIỆT QUỐC - THÙNG</x:v>
      </x:c>
      <x:c r="C366" s="37" t="str">
        <x:v>STV1VQ</x:v>
      </x:c>
      <x:c r="D366" s="37" t="str">
        <x:v>STV1VQT</x:v>
      </x:c>
      <x:c r="E366" s="37" t="str">
        <x:v>STV1VQT</x:v>
      </x:c>
      <x:c r="F366" s="37" t="n">
        <x:v>12</x:v>
      </x:c>
      <x:c r="G366" s="37" t="n">
        <x:v>16000</x:v>
      </x:c>
      <x:c r="H366" s="37" t="str">
        <x:v>g</x:v>
      </x:c>
      <x:c r="I366" s="37" t="str">
        <x:v>THÙNG</x:v>
      </x:c>
      <x:c r="J366" s="59" t="n">
        <x:v>0</x:v>
      </x:c>
      <x:c r="K366" s="59" t="n">
        <x:v>0</x:v>
      </x:c>
      <x:c r="L366" s="59" t="n">
        <x:v>0</x:v>
      </x:c>
      <x:c r="M366" s="37" t="str">
        <x:v>Sinh tố / mứt</x:v>
      </x:c>
      <x:c r="N366" s="37" t="str">
        <x:v>ĐÃ GHÉP - AUTO</x:v>
      </x:c>
      <x:c r="O366" s="61" t="n">
        <x:v>0.964</x:v>
      </x:c>
      <x:c r="P366" s="37" t="n">
        <x:v>47</x:v>
      </x:c>
      <x:c r="Q366" s="30" t="str">
        <x:v>SINH TỐ VINA VIỆT QUỐC</x:v>
      </x:c>
      <x:c r="R366" s="30" t="str">
        <x:v>THÙNG 12 CHAI</x:v>
      </x:c>
      <x:c r="S366" s="30" t="str">
        <x:v>CHAI</x:v>
      </x:c>
      <x:c r="T366" s="37" t="str">
        <x:v>ĐƠN VỊ</x:v>
      </x:c>
      <x:c r="U366" s="59" t="n">
        <x:v>98000</x:v>
      </x:c>
      <x:c r="V366" s="59" t="n">
        <x:v>96000</x:v>
      </x:c>
      <x:c r="W366" s="117" t="n">
        <x:v>98000</x:v>
      </x:c>
      <x:c r="X366" s="59" t="n">
        <x:f>IFERROR(IF(OR($N366="ĐÃ GHÉP - AUTO",$N366="ĐÃ GHÉP - QUY TẮC"),IF($V366="","",IF($T366="THÙNG",$V366/$F366,$V366)),""),"")</x:f>
        <x:v>96000</x:v>
      </x:c>
      <x:c r="Y366" s="117" t="n">
        <x:f>IF(OR(W366="",F366=""),"",W366*F366)</x:f>
        <x:v>1176000</x:v>
      </x:c>
      <x:c r="Z366" s="59" t="n">
        <x:f>IFERROR(IF(OR($N366="ĐÃ GHÉP - AUTO",$N366="ĐÃ GHÉP - QUY TẮC"),IF($V366="","",IF($T366="THÙNG",$V366,$V366*$F366)),""),"")</x:f>
        <x:v>1152000</x:v>
      </x:c>
      <x:c r="AA366" s="28" t="str">
        <x:f>IFERROR(IF(OR($K366="",$K366=0,$Y366=""),"",($Y366-$K366)/$K366),"")</x:f>
      </x:c>
      <x:c r="AB366" s="37" t="str">
        <x:f>IFERROR(IF($N366="CẦN DUYỆT","DUYỆT MAP",IF($N366="CHƯA CÓ GIÁ LẺ","THIẾU GIÁ",IF(OR($K366="",$K366=0,$Y366=""),"OK",IF(ABS(($Y366-$K366)/$K366)&gt;0.15,"LỆCH GIÁ CŨ","OK")))),"OK")</x:f>
        <x:v>OK</x:v>
      </x:c>
      <x:c r="AC366" s="30" t="str">
        <x:v>score=0.964; gap=0.239</x:v>
      </x:c>
      <x:c r="AD366" s="37" t="str">
        <x:v>STV1VQ</x:v>
      </x:c>
      <x:c r="AE366" s="38" t="str">
        <x:v>STV1VQT</x:v>
      </x:c>
      <x:c r="AF366" s="123" t="n">
        <x:v>1300</x:v>
      </x:c>
      <x:c r="AG366" s="112" t="str">
        <x:v>g</x:v>
      </x:c>
      <x:c r="AH366" s="112" t="str">
        <x:v>CHAI</x:v>
      </x:c>
      <x:c r="AI366" s="112" t="str">
        <x:v>1300 g / CHAI</x:v>
      </x:c>
      <x:c r="AJ366" s="120" t="n">
        <x:v>98000</x:v>
      </x:c>
      <x:c r="AK366" s="120" t="n">
        <x:v>98000</x:v>
      </x:c>
      <x:c r="AL366" s="120" t="n">
        <x:v>98000</x:v>
      </x:c>
      <x:c r="AM366" s="112" t="str">
        <x:v>GIỮ NGUYÊN - ĐÃ KHỚP</x:v>
      </x:c>
      <x:c r="AN366" s="126" t="n">
        <x:v>797</x:v>
      </x:c>
      <x:c r="AO366" s="126" t="n">
        <x:v>798</x:v>
      </x:c>
      <x:c r="AP366" s="113" t="str">
        <x:v>12 CHAI / THÙNG</x:v>
      </x:c>
    </x:row>
    <x:row r="367">
      <x:c r="A367" s="71" t="str">
        <x:v>MỨT GOLD VIỆT QUỐC</x:v>
      </x:c>
      <x:c r="B367" s="30" t="str">
        <x:v>MỨT GOLD VIỆT QUỐC - THÙNG</x:v>
      </x:c>
      <x:c r="C367" s="37" t="str">
        <x:v>STGVQU</x:v>
      </x:c>
      <x:c r="D367" s="37" t="str">
        <x:v>STGVQUT</x:v>
      </x:c>
      <x:c r="E367" s="37" t="str">
        <x:v>STGVQUT</x:v>
      </x:c>
      <x:c r="F367" s="37" t="n">
        <x:v>12</x:v>
      </x:c>
      <x:c r="G367" s="37" t="n">
        <x:v>16000</x:v>
      </x:c>
      <x:c r="H367" s="37" t="str">
        <x:v>g</x:v>
      </x:c>
      <x:c r="I367" s="37" t="str">
        <x:v>THÙNG</x:v>
      </x:c>
      <x:c r="J367" s="59" t="n">
        <x:v>1455000</x:v>
      </x:c>
      <x:c r="K367" s="59" t="n">
        <x:v>0</x:v>
      </x:c>
      <x:c r="L367" s="59" t="n">
        <x:v>0</x:v>
      </x:c>
      <x:c r="M367" s="37" t="str">
        <x:v>Sinh tố / mứt</x:v>
      </x:c>
      <x:c r="N367" s="37" t="str">
        <x:v>ĐÃ GHÉP - AUTO</x:v>
      </x:c>
      <x:c r="O367" s="61" t="n">
        <x:v>0.964</x:v>
      </x:c>
      <x:c r="P367" s="37" t="n">
        <x:v>35</x:v>
      </x:c>
      <x:c r="Q367" s="30" t="str">
        <x:v>Sinh Tố Gold Việt Quốc</x:v>
      </x:c>
      <x:c r="R367" s="30" t="str">
        <x:v>Thùng12 chai</x:v>
      </x:c>
      <x:c r="S367" s="30" t="str">
        <x:v>Chai</x:v>
      </x:c>
      <x:c r="T367" s="37" t="str">
        <x:v>ĐƠN VỊ</x:v>
      </x:c>
      <x:c r="U367" s="59" t="n">
        <x:v>125000</x:v>
      </x:c>
      <x:c r="V367" s="59"/>
      <x:c r="W367" s="117" t="n">
        <x:v>125000</x:v>
      </x:c>
      <x:c r="X367" s="59" t="str">
        <x:f>IFERROR(IF(OR($N367="ĐÃ GHÉP - AUTO",$N367="ĐÃ GHÉP - QUY TẮC"),IF($V367="","",IF($T367="THÙNG",$V367/$F367,$V367)),""),"")</x:f>
      </x:c>
      <x:c r="Y367" s="117" t="n">
        <x:f>IF(OR(W367="",F367=""),"",W367*F367)</x:f>
        <x:v>1500000</x:v>
      </x:c>
      <x:c r="Z367" s="59" t="str">
        <x:f>IFERROR(IF(OR($N367="ĐÃ GHÉP - AUTO",$N367="ĐÃ GHÉP - QUY TẮC"),IF($V367="","",IF($T367="THÙNG",$V367,$V367*$F367)),""),"")</x:f>
      </x:c>
      <x:c r="AA367" s="28" t="str">
        <x:f>IFERROR(IF(OR($K367="",$K367=0,$Y367=""),"",($Y367-$K367)/$K367),"")</x:f>
      </x:c>
      <x:c r="AB367" s="37" t="str">
        <x:f>IFERROR(IF($N367="CẦN DUYỆT","DUYỆT MAP",IF($N367="CHƯA CÓ GIÁ LẺ","THIẾU GIÁ",IF(OR($K367="",$K367=0,$Y367=""),"OK",IF(ABS(($Y367-$K367)/$K367)&gt;0.15,"LỆCH GIÁ CŨ","OK")))),"OK")</x:f>
        <x:v>OK</x:v>
      </x:c>
      <x:c r="AC367" s="30" t="str">
        <x:v>score=0.964; gap=0.211</x:v>
      </x:c>
      <x:c r="AD367" s="37" t="str">
        <x:v>STGVQU</x:v>
      </x:c>
      <x:c r="AE367" s="38" t="str">
        <x:v>STGVQUT</x:v>
      </x:c>
      <x:c r="AF367" s="123" t="n">
        <x:v>1300</x:v>
      </x:c>
      <x:c r="AG367" s="112" t="str">
        <x:v>g</x:v>
      </x:c>
      <x:c r="AH367" s="112" t="str">
        <x:v>CHAI</x:v>
      </x:c>
      <x:c r="AI367" s="112" t="str">
        <x:v>1300 g / CHAI</x:v>
      </x:c>
      <x:c r="AJ367" s="120" t="n">
        <x:v>125000</x:v>
      </x:c>
      <x:c r="AK367" s="120" t="n">
        <x:v>125000</x:v>
      </x:c>
      <x:c r="AL367" s="120" t="n">
        <x:v>125000</x:v>
      </x:c>
      <x:c r="AM367" s="112" t="str">
        <x:v>GIỮ NGUYÊN - ĐÃ KHỚP</x:v>
      </x:c>
      <x:c r="AN367" s="126" t="n">
        <x:v>799</x:v>
      </x:c>
      <x:c r="AO367" s="126" t="n">
        <x:v>800</x:v>
      </x:c>
      <x:c r="AP367" s="113" t="str">
        <x:v>12 CHAI / THÙNG</x:v>
      </x:c>
    </x:row>
    <x:row r="368">
      <x:c r="A368" s="71" t="str">
        <x:v>MỨT ICEHOT VIỆT QUẤT</x:v>
      </x:c>
      <x:c r="B368" s="30" t="str">
        <x:v>MỨT ICEHOT VIỆT QUẤT - THÙNG</x:v>
      </x:c>
      <x:c r="C368" s="37" t="str">
        <x:v>MVQUIH</x:v>
      </x:c>
      <x:c r="D368" s="37" t="str">
        <x:v>MVQUIHT</x:v>
      </x:c>
      <x:c r="E368" s="37" t="str">
        <x:v>MVQUIHT</x:v>
      </x:c>
      <x:c r="F368" s="37" t="n">
        <x:v>8</x:v>
      </x:c>
      <x:c r="G368" s="37" t="n">
        <x:v>9000</x:v>
      </x:c>
      <x:c r="H368" s="37" t="str">
        <x:v>g</x:v>
      </x:c>
      <x:c r="I368" s="37" t="str">
        <x:v>THÙNG</x:v>
      </x:c>
      <x:c r="J368" s="59" t="n">
        <x:v>0</x:v>
      </x:c>
      <x:c r="K368" s="59" t="n">
        <x:v>0</x:v>
      </x:c>
      <x:c r="L368" s="59" t="n">
        <x:v>0</x:v>
      </x:c>
      <x:c r="M368" s="37" t="str">
        <x:v>Khác</x:v>
      </x:c>
      <x:c r="N368" s="37" t="str">
        <x:v>CHƯA CÓ GIÁ LẺ</x:v>
      </x:c>
      <x:c r="O368" s="61" t="n">
        <x:v>0.355</x:v>
      </x:c>
      <x:c r="P368" s="37"/>
      <x:c r="Q368" s="30"/>
      <x:c r="R368" s="30"/>
      <x:c r="S368" s="30"/>
      <x:c r="T368" s="37"/>
      <x:c r="U368" s="59"/>
      <x:c r="V368" s="59"/>
      <x:c r="W368" s="117" t="n">
        <x:v>90000</x:v>
      </x:c>
      <x:c r="X368" s="59" t="str">
        <x:f>IFERROR(IF(OR($N368="ĐÃ GHÉP - AUTO",$N368="ĐÃ GHÉP - QUY TẮC"),IF($V368="","",IF($T368="THÙNG",$V368/$F368,$V368)),""),"")</x:f>
      </x:c>
      <x:c r="Y368" s="117" t="n">
        <x:f>IF(OR(W368="",F368=""),"",W368*F368)</x:f>
        <x:v>720000</x:v>
      </x:c>
      <x:c r="Z368" s="59" t="str">
        <x:f>IFERROR(IF(OR($N368="ĐÃ GHÉP - AUTO",$N368="ĐÃ GHÉP - QUY TẮC"),IF($V368="","",IF($T368="THÙNG",$V368,$V368*$F368)),""),"")</x:f>
      </x:c>
      <x:c r="AA368" s="28" t="str">
        <x:f>IFERROR(IF(OR($K368="",$K368=0,$Y368=""),"",($Y368-$K368)/$K368),"")</x:f>
      </x:c>
      <x:c r="AB368" s="37" t="str">
        <x:f>IFERROR(IF($N368="CẦN DUYỆT","DUYỆT MAP",IF($N368="CHƯA CÓ GIÁ LẺ","THIẾU GIÁ",IF(OR($K368="",$K368=0,$Y368=""),"OK",IF(ABS(($Y368-$K368)/$K368)&gt;0.15,"LỆCH GIÁ CŨ","OK")))),"OK")</x:f>
        <x:v>THIẾU GIÁ</x:v>
      </x:c>
      <x:c r="AC368" s="30" t="str">
        <x:v>ứng viên gần nhất=Sinh Tố Berrino Việt Quốc; score=0.355</x:v>
      </x:c>
      <x:c r="AD368" s="37" t="str">
        <x:v>MVQUIH</x:v>
      </x:c>
      <x:c r="AE368" s="38" t="str">
        <x:v>MVQUIHT</x:v>
      </x:c>
      <x:c r="AF368" s="123" t="n">
        <x:v>0</x:v>
      </x:c>
      <x:c r="AG368" s="112" t="str">
        <x:v>g</x:v>
      </x:c>
      <x:c r="AH368" s="112" t="str">
        <x:v>BỊCH</x:v>
      </x:c>
      <x:c r="AI368" s="112" t="str">
        <x:v>0 g / BỊCH</x:v>
      </x:c>
      <x:c r="AJ368" s="120" t="n">
        <x:v>90000</x:v>
      </x:c>
      <x:c r="AK368" s="120"/>
      <x:c r="AL368" s="120" t="n">
        <x:v>90000</x:v>
      </x:c>
      <x:c r="AM368" s="112" t="str">
        <x:v>BỔ SUNG GIÁ</x:v>
      </x:c>
      <x:c r="AN368" s="126" t="n">
        <x:v>801</x:v>
      </x:c>
      <x:c r="AO368" s="126" t="n">
        <x:v>802</x:v>
      </x:c>
      <x:c r="AP368" s="113" t="str">
        <x:v>8 BỊCH / THÙNG</x:v>
      </x:c>
    </x:row>
    <x:row r="369">
      <x:c r="A369" s="71" t="str">
        <x:v>MỨT VINA 1L VẢI</x:v>
      </x:c>
      <x:c r="B369" s="30" t="str">
        <x:v>MỨT VINA 1L VẢI - THÙNG</x:v>
      </x:c>
      <x:c r="C369" s="37" t="str">
        <x:v>STV1VA</x:v>
      </x:c>
      <x:c r="D369" s="37" t="str">
        <x:v>STV1VAT</x:v>
      </x:c>
      <x:c r="E369" s="37" t="str">
        <x:v>STV1VAT</x:v>
      </x:c>
      <x:c r="F369" s="37" t="n">
        <x:v>12</x:v>
      </x:c>
      <x:c r="G369" s="37" t="n">
        <x:v>16000</x:v>
      </x:c>
      <x:c r="H369" s="37" t="str">
        <x:v>g</x:v>
      </x:c>
      <x:c r="I369" s="37" t="str">
        <x:v>THÙNG</x:v>
      </x:c>
      <x:c r="J369" s="59" t="n">
        <x:v>0</x:v>
      </x:c>
      <x:c r="K369" s="59" t="n">
        <x:v>0</x:v>
      </x:c>
      <x:c r="L369" s="59" t="n">
        <x:v>0</x:v>
      </x:c>
      <x:c r="M369" s="37" t="str">
        <x:v>Sinh tố / mứt</x:v>
      </x:c>
      <x:c r="N369" s="37" t="str">
        <x:v>ĐÃ GHÉP - AUTO</x:v>
      </x:c>
      <x:c r="O369" s="61" t="n">
        <x:v>0.964</x:v>
      </x:c>
      <x:c r="P369" s="37" t="n">
        <x:v>46</x:v>
      </x:c>
      <x:c r="Q369" s="30" t="str">
        <x:v>SINH TỐ VINA VẢI</x:v>
      </x:c>
      <x:c r="R369" s="30" t="str">
        <x:v>THÙNG 12 CHAI</x:v>
      </x:c>
      <x:c r="S369" s="30" t="str">
        <x:v>CHAI</x:v>
      </x:c>
      <x:c r="T369" s="37" t="str">
        <x:v>ĐƠN VỊ</x:v>
      </x:c>
      <x:c r="U369" s="59" t="n">
        <x:v>76000</x:v>
      </x:c>
      <x:c r="V369" s="59" t="n">
        <x:v>74000</x:v>
      </x:c>
      <x:c r="W369" s="117" t="n">
        <x:v>76000</x:v>
      </x:c>
      <x:c r="X369" s="59" t="n">
        <x:f>IFERROR(IF(OR($N369="ĐÃ GHÉP - AUTO",$N369="ĐÃ GHÉP - QUY TẮC"),IF($V369="","",IF($T369="THÙNG",$V369/$F369,$V369)),""),"")</x:f>
        <x:v>74000</x:v>
      </x:c>
      <x:c r="Y369" s="117" t="n">
        <x:f>IF(OR(W369="",F369=""),"",W369*F369)</x:f>
        <x:v>912000</x:v>
      </x:c>
      <x:c r="Z369" s="59" t="n">
        <x:f>IFERROR(IF(OR($N369="ĐÃ GHÉP - AUTO",$N369="ĐÃ GHÉP - QUY TẮC"),IF($V369="","",IF($T369="THÙNG",$V369,$V369*$F369)),""),"")</x:f>
        <x:v>888000</x:v>
      </x:c>
      <x:c r="AA369" s="28" t="str">
        <x:f>IFERROR(IF(OR($K369="",$K369=0,$Y369=""),"",($Y369-$K369)/$K369),"")</x:f>
      </x:c>
      <x:c r="AB369" s="37" t="str">
        <x:f>IFERROR(IF($N369="CẦN DUYỆT","DUYỆT MAP",IF($N369="CHƯA CÓ GIÁ LẺ","THIẾU GIÁ",IF(OR($K369="",$K369=0,$Y369=""),"OK",IF(ABS(($Y369-$K369)/$K369)&gt;0.15,"LỆCH GIÁ CŨ","OK")))),"OK")</x:f>
        <x:v>OK</x:v>
      </x:c>
      <x:c r="AC369" s="30" t="str">
        <x:v>score=0.964; gap=0.293</x:v>
      </x:c>
      <x:c r="AD369" s="37" t="str">
        <x:v>STV1VA</x:v>
      </x:c>
      <x:c r="AE369" s="38" t="str">
        <x:v>STV1VAT</x:v>
      </x:c>
      <x:c r="AF369" s="123" t="n">
        <x:v>1300</x:v>
      </x:c>
      <x:c r="AG369" s="112" t="str">
        <x:v>g</x:v>
      </x:c>
      <x:c r="AH369" s="112" t="str">
        <x:v>CHAI</x:v>
      </x:c>
      <x:c r="AI369" s="112" t="str">
        <x:v>1300 g / CHAI</x:v>
      </x:c>
      <x:c r="AJ369" s="120" t="n">
        <x:v>76000</x:v>
      </x:c>
      <x:c r="AK369" s="120" t="n">
        <x:v>76000</x:v>
      </x:c>
      <x:c r="AL369" s="120" t="n">
        <x:v>76000</x:v>
      </x:c>
      <x:c r="AM369" s="112" t="str">
        <x:v>GIỮ NGUYÊN - ĐÃ KHỚP</x:v>
      </x:c>
      <x:c r="AN369" s="126" t="n">
        <x:v>803</x:v>
      </x:c>
      <x:c r="AO369" s="126" t="n">
        <x:v>804</x:v>
      </x:c>
      <x:c r="AP369" s="113" t="str">
        <x:v>12 CHAI / THÙNG</x:v>
      </x:c>
    </x:row>
    <x:row r="370">
      <x:c r="A370" s="71" t="str">
        <x:v>MỨT GOLD VẢI</x:v>
      </x:c>
      <x:c r="B370" s="30" t="str">
        <x:v>MỨT GOLD VẢI - THÙNG</x:v>
      </x:c>
      <x:c r="C370" s="37" t="str">
        <x:v>STGVAI</x:v>
      </x:c>
      <x:c r="D370" s="37" t="str">
        <x:v>STGVAIT</x:v>
      </x:c>
      <x:c r="E370" s="37" t="str">
        <x:v>STGVAIT</x:v>
      </x:c>
      <x:c r="F370" s="37" t="n">
        <x:v>12</x:v>
      </x:c>
      <x:c r="G370" s="37" t="n">
        <x:v>16000</x:v>
      </x:c>
      <x:c r="H370" s="37" t="str">
        <x:v>g</x:v>
      </x:c>
      <x:c r="I370" s="37" t="str">
        <x:v>THÙNG</x:v>
      </x:c>
      <x:c r="J370" s="59" t="n">
        <x:v>1394000</x:v>
      </x:c>
      <x:c r="K370" s="59" t="n">
        <x:v>0</x:v>
      </x:c>
      <x:c r="L370" s="59" t="n">
        <x:v>0</x:v>
      </x:c>
      <x:c r="M370" s="37" t="str">
        <x:v>Sinh tố / mứt</x:v>
      </x:c>
      <x:c r="N370" s="37" t="str">
        <x:v>ĐÃ GHÉP - AUTO</x:v>
      </x:c>
      <x:c r="O370" s="61" t="n">
        <x:v>0.953</x:v>
      </x:c>
      <x:c r="P370" s="37" t="n">
        <x:v>43</x:v>
      </x:c>
      <x:c r="Q370" s="30" t="str">
        <x:v>Sinh  To vải glod</x:v>
      </x:c>
      <x:c r="R370" s="30" t="str">
        <x:v>Thung 12 chai</x:v>
      </x:c>
      <x:c r="S370" s="30" t="str">
        <x:v>chai</x:v>
      </x:c>
      <x:c r="T370" s="37" t="str">
        <x:v>ĐƠN VỊ</x:v>
      </x:c>
      <x:c r="U370" s="59" t="n">
        <x:v>122000</x:v>
      </x:c>
      <x:c r="V370" s="59"/>
      <x:c r="W370" s="117" t="n">
        <x:v>122000</x:v>
      </x:c>
      <x:c r="X370" s="59" t="str">
        <x:f>IFERROR(IF(OR($N370="ĐÃ GHÉP - AUTO",$N370="ĐÃ GHÉP - QUY TẮC"),IF($V370="","",IF($T370="THÙNG",$V370/$F370,$V370)),""),"")</x:f>
      </x:c>
      <x:c r="Y370" s="117" t="n">
        <x:f>IF(OR(W370="",F370=""),"",W370*F370)</x:f>
        <x:v>1464000</x:v>
      </x:c>
      <x:c r="Z370" s="59" t="str">
        <x:f>IFERROR(IF(OR($N370="ĐÃ GHÉP - AUTO",$N370="ĐÃ GHÉP - QUY TẮC"),IF($V370="","",IF($T370="THÙNG",$V370,$V370*$F370)),""),"")</x:f>
      </x:c>
      <x:c r="AA370" s="28" t="str">
        <x:f>IFERROR(IF(OR($K370="",$K370=0,$Y370=""),"",($Y370-$K370)/$K370),"")</x:f>
      </x:c>
      <x:c r="AB370" s="37" t="str">
        <x:f>IFERROR(IF($N370="CẦN DUYỆT","DUYỆT MAP",IF($N370="CHƯA CÓ GIÁ LẺ","THIẾU GIÁ",IF(OR($K370="",$K370=0,$Y370=""),"OK",IF(ABS(($Y370-$K370)/$K370)&gt;0.15,"LỆCH GIÁ CŨ","OK")))),"OK")</x:f>
        <x:v>OK</x:v>
      </x:c>
      <x:c r="AC370" s="30" t="str">
        <x:v>score=0.953; gap=0.322</x:v>
      </x:c>
      <x:c r="AD370" s="37" t="str">
        <x:v>STGVAI</x:v>
      </x:c>
      <x:c r="AE370" s="38" t="str">
        <x:v>STGVAIT</x:v>
      </x:c>
      <x:c r="AF370" s="123" t="n">
        <x:v>1300</x:v>
      </x:c>
      <x:c r="AG370" s="112" t="str">
        <x:v>g</x:v>
      </x:c>
      <x:c r="AH370" s="112" t="str">
        <x:v>CHAI</x:v>
      </x:c>
      <x:c r="AI370" s="112" t="str">
        <x:v>1300 g / CHAI</x:v>
      </x:c>
      <x:c r="AJ370" s="120" t="n">
        <x:v>122000</x:v>
      </x:c>
      <x:c r="AK370" s="120" t="n">
        <x:v>122000</x:v>
      </x:c>
      <x:c r="AL370" s="120" t="n">
        <x:v>122000</x:v>
      </x:c>
      <x:c r="AM370" s="112" t="str">
        <x:v>GIỮ NGUYÊN - ĐÃ KHỚP</x:v>
      </x:c>
      <x:c r="AN370" s="126" t="n">
        <x:v>805</x:v>
      </x:c>
      <x:c r="AO370" s="126" t="n">
        <x:v>806</x:v>
      </x:c>
      <x:c r="AP370" s="113" t="str">
        <x:v>12 CHAI / THÙNG</x:v>
      </x:c>
    </x:row>
    <x:row r="371">
      <x:c r="A371" s="71" t="str">
        <x:v>MỨT VINA 1L THƠM</x:v>
      </x:c>
      <x:c r="B371" s="30" t="str">
        <x:v>MỨT VINA 1L THƠM - THÙNG</x:v>
      </x:c>
      <x:c r="C371" s="37" t="str">
        <x:v>STV1TH</x:v>
      </x:c>
      <x:c r="D371" s="37" t="str">
        <x:v>STV1THT</x:v>
      </x:c>
      <x:c r="E371" s="37" t="str">
        <x:v>STV1THT</x:v>
      </x:c>
      <x:c r="F371" s="37" t="n">
        <x:v>12</x:v>
      </x:c>
      <x:c r="G371" s="37" t="n">
        <x:v>16000</x:v>
      </x:c>
      <x:c r="H371" s="37" t="str">
        <x:v>g</x:v>
      </x:c>
      <x:c r="I371" s="37" t="str">
        <x:v>THÙNG</x:v>
      </x:c>
      <x:c r="J371" s="59" t="n">
        <x:v>0</x:v>
      </x:c>
      <x:c r="K371" s="59" t="n">
        <x:v>0</x:v>
      </x:c>
      <x:c r="L371" s="59" t="n">
        <x:v>0</x:v>
      </x:c>
      <x:c r="M371" s="37" t="str">
        <x:v>Sinh tố / mứt</x:v>
      </x:c>
      <x:c r="N371" s="37" t="str">
        <x:v>CHƯA CÓ GIÁ LẺ</x:v>
      </x:c>
      <x:c r="O371" s="61" t="n">
        <x:v>0.655</x:v>
      </x:c>
      <x:c r="P371" s="37"/>
      <x:c r="Q371" s="30"/>
      <x:c r="R371" s="30"/>
      <x:c r="S371" s="30"/>
      <x:c r="T371" s="37"/>
      <x:c r="U371" s="59"/>
      <x:c r="V371" s="59"/>
      <x:c r="W371" s="117" t="n">
        <x:v>70000</x:v>
      </x:c>
      <x:c r="X371" s="59" t="str">
        <x:f>IFERROR(IF(OR($N371="ĐÃ GHÉP - AUTO",$N371="ĐÃ GHÉP - QUY TẮC"),IF($V371="","",IF($T371="THÙNG",$V371/$F371,$V371)),""),"")</x:f>
      </x:c>
      <x:c r="Y371" s="117" t="n">
        <x:f>IF(OR(W371="",F371=""),"",W371*F371)</x:f>
        <x:v>840000</x:v>
      </x:c>
      <x:c r="Z371" s="59" t="str">
        <x:f>IFERROR(IF(OR($N371="ĐÃ GHÉP - AUTO",$N371="ĐÃ GHÉP - QUY TẮC"),IF($V371="","",IF($T371="THÙNG",$V371,$V371*$F371)),""),"")</x:f>
      </x:c>
      <x:c r="AA371" s="28" t="str">
        <x:f>IFERROR(IF(OR($K371="",$K371=0,$Y371=""),"",($Y371-$K371)/$K371),"")</x:f>
      </x:c>
      <x:c r="AB371" s="37" t="str">
        <x:f>IFERROR(IF($N371="CẦN DUYỆT","DUYỆT MAP",IF($N371="CHƯA CÓ GIÁ LẺ","THIẾU GIÁ",IF(OR($K371="",$K371=0,$Y371=""),"OK",IF(ABS(($Y371-$K371)/$K371)&gt;0.15,"LỆCH GIÁ CŨ","OK")))),"OK")</x:f>
        <x:v>THIẾU GIÁ</x:v>
      </x:c>
      <x:c r="AC371" s="30" t="str">
        <x:v>ứng viên gần nhất=SINH TỐ VINA ỔI; score=0.655</x:v>
      </x:c>
      <x:c r="AD371" s="37" t="str">
        <x:v>STV1TH</x:v>
      </x:c>
      <x:c r="AE371" s="38" t="str">
        <x:v>STV1THT</x:v>
      </x:c>
      <x:c r="AF371" s="123" t="n">
        <x:v>1300</x:v>
      </x:c>
      <x:c r="AG371" s="112" t="str">
        <x:v>g</x:v>
      </x:c>
      <x:c r="AH371" s="112" t="str">
        <x:v>CHAI</x:v>
      </x:c>
      <x:c r="AI371" s="112" t="str">
        <x:v>1300 g / CHAI</x:v>
      </x:c>
      <x:c r="AJ371" s="120" t="n">
        <x:v>70000</x:v>
      </x:c>
      <x:c r="AK371" s="120"/>
      <x:c r="AL371" s="120" t="n">
        <x:v>70000</x:v>
      </x:c>
      <x:c r="AM371" s="112" t="str">
        <x:v>BỔ SUNG GIÁ</x:v>
      </x:c>
      <x:c r="AN371" s="126" t="n">
        <x:v>807</x:v>
      </x:c>
      <x:c r="AO371" s="126" t="n">
        <x:v>808</x:v>
      </x:c>
      <x:c r="AP371" s="113" t="str">
        <x:v>12 CHAI / THÙNG</x:v>
      </x:c>
    </x:row>
    <x:row r="372">
      <x:c r="A372" s="71" t="str">
        <x:v>MỨT GOLD THƠM</x:v>
      </x:c>
      <x:c r="B372" s="30" t="str">
        <x:v>MỨT GOLD THƠM - THÙNG</x:v>
      </x:c>
      <x:c r="C372" s="37" t="str">
        <x:v>STGTHM</x:v>
      </x:c>
      <x:c r="D372" s="37" t="str">
        <x:v>STGTHMT</x:v>
      </x:c>
      <x:c r="E372" s="37" t="str">
        <x:v>STGTHMT</x:v>
      </x:c>
      <x:c r="F372" s="37" t="n">
        <x:v>12</x:v>
      </x:c>
      <x:c r="G372" s="37" t="n">
        <x:v>16000</x:v>
      </x:c>
      <x:c r="H372" s="37" t="str">
        <x:v>g</x:v>
      </x:c>
      <x:c r="I372" s="37" t="str">
        <x:v>THÙNG</x:v>
      </x:c>
      <x:c r="J372" s="59" t="n">
        <x:v>1213000</x:v>
      </x:c>
      <x:c r="K372" s="59" t="n">
        <x:v>0</x:v>
      </x:c>
      <x:c r="L372" s="59" t="n">
        <x:v>0</x:v>
      </x:c>
      <x:c r="M372" s="37" t="str">
        <x:v>Sinh tố / mứt</x:v>
      </x:c>
      <x:c r="N372" s="37" t="str">
        <x:v>CHƯA CÓ GIÁ LẺ</x:v>
      </x:c>
      <x:c r="O372" s="61" t="n">
        <x:v>0.656</x:v>
      </x:c>
      <x:c r="P372" s="37"/>
      <x:c r="Q372" s="30"/>
      <x:c r="R372" s="30"/>
      <x:c r="S372" s="30"/>
      <x:c r="T372" s="37"/>
      <x:c r="U372" s="59"/>
      <x:c r="V372" s="59"/>
      <x:c r="W372" s="117" t="n">
        <x:v>105000</x:v>
      </x:c>
      <x:c r="X372" s="59" t="str">
        <x:f>IFERROR(IF(OR($N372="ĐÃ GHÉP - AUTO",$N372="ĐÃ GHÉP - QUY TẮC"),IF($V372="","",IF($T372="THÙNG",$V372/$F372,$V372)),""),"")</x:f>
      </x:c>
      <x:c r="Y372" s="117" t="n">
        <x:f>IF(OR(W372="",F372=""),"",W372*F372)</x:f>
        <x:v>1260000</x:v>
      </x:c>
      <x:c r="Z372" s="59" t="str">
        <x:f>IFERROR(IF(OR($N372="ĐÃ GHÉP - AUTO",$N372="ĐÃ GHÉP - QUY TẮC"),IF($V372="","",IF($T372="THÙNG",$V372,$V372*$F372)),""),"")</x:f>
      </x:c>
      <x:c r="AA372" s="28" t="str">
        <x:f>IFERROR(IF(OR($K372="",$K372=0,$Y372=""),"",($Y372-$K372)/$K372),"")</x:f>
      </x:c>
      <x:c r="AB372" s="37" t="str">
        <x:f>IFERROR(IF($N372="CẦN DUYỆT","DUYỆT MAP",IF($N372="CHƯA CÓ GIÁ LẺ","THIẾU GIÁ",IF(OR($K372="",$K372=0,$Y372=""),"OK",IF(ABS(($Y372-$K372)/$K372)&gt;0.15,"LỆCH GIÁ CŨ","OK")))),"OK")</x:f>
        <x:v>THIẾU GIÁ</x:v>
      </x:c>
      <x:c r="AC372" s="30" t="str">
        <x:v>ứng viên gần nhất=Sinh Tô berino khom; score=0.656</x:v>
      </x:c>
      <x:c r="AD372" s="37" t="str">
        <x:v>STGTHM</x:v>
      </x:c>
      <x:c r="AE372" s="38" t="str">
        <x:v>STGTHMT</x:v>
      </x:c>
      <x:c r="AF372" s="123" t="n">
        <x:v>1300</x:v>
      </x:c>
      <x:c r="AG372" s="112" t="str">
        <x:v>g</x:v>
      </x:c>
      <x:c r="AH372" s="112" t="str">
        <x:v>CHAI</x:v>
      </x:c>
      <x:c r="AI372" s="112" t="str">
        <x:v>1300 g / CHAI</x:v>
      </x:c>
      <x:c r="AJ372" s="120" t="n">
        <x:v>105000</x:v>
      </x:c>
      <x:c r="AK372" s="120"/>
      <x:c r="AL372" s="120" t="n">
        <x:v>105000</x:v>
      </x:c>
      <x:c r="AM372" s="112" t="str">
        <x:v>BỔ SUNG GIÁ</x:v>
      </x:c>
      <x:c r="AN372" s="126" t="n">
        <x:v>809</x:v>
      </x:c>
      <x:c r="AO372" s="126" t="n">
        <x:v>810</x:v>
      </x:c>
      <x:c r="AP372" s="113" t="str">
        <x:v>12 CHAI / THÙNG</x:v>
      </x:c>
    </x:row>
    <x:row r="373">
      <x:c r="A373" s="71" t="str">
        <x:v>MỨT GOLD TÁO XANH</x:v>
      </x:c>
      <x:c r="B373" s="30" t="str">
        <x:v>MỨT GOLD TÁO XANH - THÙNG</x:v>
      </x:c>
      <x:c r="C373" s="37" t="str">
        <x:v>STGTAO</x:v>
      </x:c>
      <x:c r="D373" s="37" t="str">
        <x:v>STGTAOT</x:v>
      </x:c>
      <x:c r="E373" s="37" t="str">
        <x:v>STGTAOT</x:v>
      </x:c>
      <x:c r="F373" s="37" t="n">
        <x:v>12</x:v>
      </x:c>
      <x:c r="G373" s="37" t="n">
        <x:v>16000</x:v>
      </x:c>
      <x:c r="H373" s="37" t="str">
        <x:v>g</x:v>
      </x:c>
      <x:c r="I373" s="37" t="str">
        <x:v>THÙNG</x:v>
      </x:c>
      <x:c r="J373" s="59" t="n">
        <x:v>0</x:v>
      </x:c>
      <x:c r="K373" s="59" t="n">
        <x:v>0</x:v>
      </x:c>
      <x:c r="L373" s="59" t="n">
        <x:v>0</x:v>
      </x:c>
      <x:c r="M373" s="37" t="str">
        <x:v>Sinh tố / mứt</x:v>
      </x:c>
      <x:c r="N373" s="37" t="str">
        <x:v>CHƯA CÓ GIÁ LẺ</x:v>
      </x:c>
      <x:c r="O373" s="61" t="n">
        <x:v>0.514</x:v>
      </x:c>
      <x:c r="P373" s="37"/>
      <x:c r="Q373" s="30"/>
      <x:c r="R373" s="30"/>
      <x:c r="S373" s="30"/>
      <x:c r="T373" s="37"/>
      <x:c r="U373" s="59"/>
      <x:c r="V373" s="59"/>
      <x:c r="W373" s="117" t="n">
        <x:v>100000</x:v>
      </x:c>
      <x:c r="X373" s="59" t="str">
        <x:f>IFERROR(IF(OR($N373="ĐÃ GHÉP - AUTO",$N373="ĐÃ GHÉP - QUY TẮC"),IF($V373="","",IF($T373="THÙNG",$V373/$F373,$V373)),""),"")</x:f>
      </x:c>
      <x:c r="Y373" s="117" t="n">
        <x:f>IF(OR(W373="",F373=""),"",W373*F373)</x:f>
        <x:v>1200000</x:v>
      </x:c>
      <x:c r="Z373" s="59" t="str">
        <x:f>IFERROR(IF(OR($N373="ĐÃ GHÉP - AUTO",$N373="ĐÃ GHÉP - QUY TẮC"),IF($V373="","",IF($T373="THÙNG",$V373,$V373*$F373)),""),"")</x:f>
      </x:c>
      <x:c r="AA373" s="28" t="str">
        <x:f>IFERROR(IF(OR($K373="",$K373=0,$Y373=""),"",($Y373-$K373)/$K373),"")</x:f>
      </x:c>
      <x:c r="AB373" s="37" t="str">
        <x:f>IFERROR(IF($N373="CẦN DUYỆT","DUYỆT MAP",IF($N373="CHƯA CÓ GIÁ LẺ","THIẾU GIÁ",IF(OR($K373="",$K373=0,$Y373=""),"OK",IF(ABS(($Y373-$K373)/$K373)&gt;0.15,"LỆCH GIÁ CŨ","OK")))),"OK")</x:f>
        <x:v>THIẾU GIÁ</x:v>
      </x:c>
      <x:c r="AC373" s="30" t="str">
        <x:v>ứng viên gần nhất=Sinh Tố Gold ổi; score=0.514</x:v>
      </x:c>
      <x:c r="AD373" s="37" t="str">
        <x:v>STGTAO</x:v>
      </x:c>
      <x:c r="AE373" s="38" t="str">
        <x:v>STGTAOT</x:v>
      </x:c>
      <x:c r="AF373" s="123" t="n">
        <x:v>1300</x:v>
      </x:c>
      <x:c r="AG373" s="112" t="str">
        <x:v>g</x:v>
      </x:c>
      <x:c r="AH373" s="112" t="str">
        <x:v>CHAI</x:v>
      </x:c>
      <x:c r="AI373" s="112" t="str">
        <x:v>1300 g / CHAI</x:v>
      </x:c>
      <x:c r="AJ373" s="120" t="n">
        <x:v>100000</x:v>
      </x:c>
      <x:c r="AK373" s="120"/>
      <x:c r="AL373" s="120" t="n">
        <x:v>100000</x:v>
      </x:c>
      <x:c r="AM373" s="112" t="str">
        <x:v>BỔ SUNG GIÁ</x:v>
      </x:c>
      <x:c r="AN373" s="126" t="n">
        <x:v>811</x:v>
      </x:c>
      <x:c r="AO373" s="126" t="n">
        <x:v>812</x:v>
      </x:c>
      <x:c r="AP373" s="113" t="str">
        <x:v>12 CHAI / THÙNG</x:v>
      </x:c>
    </x:row>
    <x:row r="374">
      <x:c r="A374" s="71" t="str">
        <x:v>MỨT GOLD PHÚC BỒN TỬ</x:v>
      </x:c>
      <x:c r="B374" s="30" t="str">
        <x:v>MỨT GOLD PHÚC BỒN TỬ - THÙNG</x:v>
      </x:c>
      <x:c r="C374" s="37" t="str">
        <x:v>STGPBT</x:v>
      </x:c>
      <x:c r="D374" s="37" t="str">
        <x:v>STGPBTT</x:v>
      </x:c>
      <x:c r="E374" s="37" t="str">
        <x:v>STGPBTT</x:v>
      </x:c>
      <x:c r="F374" s="37" t="n">
        <x:v>12</x:v>
      </x:c>
      <x:c r="G374" s="37" t="n">
        <x:v>16000</x:v>
      </x:c>
      <x:c r="H374" s="37" t="str">
        <x:v>g</x:v>
      </x:c>
      <x:c r="I374" s="37" t="str">
        <x:v>THÙNG</x:v>
      </x:c>
      <x:c r="J374" s="59" t="n">
        <x:v>1398000</x:v>
      </x:c>
      <x:c r="K374" s="59" t="n">
        <x:v>0</x:v>
      </x:c>
      <x:c r="L374" s="59" t="n">
        <x:v>0</x:v>
      </x:c>
      <x:c r="M374" s="37" t="str">
        <x:v>Sinh tố / mứt</x:v>
      </x:c>
      <x:c r="N374" s="37" t="str">
        <x:v>ĐÃ GHÉP - AUTO</x:v>
      </x:c>
      <x:c r="O374" s="61" t="n">
        <x:v>0.964</x:v>
      </x:c>
      <x:c r="P374" s="37" t="n">
        <x:v>38</x:v>
      </x:c>
      <x:c r="Q374" s="30" t="str">
        <x:v>Sinh Tố Gold Phúc Bồn Tử</x:v>
      </x:c>
      <x:c r="R374" s="30" t="str">
        <x:v>Thùng12 chai</x:v>
      </x:c>
      <x:c r="S374" s="30" t="str">
        <x:v>Chai</x:v>
      </x:c>
      <x:c r="T374" s="37" t="str">
        <x:v>ĐƠN VỊ</x:v>
      </x:c>
      <x:c r="U374" s="59" t="n">
        <x:v>120000</x:v>
      </x:c>
      <x:c r="V374" s="59"/>
      <x:c r="W374" s="117" t="n">
        <x:v>120000</x:v>
      </x:c>
      <x:c r="X374" s="59" t="str">
        <x:f>IFERROR(IF(OR($N374="ĐÃ GHÉP - AUTO",$N374="ĐÃ GHÉP - QUY TẮC"),IF($V374="","",IF($T374="THÙNG",$V374/$F374,$V374)),""),"")</x:f>
      </x:c>
      <x:c r="Y374" s="117" t="n">
        <x:f>IF(OR(W374="",F374=""),"",W374*F374)</x:f>
        <x:v>1440000</x:v>
      </x:c>
      <x:c r="Z374" s="59" t="str">
        <x:f>IFERROR(IF(OR($N374="ĐÃ GHÉP - AUTO",$N374="ĐÃ GHÉP - QUY TẮC"),IF($V374="","",IF($T374="THÙNG",$V374,$V374*$F374)),""),"")</x:f>
      </x:c>
      <x:c r="AA374" s="28" t="str">
        <x:f>IFERROR(IF(OR($K374="",$K374=0,$Y374=""),"",($Y374-$K374)/$K374),"")</x:f>
      </x:c>
      <x:c r="AB374" s="37" t="str">
        <x:f>IFERROR(IF($N374="CẦN DUYỆT","DUYỆT MAP",IF($N374="CHƯA CÓ GIÁ LẺ","THIẾU GIÁ",IF(OR($K374="",$K374=0,$Y374=""),"OK",IF(ABS(($Y374-$K374)/$K374)&gt;0.15,"LỆCH GIÁ CŨ","OK")))),"OK")</x:f>
        <x:v>OK</x:v>
      </x:c>
      <x:c r="AC374" s="30" t="str">
        <x:v>score=0.964; gap=0.151</x:v>
      </x:c>
      <x:c r="AD374" s="37" t="str">
        <x:v>STGPBT</x:v>
      </x:c>
      <x:c r="AE374" s="38" t="str">
        <x:v>STGPBTT</x:v>
      </x:c>
      <x:c r="AF374" s="123" t="n">
        <x:v>0</x:v>
      </x:c>
      <x:c r="AG374" s="112" t="str">
        <x:v>g</x:v>
      </x:c>
      <x:c r="AH374" s="112" t="str">
        <x:v>CHAI</x:v>
      </x:c>
      <x:c r="AI374" s="112" t="str">
        <x:v>0 g / CHAI</x:v>
      </x:c>
      <x:c r="AJ374" s="120" t="n">
        <x:v>120000</x:v>
      </x:c>
      <x:c r="AK374" s="120" t="n">
        <x:v>120000</x:v>
      </x:c>
      <x:c r="AL374" s="120" t="n">
        <x:v>120000</x:v>
      </x:c>
      <x:c r="AM374" s="112" t="str">
        <x:v>GIỮ NGUYÊN - ĐÃ KHỚP</x:v>
      </x:c>
      <x:c r="AN374" s="126" t="n">
        <x:v>813</x:v>
      </x:c>
      <x:c r="AO374" s="126" t="n">
        <x:v>814</x:v>
      </x:c>
      <x:c r="AP374" s="113" t="str">
        <x:v>12 CHAI / THÙNG</x:v>
      </x:c>
    </x:row>
    <x:row r="375">
      <x:c r="A375" s="71" t="str">
        <x:v>MỨT VINA 1L ỔI</x:v>
      </x:c>
      <x:c r="B375" s="30" t="str">
        <x:v>MỨT VINA 1L ỔI  - THÙNG</x:v>
      </x:c>
      <x:c r="C375" s="37" t="str">
        <x:v>STV1OI</x:v>
      </x:c>
      <x:c r="D375" s="37" t="str">
        <x:v>STV1OIT</x:v>
      </x:c>
      <x:c r="E375" s="37" t="str">
        <x:v>STV1OIT</x:v>
      </x:c>
      <x:c r="F375" s="37" t="n">
        <x:v>12</x:v>
      </x:c>
      <x:c r="G375" s="37" t="n">
        <x:v>16000</x:v>
      </x:c>
      <x:c r="H375" s="37" t="str">
        <x:v>g</x:v>
      </x:c>
      <x:c r="I375" s="37" t="str">
        <x:v>THÙNG</x:v>
      </x:c>
      <x:c r="J375" s="59" t="n">
        <x:v>0</x:v>
      </x:c>
      <x:c r="K375" s="59" t="n">
        <x:v>0</x:v>
      </x:c>
      <x:c r="L375" s="59" t="n">
        <x:v>0</x:v>
      </x:c>
      <x:c r="M375" s="37" t="str">
        <x:v>Sinh tố / mứt</x:v>
      </x:c>
      <x:c r="N375" s="37" t="str">
        <x:v>ĐÃ GHÉP - AUTO</x:v>
      </x:c>
      <x:c r="O375" s="61" t="n">
        <x:v>0.953</x:v>
      </x:c>
      <x:c r="P375" s="37" t="n">
        <x:v>52</x:v>
      </x:c>
      <x:c r="Q375" s="30" t="str">
        <x:v>SINH TỐ VINA ỔI</x:v>
      </x:c>
      <x:c r="R375" s="30" t="str">
        <x:v>THÙNG 12 CHAI</x:v>
      </x:c>
      <x:c r="S375" s="30" t="str">
        <x:v>CHAI</x:v>
      </x:c>
      <x:c r="T375" s="37" t="str">
        <x:v>ĐƠN VỊ</x:v>
      </x:c>
      <x:c r="U375" s="59" t="n">
        <x:v>70000</x:v>
      </x:c>
      <x:c r="V375" s="59" t="n">
        <x:v>68000</x:v>
      </x:c>
      <x:c r="W375" s="117" t="n">
        <x:v>70000</x:v>
      </x:c>
      <x:c r="X375" s="59" t="n">
        <x:f>IFERROR(IF(OR($N375="ĐÃ GHÉP - AUTO",$N375="ĐÃ GHÉP - QUY TẮC"),IF($V375="","",IF($T375="THÙNG",$V375/$F375,$V375)),""),"")</x:f>
        <x:v>68000</x:v>
      </x:c>
      <x:c r="Y375" s="117" t="n">
        <x:f>IF(OR(W375="",F375=""),"",W375*F375)</x:f>
        <x:v>840000</x:v>
      </x:c>
      <x:c r="Z375" s="59" t="n">
        <x:f>IFERROR(IF(OR($N375="ĐÃ GHÉP - AUTO",$N375="ĐÃ GHÉP - QUY TẮC"),IF($V375="","",IF($T375="THÙNG",$V375,$V375*$F375)),""),"")</x:f>
        <x:v>816000</x:v>
      </x:c>
      <x:c r="AA375" s="28" t="str">
        <x:f>IFERROR(IF(OR($K375="",$K375=0,$Y375=""),"",($Y375-$K375)/$K375),"")</x:f>
      </x:c>
      <x:c r="AB375" s="37" t="str">
        <x:f>IFERROR(IF($N375="CẦN DUYỆT","DUYỆT MAP",IF($N375="CHƯA CÓ GIÁ LẺ","THIẾU GIÁ",IF(OR($K375="",$K375=0,$Y375=""),"OK",IF(ABS(($Y375-$K375)/$K375)&gt;0.15,"LỆCH GIÁ CŨ","OK")))),"OK")</x:f>
        <x:v>OK</x:v>
      </x:c>
      <x:c r="AC375" s="30" t="str">
        <x:v>score=0.953; gap=0.270</x:v>
      </x:c>
      <x:c r="AD375" s="37" t="str">
        <x:v>STV1OI</x:v>
      </x:c>
      <x:c r="AE375" s="38" t="str">
        <x:v>STV1OIT</x:v>
      </x:c>
      <x:c r="AF375" s="123" t="n">
        <x:v>1300</x:v>
      </x:c>
      <x:c r="AG375" s="112" t="str">
        <x:v>g</x:v>
      </x:c>
      <x:c r="AH375" s="112" t="str">
        <x:v>CHAI</x:v>
      </x:c>
      <x:c r="AI375" s="112" t="str">
        <x:v>1300 g / CHAI</x:v>
      </x:c>
      <x:c r="AJ375" s="120" t="n">
        <x:v>70000</x:v>
      </x:c>
      <x:c r="AK375" s="120" t="n">
        <x:v>70000</x:v>
      </x:c>
      <x:c r="AL375" s="120" t="n">
        <x:v>70000</x:v>
      </x:c>
      <x:c r="AM375" s="112" t="str">
        <x:v>GIỮ NGUYÊN - ĐÃ KHỚP</x:v>
      </x:c>
      <x:c r="AN375" s="126" t="n">
        <x:v>815</x:v>
      </x:c>
      <x:c r="AO375" s="126" t="n">
        <x:v>816</x:v>
      </x:c>
      <x:c r="AP375" s="113" t="str">
        <x:v>12 CHAI / THÙNG</x:v>
      </x:c>
    </x:row>
    <x:row r="376">
      <x:c r="A376" s="71" t="str">
        <x:v>MỨT GOLD ỔI</x:v>
      </x:c>
      <x:c r="B376" s="30" t="str">
        <x:v>MỨT GOLD ỔI - THÙNG</x:v>
      </x:c>
      <x:c r="C376" s="37" t="str">
        <x:v>STGOIH</x:v>
      </x:c>
      <x:c r="D376" s="37" t="str">
        <x:v>STGOIHT</x:v>
      </x:c>
      <x:c r="E376" s="37" t="str">
        <x:v>STGOIHT</x:v>
      </x:c>
      <x:c r="F376" s="37" t="n">
        <x:v>12</x:v>
      </x:c>
      <x:c r="G376" s="37" t="n">
        <x:v>16000</x:v>
      </x:c>
      <x:c r="H376" s="37" t="str">
        <x:v>g</x:v>
      </x:c>
      <x:c r="I376" s="37" t="str">
        <x:v>THÙNG</x:v>
      </x:c>
      <x:c r="J376" s="59" t="n">
        <x:v>1214000</x:v>
      </x:c>
      <x:c r="K376" s="59" t="n">
        <x:v>0</x:v>
      </x:c>
      <x:c r="L376" s="59" t="n">
        <x:v>0</x:v>
      </x:c>
      <x:c r="M376" s="37" t="str">
        <x:v>Sinh tố / mứt</x:v>
      </x:c>
      <x:c r="N376" s="37" t="str">
        <x:v>ĐÃ GHÉP - AUTO</x:v>
      </x:c>
      <x:c r="O376" s="61" t="n">
        <x:v>0.958</x:v>
      </x:c>
      <x:c r="P376" s="37" t="n">
        <x:v>40</x:v>
      </x:c>
      <x:c r="Q376" s="30" t="str">
        <x:v>Sinh Tố Gold ổi</x:v>
      </x:c>
      <x:c r="R376" s="30" t="str">
        <x:v>Thung 12 chai</x:v>
      </x:c>
      <x:c r="S376" s="30" t="str">
        <x:v>Chai</x:v>
      </x:c>
      <x:c r="T376" s="37" t="str">
        <x:v>ĐƠN VỊ</x:v>
      </x:c>
      <x:c r="U376" s="59" t="n">
        <x:v>105000</x:v>
      </x:c>
      <x:c r="V376" s="59"/>
      <x:c r="W376" s="117" t="n">
        <x:v>105000</x:v>
      </x:c>
      <x:c r="X376" s="59" t="str">
        <x:f>IFERROR(IF(OR($N376="ĐÃ GHÉP - AUTO",$N376="ĐÃ GHÉP - QUY TẮC"),IF($V376="","",IF($T376="THÙNG",$V376/$F376,$V376)),""),"")</x:f>
      </x:c>
      <x:c r="Y376" s="117" t="n">
        <x:f>IF(OR(W376="",F376=""),"",W376*F376)</x:f>
        <x:v>1260000</x:v>
      </x:c>
      <x:c r="Z376" s="59" t="str">
        <x:f>IFERROR(IF(OR($N376="ĐÃ GHÉP - AUTO",$N376="ĐÃ GHÉP - QUY TẮC"),IF($V376="","",IF($T376="THÙNG",$V376,$V376*$F376)),""),"")</x:f>
      </x:c>
      <x:c r="AA376" s="28" t="str">
        <x:f>IFERROR(IF(OR($K376="",$K376=0,$Y376=""),"",($Y376-$K376)/$K376),"")</x:f>
      </x:c>
      <x:c r="AB376" s="37" t="str">
        <x:f>IFERROR(IF($N376="CẦN DUYỆT","DUYỆT MAP",IF($N376="CHƯA CÓ GIÁ LẺ","THIẾU GIÁ",IF(OR($K376="",$K376=0,$Y376=""),"OK",IF(ABS(($Y376-$K376)/$K376)&gt;0.15,"LỆCH GIÁ CŨ","OK")))),"OK")</x:f>
        <x:v>OK</x:v>
      </x:c>
      <x:c r="AC376" s="30" t="str">
        <x:v>score=0.958; gap=0.349</x:v>
      </x:c>
      <x:c r="AD376" s="37" t="str">
        <x:v>STGOIH</x:v>
      </x:c>
      <x:c r="AE376" s="38" t="str">
        <x:v>STGOIHT</x:v>
      </x:c>
      <x:c r="AF376" s="123" t="n">
        <x:v>1300</x:v>
      </x:c>
      <x:c r="AG376" s="112" t="str">
        <x:v>g</x:v>
      </x:c>
      <x:c r="AH376" s="112" t="str">
        <x:v>CHAI</x:v>
      </x:c>
      <x:c r="AI376" s="112" t="str">
        <x:v>1300 g / CHAI</x:v>
      </x:c>
      <x:c r="AJ376" s="120" t="n">
        <x:v>105000</x:v>
      </x:c>
      <x:c r="AK376" s="120" t="n">
        <x:v>105000</x:v>
      </x:c>
      <x:c r="AL376" s="120" t="n">
        <x:v>105000</x:v>
      </x:c>
      <x:c r="AM376" s="112" t="str">
        <x:v>GIỮ NGUYÊN - ĐÃ KHỚP</x:v>
      </x:c>
      <x:c r="AN376" s="126" t="n">
        <x:v>817</x:v>
      </x:c>
      <x:c r="AO376" s="126" t="n">
        <x:v>818</x:v>
      </x:c>
      <x:c r="AP376" s="113" t="str">
        <x:v>12 CHAI / THÙNG</x:v>
      </x:c>
    </x:row>
    <x:row r="377">
      <x:c r="A377" s="71" t="str">
        <x:v>MỨT GOLD NHO</x:v>
      </x:c>
      <x:c r="B377" s="30" t="str">
        <x:v>MỨT GOLD NHO - THÙNG</x:v>
      </x:c>
      <x:c r="C377" s="37" t="str">
        <x:v>STGNHO</x:v>
      </x:c>
      <x:c r="D377" s="37" t="str">
        <x:v>STGNHOT</x:v>
      </x:c>
      <x:c r="E377" s="37" t="str">
        <x:v>STGNHOT</x:v>
      </x:c>
      <x:c r="F377" s="37" t="n">
        <x:v>12</x:v>
      </x:c>
      <x:c r="G377" s="37" t="n">
        <x:v>16000</x:v>
      </x:c>
      <x:c r="H377" s="37" t="str">
        <x:v>g</x:v>
      </x:c>
      <x:c r="I377" s="37" t="str">
        <x:v>THÙNG</x:v>
      </x:c>
      <x:c r="J377" s="59" t="n">
        <x:v>1155000</x:v>
      </x:c>
      <x:c r="K377" s="59" t="n">
        <x:v>0</x:v>
      </x:c>
      <x:c r="L377" s="59" t="n">
        <x:v>0</x:v>
      </x:c>
      <x:c r="M377" s="37" t="str">
        <x:v>Sinh tố / mứt</x:v>
      </x:c>
      <x:c r="N377" s="37" t="str">
        <x:v>ĐÃ GHÉP - AUTO</x:v>
      </x:c>
      <x:c r="O377" s="61" t="n">
        <x:v>0.958</x:v>
      </x:c>
      <x:c r="P377" s="37" t="n">
        <x:v>44</x:v>
      </x:c>
      <x:c r="Q377" s="30" t="str">
        <x:v>Sinh Tố Gol Nho</x:v>
      </x:c>
      <x:c r="R377" s="30" t="str">
        <x:v>Thùng12 chai</x:v>
      </x:c>
      <x:c r="S377" s="30" t="str">
        <x:v>Chai</x:v>
      </x:c>
      <x:c r="T377" s="37" t="str">
        <x:v>ĐƠN VỊ</x:v>
      </x:c>
      <x:c r="U377" s="59" t="n">
        <x:v>103000</x:v>
      </x:c>
      <x:c r="V377" s="59"/>
      <x:c r="W377" s="117" t="n">
        <x:v>103000</x:v>
      </x:c>
      <x:c r="X377" s="59" t="str">
        <x:f>IFERROR(IF(OR($N377="ĐÃ GHÉP - AUTO",$N377="ĐÃ GHÉP - QUY TẮC"),IF($V377="","",IF($T377="THÙNG",$V377/$F377,$V377)),""),"")</x:f>
      </x:c>
      <x:c r="Y377" s="117" t="n">
        <x:f>IF(OR(W377="",F377=""),"",W377*F377)</x:f>
        <x:v>1236000</x:v>
      </x:c>
      <x:c r="Z377" s="59" t="str">
        <x:f>IFERROR(IF(OR($N377="ĐÃ GHÉP - AUTO",$N377="ĐÃ GHÉP - QUY TẮC"),IF($V377="","",IF($T377="THÙNG",$V377,$V377*$F377)),""),"")</x:f>
      </x:c>
      <x:c r="AA377" s="28" t="str">
        <x:f>IFERROR(IF(OR($K377="",$K377=0,$Y377=""),"",($Y377-$K377)/$K377),"")</x:f>
      </x:c>
      <x:c r="AB377" s="37" t="str">
        <x:f>IFERROR(IF($N377="CẦN DUYỆT","DUYỆT MAP",IF($N377="CHƯA CÓ GIÁ LẺ","THIẾU GIÁ",IF(OR($K377="",$K377=0,$Y377=""),"OK",IF(ABS(($Y377-$K377)/$K377)&gt;0.15,"LỆCH GIÁ CŨ","OK")))),"OK")</x:f>
        <x:v>OK</x:v>
      </x:c>
      <x:c r="AC377" s="30" t="str">
        <x:v>score=0.958; gap=0.316</x:v>
      </x:c>
      <x:c r="AD377" s="37" t="str">
        <x:v>STGNHO</x:v>
      </x:c>
      <x:c r="AE377" s="38" t="str">
        <x:v>STGNHOT</x:v>
      </x:c>
      <x:c r="AF377" s="123" t="n">
        <x:v>1300</x:v>
      </x:c>
      <x:c r="AG377" s="112" t="str">
        <x:v>g</x:v>
      </x:c>
      <x:c r="AH377" s="112" t="str">
        <x:v>CHAI</x:v>
      </x:c>
      <x:c r="AI377" s="112" t="str">
        <x:v>1300 g / CHAI</x:v>
      </x:c>
      <x:c r="AJ377" s="120" t="n">
        <x:v>103000</x:v>
      </x:c>
      <x:c r="AK377" s="120" t="n">
        <x:v>103000</x:v>
      </x:c>
      <x:c r="AL377" s="120" t="n">
        <x:v>103000</x:v>
      </x:c>
      <x:c r="AM377" s="112" t="str">
        <x:v>GIỮ NGUYÊN - ĐÃ KHỚP</x:v>
      </x:c>
      <x:c r="AN377" s="126" t="n">
        <x:v>819</x:v>
      </x:c>
      <x:c r="AO377" s="126" t="n">
        <x:v>820</x:v>
      </x:c>
      <x:c r="AP377" s="113" t="str">
        <x:v>12 CHAI / THÙNG</x:v>
      </x:c>
    </x:row>
    <x:row r="378">
      <x:c r="A378" s="71" t="str">
        <x:v>MỨT GOLD NHÃN</x:v>
      </x:c>
      <x:c r="B378" s="30" t="str">
        <x:v>MỨT GOLD NHÃN - THÙNG</x:v>
      </x:c>
      <x:c r="C378" s="37" t="str">
        <x:v>STGNHN</x:v>
      </x:c>
      <x:c r="D378" s="37" t="str">
        <x:v>STGNHNT</x:v>
      </x:c>
      <x:c r="E378" s="37" t="str">
        <x:v>STGNHNT</x:v>
      </x:c>
      <x:c r="F378" s="37" t="n">
        <x:v>12</x:v>
      </x:c>
      <x:c r="G378" s="37" t="n">
        <x:v>16000</x:v>
      </x:c>
      <x:c r="H378" s="37" t="str">
        <x:v>g</x:v>
      </x:c>
      <x:c r="I378" s="37" t="str">
        <x:v>THÙNG</x:v>
      </x:c>
      <x:c r="J378" s="59" t="n">
        <x:v>0</x:v>
      </x:c>
      <x:c r="K378" s="59" t="n">
        <x:v>0</x:v>
      </x:c>
      <x:c r="L378" s="59" t="n">
        <x:v>0</x:v>
      </x:c>
      <x:c r="M378" s="37" t="str">
        <x:v>Sinh tố / mứt</x:v>
      </x:c>
      <x:c r="N378" s="37" t="str">
        <x:v>CHƯA CÓ GIÁ LẺ</x:v>
      </x:c>
      <x:c r="O378" s="61" t="n">
        <x:v>0.541</x:v>
      </x:c>
      <x:c r="P378" s="37"/>
      <x:c r="Q378" s="30"/>
      <x:c r="R378" s="30"/>
      <x:c r="S378" s="30"/>
      <x:c r="T378" s="37"/>
      <x:c r="U378" s="59"/>
      <x:c r="V378" s="59"/>
      <x:c r="W378" s="117" t="n">
        <x:v>120000</x:v>
      </x:c>
      <x:c r="X378" s="59" t="str">
        <x:f>IFERROR(IF(OR($N378="ĐÃ GHÉP - AUTO",$N378="ĐÃ GHÉP - QUY TẮC"),IF($V378="","",IF($T378="THÙNG",$V378/$F378,$V378)),""),"")</x:f>
      </x:c>
      <x:c r="Y378" s="117" t="n">
        <x:f>IF(OR(W378="",F378=""),"",W378*F378)</x:f>
        <x:v>1440000</x:v>
      </x:c>
      <x:c r="Z378" s="59" t="str">
        <x:f>IFERROR(IF(OR($N378="ĐÃ GHÉP - AUTO",$N378="ĐÃ GHÉP - QUY TẮC"),IF($V378="","",IF($T378="THÙNG",$V378,$V378*$F378)),""),"")</x:f>
      </x:c>
      <x:c r="AA378" s="28" t="str">
        <x:f>IFERROR(IF(OR($K378="",$K378=0,$Y378=""),"",($Y378-$K378)/$K378),"")</x:f>
      </x:c>
      <x:c r="AB378" s="37" t="str">
        <x:f>IFERROR(IF($N378="CẦN DUYỆT","DUYỆT MAP",IF($N378="CHƯA CÓ GIÁ LẺ","THIẾU GIÁ",IF(OR($K378="",$K378=0,$Y378=""),"OK",IF(ABS(($Y378-$K378)/$K378)&gt;0.15,"LỆCH GIÁ CŨ","OK")))),"OK")</x:f>
        <x:v>THIẾU GIÁ</x:v>
      </x:c>
      <x:c r="AC378" s="30" t="str">
        <x:v>ứng viên gần nhất=Sinh Tố Gol Nho; score=0.541</x:v>
      </x:c>
      <x:c r="AD378" s="37" t="str">
        <x:v>STGNHN</x:v>
      </x:c>
      <x:c r="AE378" s="38" t="str">
        <x:v>STGNHNT</x:v>
      </x:c>
      <x:c r="AF378" s="123" t="n">
        <x:v>1300</x:v>
      </x:c>
      <x:c r="AG378" s="112" t="str">
        <x:v>g</x:v>
      </x:c>
      <x:c r="AH378" s="112" t="str">
        <x:v>CHAI</x:v>
      </x:c>
      <x:c r="AI378" s="112" t="str">
        <x:v>1300 g / CHAI</x:v>
      </x:c>
      <x:c r="AJ378" s="120" t="n">
        <x:v>120000</x:v>
      </x:c>
      <x:c r="AK378" s="120"/>
      <x:c r="AL378" s="120" t="n">
        <x:v>120000</x:v>
      </x:c>
      <x:c r="AM378" s="112" t="str">
        <x:v>BỔ SUNG GIÁ</x:v>
      </x:c>
      <x:c r="AN378" s="126" t="n">
        <x:v>821</x:v>
      </x:c>
      <x:c r="AO378" s="126" t="n">
        <x:v>822</x:v>
      </x:c>
      <x:c r="AP378" s="113" t="str">
        <x:v>12 CHAI / THÙNG</x:v>
      </x:c>
    </x:row>
    <x:row r="379">
      <x:c r="A379" s="71" t="str">
        <x:v>MỨT VINA 1L MÃNG CẦU</x:v>
      </x:c>
      <x:c r="B379" s="30" t="str">
        <x:v>MỨT VINA 1L MÃNG CẦU - THÙNG</x:v>
      </x:c>
      <x:c r="C379" s="37" t="str">
        <x:v>STV1MC</x:v>
      </x:c>
      <x:c r="D379" s="37" t="str">
        <x:v>STV1MCT</x:v>
      </x:c>
      <x:c r="E379" s="37" t="str">
        <x:v>STV1MCT</x:v>
      </x:c>
      <x:c r="F379" s="37" t="n">
        <x:v>12</x:v>
      </x:c>
      <x:c r="G379" s="37" t="n">
        <x:v>16000</x:v>
      </x:c>
      <x:c r="H379" s="37" t="str">
        <x:v>g</x:v>
      </x:c>
      <x:c r="I379" s="37" t="str">
        <x:v>THÙNG</x:v>
      </x:c>
      <x:c r="J379" s="59" t="n">
        <x:v>0</x:v>
      </x:c>
      <x:c r="K379" s="59" t="n">
        <x:v>0</x:v>
      </x:c>
      <x:c r="L379" s="59" t="n">
        <x:v>0</x:v>
      </x:c>
      <x:c r="M379" s="37" t="str">
        <x:v>Sinh tố / mứt</x:v>
      </x:c>
      <x:c r="N379" s="37" t="str">
        <x:v>ĐÃ GHÉP - AUTO</x:v>
      </x:c>
      <x:c r="O379" s="61" t="n">
        <x:v>0.964</x:v>
      </x:c>
      <x:c r="P379" s="37" t="n">
        <x:v>49</x:v>
      </x:c>
      <x:c r="Q379" s="30" t="str">
        <x:v>SINH TỐ VINA MÃNG CẦU</x:v>
      </x:c>
      <x:c r="R379" s="30" t="str">
        <x:v>THÙNG 12 CHAI</x:v>
      </x:c>
      <x:c r="S379" s="30" t="str">
        <x:v>CHAI</x:v>
      </x:c>
      <x:c r="T379" s="37" t="str">
        <x:v>ĐƠN VỊ</x:v>
      </x:c>
      <x:c r="U379" s="59" t="n">
        <x:v>80000</x:v>
      </x:c>
      <x:c r="V379" s="59" t="n">
        <x:v>78000</x:v>
      </x:c>
      <x:c r="W379" s="117" t="n">
        <x:v>80000</x:v>
      </x:c>
      <x:c r="X379" s="59" t="n">
        <x:f>IFERROR(IF(OR($N379="ĐÃ GHÉP - AUTO",$N379="ĐÃ GHÉP - QUY TẮC"),IF($V379="","",IF($T379="THÙNG",$V379/$F379,$V379)),""),"")</x:f>
        <x:v>78000</x:v>
      </x:c>
      <x:c r="Y379" s="117" t="n">
        <x:f>IF(OR(W379="",F379=""),"",W379*F379)</x:f>
        <x:v>960000</x:v>
      </x:c>
      <x:c r="Z379" s="59" t="n">
        <x:f>IFERROR(IF(OR($N379="ĐÃ GHÉP - AUTO",$N379="ĐÃ GHÉP - QUY TẮC"),IF($V379="","",IF($T379="THÙNG",$V379,$V379*$F379)),""),"")</x:f>
        <x:v>936000</x:v>
      </x:c>
      <x:c r="AA379" s="28" t="str">
        <x:f>IFERROR(IF(OR($K379="",$K379=0,$Y379=""),"",($Y379-$K379)/$K379),"")</x:f>
      </x:c>
      <x:c r="AB379" s="37" t="str">
        <x:f>IFERROR(IF($N379="CẦN DUYỆT","DUYỆT MAP",IF($N379="CHƯA CÓ GIÁ LẺ","THIẾU GIÁ",IF(OR($K379="",$K379=0,$Y379=""),"OK",IF(ABS(($Y379-$K379)/$K379)&gt;0.15,"LỆCH GIÁ CŨ","OK")))),"OK")</x:f>
        <x:v>OK</x:v>
      </x:c>
      <x:c r="AC379" s="30" t="str">
        <x:v>score=0.964; gap=0.233</x:v>
      </x:c>
      <x:c r="AD379" s="37" t="str">
        <x:v>STV1MC</x:v>
      </x:c>
      <x:c r="AE379" s="38" t="str">
        <x:v>STV1MCT</x:v>
      </x:c>
      <x:c r="AF379" s="123" t="n">
        <x:v>1300</x:v>
      </x:c>
      <x:c r="AG379" s="112" t="str">
        <x:v>g</x:v>
      </x:c>
      <x:c r="AH379" s="112" t="str">
        <x:v>CHAI</x:v>
      </x:c>
      <x:c r="AI379" s="112" t="str">
        <x:v>1300 g / CHAI</x:v>
      </x:c>
      <x:c r="AJ379" s="120" t="n">
        <x:v>80000</x:v>
      </x:c>
      <x:c r="AK379" s="120" t="n">
        <x:v>80000</x:v>
      </x:c>
      <x:c r="AL379" s="120" t="n">
        <x:v>80000</x:v>
      </x:c>
      <x:c r="AM379" s="112" t="str">
        <x:v>GIỮ NGUYÊN - ĐÃ KHỚP</x:v>
      </x:c>
      <x:c r="AN379" s="126" t="n">
        <x:v>823</x:v>
      </x:c>
      <x:c r="AO379" s="126" t="n">
        <x:v>824</x:v>
      </x:c>
      <x:c r="AP379" s="113" t="str">
        <x:v>12 CHAI / THÙNG</x:v>
      </x:c>
    </x:row>
    <x:row r="380">
      <x:c r="A380" s="71" t="str">
        <x:v>MỨT GOLD MÃNG CẦU</x:v>
      </x:c>
      <x:c r="B380" s="30" t="str">
        <x:v>MỨT GOLD MÃNG CẦU - THÙNG</x:v>
      </x:c>
      <x:c r="C380" s="37" t="str">
        <x:v>STGMCA</x:v>
      </x:c>
      <x:c r="D380" s="37" t="str">
        <x:v>STGMCAT</x:v>
      </x:c>
      <x:c r="E380" s="37" t="str">
        <x:v>STGMCAT</x:v>
      </x:c>
      <x:c r="F380" s="37" t="n">
        <x:v>12</x:v>
      </x:c>
      <x:c r="G380" s="37" t="n">
        <x:v>16000</x:v>
      </x:c>
      <x:c r="H380" s="37" t="str">
        <x:v>g</x:v>
      </x:c>
      <x:c r="I380" s="37" t="str">
        <x:v>THÙNG</x:v>
      </x:c>
      <x:c r="J380" s="59" t="n">
        <x:v>1336000</x:v>
      </x:c>
      <x:c r="K380" s="59" t="n">
        <x:v>0</x:v>
      </x:c>
      <x:c r="L380" s="59" t="n">
        <x:v>0</x:v>
      </x:c>
      <x:c r="M380" s="37" t="str">
        <x:v>Sinh tố / mứt</x:v>
      </x:c>
      <x:c r="N380" s="37" t="str">
        <x:v>ĐÃ GHÉP - AUTO</x:v>
      </x:c>
      <x:c r="O380" s="61" t="n">
        <x:v>0.964</x:v>
      </x:c>
      <x:c r="P380" s="37" t="n">
        <x:v>42</x:v>
      </x:c>
      <x:c r="Q380" s="30" t="str">
        <x:v>Sinh  To mang câu glod</x:v>
      </x:c>
      <x:c r="R380" s="30" t="str">
        <x:v>Thung 12 chai</x:v>
      </x:c>
      <x:c r="S380" s="30" t="str">
        <x:v>chai</x:v>
      </x:c>
      <x:c r="T380" s="37" t="str">
        <x:v>ĐƠN VỊ</x:v>
      </x:c>
      <x:c r="U380" s="59" t="n">
        <x:v>117000</x:v>
      </x:c>
      <x:c r="V380" s="59"/>
      <x:c r="W380" s="117" t="n">
        <x:v>117000</x:v>
      </x:c>
      <x:c r="X380" s="59" t="str">
        <x:f>IFERROR(IF(OR($N380="ĐÃ GHÉP - AUTO",$N380="ĐÃ GHÉP - QUY TẮC"),IF($V380="","",IF($T380="THÙNG",$V380/$F380,$V380)),""),"")</x:f>
      </x:c>
      <x:c r="Y380" s="117" t="n">
        <x:f>IF(OR(W380="",F380=""),"",W380*F380)</x:f>
        <x:v>1404000</x:v>
      </x:c>
      <x:c r="Z380" s="59" t="str">
        <x:f>IFERROR(IF(OR($N380="ĐÃ GHÉP - AUTO",$N380="ĐÃ GHÉP - QUY TẮC"),IF($V380="","",IF($T380="THÙNG",$V380,$V380*$F380)),""),"")</x:f>
      </x:c>
      <x:c r="AA380" s="28" t="str">
        <x:f>IFERROR(IF(OR($K380="",$K380=0,$Y380=""),"",($Y380-$K380)/$K380),"")</x:f>
      </x:c>
      <x:c r="AB380" s="37" t="str">
        <x:f>IFERROR(IF($N380="CẦN DUYỆT","DUYỆT MAP",IF($N380="CHƯA CÓ GIÁ LẺ","THIẾU GIÁ",IF(OR($K380="",$K380=0,$Y380=""),"OK",IF(ABS(($Y380-$K380)/$K380)&gt;0.15,"LỆCH GIÁ CŨ","OK")))),"OK")</x:f>
        <x:v>OK</x:v>
      </x:c>
      <x:c r="AC380" s="30" t="str">
        <x:v>score=0.964; gap=0.276</x:v>
      </x:c>
      <x:c r="AD380" s="37" t="str">
        <x:v>STGMCA</x:v>
      </x:c>
      <x:c r="AE380" s="38" t="str">
        <x:v>STGMCAT</x:v>
      </x:c>
      <x:c r="AF380" s="123" t="n">
        <x:v>1300</x:v>
      </x:c>
      <x:c r="AG380" s="112" t="str">
        <x:v>g</x:v>
      </x:c>
      <x:c r="AH380" s="112" t="str">
        <x:v>CHAI</x:v>
      </x:c>
      <x:c r="AI380" s="112" t="str">
        <x:v>1300 g / CHAI</x:v>
      </x:c>
      <x:c r="AJ380" s="120" t="n">
        <x:v>117000</x:v>
      </x:c>
      <x:c r="AK380" s="120" t="n">
        <x:v>117000</x:v>
      </x:c>
      <x:c r="AL380" s="120" t="n">
        <x:v>117000</x:v>
      </x:c>
      <x:c r="AM380" s="112" t="str">
        <x:v>GIỮ NGUYÊN - ĐÃ KHỚP</x:v>
      </x:c>
      <x:c r="AN380" s="126" t="n">
        <x:v>825</x:v>
      </x:c>
      <x:c r="AO380" s="126" t="n">
        <x:v>826</x:v>
      </x:c>
      <x:c r="AP380" s="113" t="str">
        <x:v>12 CHAI / THÙNG</x:v>
      </x:c>
    </x:row>
    <x:row r="381">
      <x:c r="A381" s="71" t="str">
        <x:v>MỨT VINA 1L LỰU</x:v>
      </x:c>
      <x:c r="B381" s="30" t="str">
        <x:v>MỨT VINA 1L LỰU - THÙNG</x:v>
      </x:c>
      <x:c r="C381" s="37" t="str">
        <x:v>STV1LU</x:v>
      </x:c>
      <x:c r="D381" s="37" t="str">
        <x:v>STV1LUT</x:v>
      </x:c>
      <x:c r="E381" s="37" t="str">
        <x:v>STV1LUT</x:v>
      </x:c>
      <x:c r="F381" s="37" t="n">
        <x:v>12</x:v>
      </x:c>
      <x:c r="G381" s="37" t="n">
        <x:v>16000</x:v>
      </x:c>
      <x:c r="H381" s="37" t="str">
        <x:v>g</x:v>
      </x:c>
      <x:c r="I381" s="37" t="str">
        <x:v>THÙNG</x:v>
      </x:c>
      <x:c r="J381" s="59" t="n">
        <x:v>0</x:v>
      </x:c>
      <x:c r="K381" s="59" t="n">
        <x:v>0</x:v>
      </x:c>
      <x:c r="L381" s="59" t="n">
        <x:v>0</x:v>
      </x:c>
      <x:c r="M381" s="37" t="str">
        <x:v>Sinh tố / mứt</x:v>
      </x:c>
      <x:c r="N381" s="37" t="str">
        <x:v>CẦN DUYỆT</x:v>
      </x:c>
      <x:c r="O381" s="61" t="n">
        <x:v>0.664</x:v>
      </x:c>
      <x:c r="P381" s="37" t="n">
        <x:v>48</x:v>
      </x:c>
      <x:c r="Q381" s="30" t="str">
        <x:v>SINH TỐ VINA DÂU</x:v>
      </x:c>
      <x:c r="R381" s="30" t="str">
        <x:v>THÙNG 12 CHAI</x:v>
      </x:c>
      <x:c r="S381" s="30" t="str">
        <x:v>CHAI</x:v>
      </x:c>
      <x:c r="T381" s="37" t="str">
        <x:v>ĐƠN VỊ</x:v>
      </x:c>
      <x:c r="U381" s="59" t="n">
        <x:v>70000</x:v>
      </x:c>
      <x:c r="V381" s="59" t="n">
        <x:v>68000</x:v>
      </x:c>
      <x:c r="W381" s="117" t="n">
        <x:v>94000</x:v>
      </x:c>
      <x:c r="X381" s="59" t="str">
        <x:f>IFERROR(IF(OR($N381="ĐÃ GHÉP - AUTO",$N381="ĐÃ GHÉP - QUY TẮC"),IF($V381="","",IF($T381="THÙNG",$V381/$F381,$V381)),""),"")</x:f>
      </x:c>
      <x:c r="Y381" s="117" t="n">
        <x:f>IF(OR(W381="",F381=""),"",W381*F381)</x:f>
        <x:v>1128000</x:v>
      </x:c>
      <x:c r="Z381" s="59" t="str">
        <x:f>IFERROR(IF(OR($N381="ĐÃ GHÉP - AUTO",$N381="ĐÃ GHÉP - QUY TẮC"),IF($V381="","",IF($T381="THÙNG",$V381,$V381*$F381)),""),"")</x:f>
      </x:c>
      <x:c r="AA381" s="28" t="str">
        <x:f>IFERROR(IF(OR($K381="",$K381=0,$Y381=""),"",($Y381-$K381)/$K381),"")</x:f>
      </x:c>
      <x:c r="AB381" s="37" t="str">
        <x:f>IFERROR(IF($N381="CẦN DUYỆT","DUYỆT MAP",IF($N381="CHƯA CÓ GIÁ LẺ","THIẾU GIÁ",IF(OR($K381="",$K381=0,$Y381=""),"OK",IF(ABS(($Y381-$K381)/$K381)&gt;0.15,"LỆCH GIÁ CŨ","OK")))),"OK")</x:f>
        <x:v>DUYỆT MAP</x:v>
      </x:c>
      <x:c r="AC381" s="30" t="str">
        <x:v>score=0.664; gap=0.013; phương án 2=SINH TỐ VINA ỔI</x:v>
      </x:c>
      <x:c r="AD381" s="37" t="str">
        <x:v>STV1LU</x:v>
      </x:c>
      <x:c r="AE381" s="38" t="str">
        <x:v>STV1LUT</x:v>
      </x:c>
      <x:c r="AF381" s="123" t="n">
        <x:v>1300</x:v>
      </x:c>
      <x:c r="AG381" s="112" t="str">
        <x:v>g</x:v>
      </x:c>
      <x:c r="AH381" s="112" t="str">
        <x:v>CHAI</x:v>
      </x:c>
      <x:c r="AI381" s="112" t="str">
        <x:v>1300 g / CHAI</x:v>
      </x:c>
      <x:c r="AJ381" s="120" t="n">
        <x:v>94000</x:v>
      </x:c>
      <x:c r="AK381" s="120"/>
      <x:c r="AL381" s="120" t="n">
        <x:v>94000</x:v>
      </x:c>
      <x:c r="AM381" s="112" t="str">
        <x:v>BỔ SUNG GIÁ</x:v>
      </x:c>
      <x:c r="AN381" s="126" t="n">
        <x:v>827</x:v>
      </x:c>
      <x:c r="AO381" s="126" t="n">
        <x:v>828</x:v>
      </x:c>
      <x:c r="AP381" s="113" t="str">
        <x:v>12 CHAI / THÙNG</x:v>
      </x:c>
    </x:row>
    <x:row r="382">
      <x:c r="A382" s="71" t="str">
        <x:v>MỨT VINA 1L KIWI</x:v>
      </x:c>
      <x:c r="B382" s="30" t="str">
        <x:v>MỨT VINA 1L KIWI - THÙNG</x:v>
      </x:c>
      <x:c r="C382" s="37" t="str">
        <x:v>STV1KW</x:v>
      </x:c>
      <x:c r="D382" s="37" t="str">
        <x:v>STV1KWT</x:v>
      </x:c>
      <x:c r="E382" s="37" t="str">
        <x:v>STV1KWT</x:v>
      </x:c>
      <x:c r="F382" s="37" t="n">
        <x:v>12</x:v>
      </x:c>
      <x:c r="G382" s="37" t="n">
        <x:v>16000</x:v>
      </x:c>
      <x:c r="H382" s="37" t="str">
        <x:v>g</x:v>
      </x:c>
      <x:c r="I382" s="37" t="str">
        <x:v>THÙNG</x:v>
      </x:c>
      <x:c r="J382" s="59" t="n">
        <x:v>0</x:v>
      </x:c>
      <x:c r="K382" s="59" t="n">
        <x:v>0</x:v>
      </x:c>
      <x:c r="L382" s="59" t="n">
        <x:v>0</x:v>
      </x:c>
      <x:c r="M382" s="37" t="str">
        <x:v>Sinh tố / mứt</x:v>
      </x:c>
      <x:c r="N382" s="37" t="str">
        <x:v>ĐÃ GHÉP - AUTO</x:v>
      </x:c>
      <x:c r="O382" s="61" t="n">
        <x:v>0.964</x:v>
      </x:c>
      <x:c r="P382" s="37" t="n">
        <x:v>50</x:v>
      </x:c>
      <x:c r="Q382" s="30" t="str">
        <x:v>SINH TỐ VINA KIWI</x:v>
      </x:c>
      <x:c r="R382" s="30" t="str">
        <x:v>THÙNG 12 CHAI</x:v>
      </x:c>
      <x:c r="S382" s="30" t="str">
        <x:v>CHAI</x:v>
      </x:c>
      <x:c r="T382" s="37" t="str">
        <x:v>ĐƠN VỊ</x:v>
      </x:c>
      <x:c r="U382" s="59" t="n">
        <x:v>82000</x:v>
      </x:c>
      <x:c r="V382" s="59" t="n">
        <x:v>80000</x:v>
      </x:c>
      <x:c r="W382" s="117" t="n">
        <x:v>88000</x:v>
      </x:c>
      <x:c r="X382" s="59" t="n">
        <x:f>IFERROR(IF(OR($N382="ĐÃ GHÉP - AUTO",$N382="ĐÃ GHÉP - QUY TẮC"),IF($V382="","",IF($T382="THÙNG",$V382/$F382,$V382)),""),"")</x:f>
        <x:v>80000</x:v>
      </x:c>
      <x:c r="Y382" s="117" t="n">
        <x:f>IF(OR(W382="",F382=""),"",W382*F382)</x:f>
        <x:v>1056000</x:v>
      </x:c>
      <x:c r="Z382" s="59" t="n">
        <x:f>IFERROR(IF(OR($N382="ĐÃ GHÉP - AUTO",$N382="ĐÃ GHÉP - QUY TẮC"),IF($V382="","",IF($T382="THÙNG",$V382,$V382*$F382)),""),"")</x:f>
        <x:v>960000</x:v>
      </x:c>
      <x:c r="AA382" s="28" t="str">
        <x:f>IFERROR(IF(OR($K382="",$K382=0,$Y382=""),"",($Y382-$K382)/$K382),"")</x:f>
      </x:c>
      <x:c r="AB382" s="37" t="str">
        <x:f>IFERROR(IF($N382="CẦN DUYỆT","DUYỆT MAP",IF($N382="CHƯA CÓ GIÁ LẺ","THIẾU GIÁ",IF(OR($K382="",$K382=0,$Y382=""),"OK",IF(ABS(($Y382-$K382)/$K382)&gt;0.15,"LỆCH GIÁ CŨ","OK")))),"OK")</x:f>
        <x:v>OK</x:v>
      </x:c>
      <x:c r="AC382" s="30" t="str">
        <x:v>score=0.964; gap=0.307</x:v>
      </x:c>
      <x:c r="AD382" s="37" t="str">
        <x:v>STV1KW</x:v>
      </x:c>
      <x:c r="AE382" s="38" t="str">
        <x:v>STV1KWT</x:v>
      </x:c>
      <x:c r="AF382" s="123" t="n">
        <x:v>1300</x:v>
      </x:c>
      <x:c r="AG382" s="112" t="str">
        <x:v>g</x:v>
      </x:c>
      <x:c r="AH382" s="112" t="str">
        <x:v>CHAI</x:v>
      </x:c>
      <x:c r="AI382" s="112" t="str">
        <x:v>1300 g / CHAI</x:v>
      </x:c>
      <x:c r="AJ382" s="120" t="n">
        <x:v>88000</x:v>
      </x:c>
      <x:c r="AK382" s="120" t="n">
        <x:v>82000</x:v>
      </x:c>
      <x:c r="AL382" s="120" t="n">
        <x:v>88000</x:v>
      </x:c>
      <x:c r="AM382" s="112" t="str">
        <x:v>CẬP NHẬT GIÁ</x:v>
      </x:c>
      <x:c r="AN382" s="126" t="n">
        <x:v>829</x:v>
      </x:c>
      <x:c r="AO382" s="126" t="n">
        <x:v>830</x:v>
      </x:c>
      <x:c r="AP382" s="113" t="str">
        <x:v>12 CHAI / THÙNG</x:v>
      </x:c>
    </x:row>
    <x:row r="383">
      <x:c r="A383" s="71" t="str">
        <x:v>MỨT GOLD KIWI</x:v>
      </x:c>
      <x:c r="B383" s="30" t="str">
        <x:v>MỨT GOLD KIWI - THÙNG</x:v>
      </x:c>
      <x:c r="C383" s="37" t="str">
        <x:v>STGKWI</x:v>
      </x:c>
      <x:c r="D383" s="37" t="str">
        <x:v>STGKWIT</x:v>
      </x:c>
      <x:c r="E383" s="37" t="str">
        <x:v>STGKWIT</x:v>
      </x:c>
      <x:c r="F383" s="37" t="n">
        <x:v>12</x:v>
      </x:c>
      <x:c r="G383" s="37" t="n">
        <x:v>16000</x:v>
      </x:c>
      <x:c r="H383" s="37" t="str">
        <x:v>g</x:v>
      </x:c>
      <x:c r="I383" s="37" t="str">
        <x:v>THÙNG</x:v>
      </x:c>
      <x:c r="J383" s="59" t="n">
        <x:v>1155000</x:v>
      </x:c>
      <x:c r="K383" s="59" t="n">
        <x:v>0</x:v>
      </x:c>
      <x:c r="L383" s="59" t="n">
        <x:v>0</x:v>
      </x:c>
      <x:c r="M383" s="37" t="str">
        <x:v>Sinh tố / mứt</x:v>
      </x:c>
      <x:c r="N383" s="37" t="str">
        <x:v>ĐÃ GHÉP - AUTO</x:v>
      </x:c>
      <x:c r="O383" s="61" t="n">
        <x:v>0.958</x:v>
      </x:c>
      <x:c r="P383" s="37" t="n">
        <x:v>37</x:v>
      </x:c>
      <x:c r="Q383" s="30" t="str">
        <x:v>Sinh Tố Gold  Kiwi</x:v>
      </x:c>
      <x:c r="R383" s="30" t="str">
        <x:v>Thùng12 chai</x:v>
      </x:c>
      <x:c r="S383" s="30" t="str">
        <x:v>Chai</x:v>
      </x:c>
      <x:c r="T383" s="37" t="str">
        <x:v>ĐƠN VỊ</x:v>
      </x:c>
      <x:c r="U383" s="59" t="n">
        <x:v>100000</x:v>
      </x:c>
      <x:c r="V383" s="59"/>
      <x:c r="W383" s="117" t="n">
        <x:v>100000</x:v>
      </x:c>
      <x:c r="X383" s="59" t="str">
        <x:f>IFERROR(IF(OR($N383="ĐÃ GHÉP - AUTO",$N383="ĐÃ GHÉP - QUY TẮC"),IF($V383="","",IF($T383="THÙNG",$V383/$F383,$V383)),""),"")</x:f>
      </x:c>
      <x:c r="Y383" s="117" t="n">
        <x:f>IF(OR(W383="",F383=""),"",W383*F383)</x:f>
        <x:v>1200000</x:v>
      </x:c>
      <x:c r="Z383" s="59" t="str">
        <x:f>IFERROR(IF(OR($N383="ĐÃ GHÉP - AUTO",$N383="ĐÃ GHÉP - QUY TẮC"),IF($V383="","",IF($T383="THÙNG",$V383,$V383*$F383)),""),"")</x:f>
      </x:c>
      <x:c r="AA383" s="28" t="str">
        <x:f>IFERROR(IF(OR($K383="",$K383=0,$Y383=""),"",($Y383-$K383)/$K383),"")</x:f>
      </x:c>
      <x:c r="AB383" s="37" t="str">
        <x:f>IFERROR(IF($N383="CẦN DUYỆT","DUYỆT MAP",IF($N383="CHƯA CÓ GIÁ LẺ","THIẾU GIÁ",IF(OR($K383="",$K383=0,$Y383=""),"OK",IF(ABS(($Y383-$K383)/$K383)&gt;0.15,"LỆCH GIÁ CŨ","OK")))),"OK")</x:f>
        <x:v>OK</x:v>
      </x:c>
      <x:c r="AC383" s="30" t="str">
        <x:v>score=0.958; gap=0.314</x:v>
      </x:c>
      <x:c r="AD383" s="37" t="str">
        <x:v>STGKWI</x:v>
      </x:c>
      <x:c r="AE383" s="38" t="str">
        <x:v>STGKWIT</x:v>
      </x:c>
      <x:c r="AF383" s="123" t="n">
        <x:v>1300</x:v>
      </x:c>
      <x:c r="AG383" s="112" t="str">
        <x:v>g</x:v>
      </x:c>
      <x:c r="AH383" s="112" t="str">
        <x:v>CHAI</x:v>
      </x:c>
      <x:c r="AI383" s="112" t="str">
        <x:v>1300 g / CHAI</x:v>
      </x:c>
      <x:c r="AJ383" s="120" t="n">
        <x:v>100000</x:v>
      </x:c>
      <x:c r="AK383" s="120" t="n">
        <x:v>100000</x:v>
      </x:c>
      <x:c r="AL383" s="120" t="n">
        <x:v>100000</x:v>
      </x:c>
      <x:c r="AM383" s="112" t="str">
        <x:v>GIỮ NGUYÊN - ĐÃ KHỚP</x:v>
      </x:c>
      <x:c r="AN383" s="126" t="n">
        <x:v>831</x:v>
      </x:c>
      <x:c r="AO383" s="126" t="n">
        <x:v>832</x:v>
      </x:c>
      <x:c r="AP383" s="113" t="str">
        <x:v>12 CHAI / THÙNG</x:v>
      </x:c>
    </x:row>
    <x:row r="384">
      <x:c r="A384" s="71" t="str">
        <x:v>MỨT VINA 1L ĐÀO</x:v>
      </x:c>
      <x:c r="B384" s="30" t="str">
        <x:v>MỨT VINA 1L ĐÀO  - THÙNG</x:v>
      </x:c>
      <x:c r="C384" s="37" t="str">
        <x:v>STV1DO</x:v>
      </x:c>
      <x:c r="D384" s="37" t="str">
        <x:v>STV1DOT</x:v>
      </x:c>
      <x:c r="E384" s="37" t="str">
        <x:v>STV1DOT</x:v>
      </x:c>
      <x:c r="F384" s="37" t="n">
        <x:v>12</x:v>
      </x:c>
      <x:c r="G384" s="37" t="n">
        <x:v>16000</x:v>
      </x:c>
      <x:c r="H384" s="37" t="str">
        <x:v>g</x:v>
      </x:c>
      <x:c r="I384" s="37" t="str">
        <x:v>THÙNG</x:v>
      </x:c>
      <x:c r="J384" s="59" t="n">
        <x:v>0</x:v>
      </x:c>
      <x:c r="K384" s="59" t="n">
        <x:v>0</x:v>
      </x:c>
      <x:c r="L384" s="59" t="n">
        <x:v>0</x:v>
      </x:c>
      <x:c r="M384" s="37" t="str">
        <x:v>Sinh tố / mứt</x:v>
      </x:c>
      <x:c r="N384" s="37" t="str">
        <x:v>CẦN DUYỆT</x:v>
      </x:c>
      <x:c r="O384" s="61" t="n">
        <x:v>0.702</x:v>
      </x:c>
      <x:c r="P384" s="37" t="n">
        <x:v>48</x:v>
      </x:c>
      <x:c r="Q384" s="30" t="str">
        <x:v>SINH TỐ VINA DÂU</x:v>
      </x:c>
      <x:c r="R384" s="30" t="str">
        <x:v>THÙNG 12 CHAI</x:v>
      </x:c>
      <x:c r="S384" s="30" t="str">
        <x:v>CHAI</x:v>
      </x:c>
      <x:c r="T384" s="37" t="str">
        <x:v>ĐƠN VỊ</x:v>
      </x:c>
      <x:c r="U384" s="59" t="n">
        <x:v>70000</x:v>
      </x:c>
      <x:c r="V384" s="59" t="n">
        <x:v>68000</x:v>
      </x:c>
      <x:c r="W384" s="117" t="n">
        <x:v>70000</x:v>
      </x:c>
      <x:c r="X384" s="59" t="str">
        <x:f>IFERROR(IF(OR($N384="ĐÃ GHÉP - AUTO",$N384="ĐÃ GHÉP - QUY TẮC"),IF($V384="","",IF($T384="THÙNG",$V384/$F384,$V384)),""),"")</x:f>
      </x:c>
      <x:c r="Y384" s="117" t="n">
        <x:f>IF(OR(W384="",F384=""),"",W384*F384)</x:f>
        <x:v>840000</x:v>
      </x:c>
      <x:c r="Z384" s="59" t="str">
        <x:f>IFERROR(IF(OR($N384="ĐÃ GHÉP - AUTO",$N384="ĐÃ GHÉP - QUY TẮC"),IF($V384="","",IF($T384="THÙNG",$V384,$V384*$F384)),""),"")</x:f>
      </x:c>
      <x:c r="AA384" s="28" t="str">
        <x:f>IFERROR(IF(OR($K384="",$K384=0,$Y384=""),"",($Y384-$K384)/$K384),"")</x:f>
      </x:c>
      <x:c r="AB384" s="37" t="str">
        <x:f>IFERROR(IF($N384="CẦN DUYỆT","DUYỆT MAP",IF($N384="CHƯA CÓ GIÁ LẺ","THIẾU GIÁ",IF(OR($K384="",$K384=0,$Y384=""),"OK",IF(ABS(($Y384-$K384)/$K384)&gt;0.15,"LỆCH GIÁ CŨ","OK")))),"OK")</x:f>
        <x:v>DUYỆT MAP</x:v>
      </x:c>
      <x:c r="AC384" s="30" t="str">
        <x:v>score=0.702; gap=0.033; phương án 2=SINH TỐ VINA ỔI</x:v>
      </x:c>
      <x:c r="AD384" s="37" t="str">
        <x:v>STV1DO</x:v>
      </x:c>
      <x:c r="AE384" s="38" t="str">
        <x:v>STV1DOT</x:v>
      </x:c>
      <x:c r="AF384" s="123" t="n">
        <x:v>1300</x:v>
      </x:c>
      <x:c r="AG384" s="112" t="str">
        <x:v>g</x:v>
      </x:c>
      <x:c r="AH384" s="112" t="str">
        <x:v>CHAI</x:v>
      </x:c>
      <x:c r="AI384" s="112" t="str">
        <x:v>1300 g / CHAI</x:v>
      </x:c>
      <x:c r="AJ384" s="120" t="n">
        <x:v>70000</x:v>
      </x:c>
      <x:c r="AK384" s="120"/>
      <x:c r="AL384" s="120" t="n">
        <x:v>70000</x:v>
      </x:c>
      <x:c r="AM384" s="112" t="str">
        <x:v>BỔ SUNG GIÁ</x:v>
      </x:c>
      <x:c r="AN384" s="126" t="n">
        <x:v>833</x:v>
      </x:c>
      <x:c r="AO384" s="126" t="n">
        <x:v>834</x:v>
      </x:c>
      <x:c r="AP384" s="113" t="str">
        <x:v>12 CHAI / THÙNG</x:v>
      </x:c>
    </x:row>
    <x:row r="385">
      <x:c r="A385" s="71" t="str">
        <x:v>MỨT ICEHOT ĐÀO</x:v>
      </x:c>
      <x:c r="B385" s="30" t="str">
        <x:v>MỨT ICEHOT ĐÀO - THÙNG</x:v>
      </x:c>
      <x:c r="C385" s="37" t="str">
        <x:v>MDAOIH</x:v>
      </x:c>
      <x:c r="D385" s="37" t="str">
        <x:v>MDAOIHT</x:v>
      </x:c>
      <x:c r="E385" s="37" t="str">
        <x:v>MDAOIHT</x:v>
      </x:c>
      <x:c r="F385" s="37" t="n">
        <x:v>8</x:v>
      </x:c>
      <x:c r="G385" s="37" t="n">
        <x:v>9000</x:v>
      </x:c>
      <x:c r="H385" s="37" t="str">
        <x:v>g</x:v>
      </x:c>
      <x:c r="I385" s="37" t="str">
        <x:v>THÙNG</x:v>
      </x:c>
      <x:c r="J385" s="59" t="n">
        <x:v>0</x:v>
      </x:c>
      <x:c r="K385" s="59" t="n">
        <x:v>0</x:v>
      </x:c>
      <x:c r="L385" s="59" t="n">
        <x:v>0</x:v>
      </x:c>
      <x:c r="M385" s="37" t="str">
        <x:v>Khác</x:v>
      </x:c>
      <x:c r="N385" s="37" t="str">
        <x:v>CHƯA CÓ GIÁ LẺ</x:v>
      </x:c>
      <x:c r="O385" s="61" t="n">
        <x:v>0.499</x:v>
      </x:c>
      <x:c r="P385" s="37"/>
      <x:c r="Q385" s="30"/>
      <x:c r="R385" s="30"/>
      <x:c r="S385" s="30"/>
      <x:c r="T385" s="37"/>
      <x:c r="U385" s="59"/>
      <x:c r="V385" s="59"/>
      <x:c r="W385" s="117" t="n">
        <x:v>70000</x:v>
      </x:c>
      <x:c r="X385" s="59" t="str">
        <x:f>IFERROR(IF(OR($N385="ĐÃ GHÉP - AUTO",$N385="ĐÃ GHÉP - QUY TẮC"),IF($V385="","",IF($T385="THÙNG",$V385/$F385,$V385)),""),"")</x:f>
      </x:c>
      <x:c r="Y385" s="117" t="n">
        <x:f>IF(OR(W385="",F385=""),"",W385*F385)</x:f>
        <x:v>560000</x:v>
      </x:c>
      <x:c r="Z385" s="59" t="str">
        <x:f>IFERROR(IF(OR($N385="ĐÃ GHÉP - AUTO",$N385="ĐÃ GHÉP - QUY TẮC"),IF($V385="","",IF($T385="THÙNG",$V385,$V385*$F385)),""),"")</x:f>
      </x:c>
      <x:c r="AA385" s="28" t="str">
        <x:f>IFERROR(IF(OR($K385="",$K385=0,$Y385=""),"",($Y385-$K385)/$K385),"")</x:f>
      </x:c>
      <x:c r="AB385" s="37" t="str">
        <x:f>IFERROR(IF($N385="CẦN DUYỆT","DUYỆT MAP",IF($N385="CHƯA CÓ GIÁ LẺ","THIẾU GIÁ",IF(OR($K385="",$K385=0,$Y385=""),"OK",IF(ABS(($Y385-$K385)/$K385)&gt;0.15,"LỆCH GIÁ CŨ","OK")))),"OK")</x:f>
        <x:v>THIẾU GIÁ</x:v>
      </x:c>
      <x:c r="AC385" s="30" t="str">
        <x:v>ứng viên gần nhất=Sinh Tố Berrino Đào; score=0.499</x:v>
      </x:c>
      <x:c r="AD385" s="37" t="str">
        <x:v>MDAOIH</x:v>
      </x:c>
      <x:c r="AE385" s="38" t="str">
        <x:v>MDAOIHT</x:v>
      </x:c>
      <x:c r="AF385" s="123" t="n">
        <x:v>0</x:v>
      </x:c>
      <x:c r="AG385" s="112" t="str">
        <x:v>g</x:v>
      </x:c>
      <x:c r="AH385" s="112" t="str">
        <x:v>BỊCH</x:v>
      </x:c>
      <x:c r="AI385" s="112" t="str">
        <x:v>0 g / BỊCH</x:v>
      </x:c>
      <x:c r="AJ385" s="120" t="n">
        <x:v>70000</x:v>
      </x:c>
      <x:c r="AK385" s="120"/>
      <x:c r="AL385" s="120" t="n">
        <x:v>70000</x:v>
      </x:c>
      <x:c r="AM385" s="112" t="str">
        <x:v>BỔ SUNG GIÁ</x:v>
      </x:c>
      <x:c r="AN385" s="126" t="n">
        <x:v>835</x:v>
      </x:c>
      <x:c r="AO385" s="126" t="n">
        <x:v>836</x:v>
      </x:c>
      <x:c r="AP385" s="113" t="str">
        <x:v>8 BỊCH / THÙNG</x:v>
      </x:c>
    </x:row>
    <x:row r="386">
      <x:c r="A386" s="71" t="str">
        <x:v>MỨT GOLD ĐÀO</x:v>
      </x:c>
      <x:c r="B386" s="30" t="str">
        <x:v>MỨT GOLD ĐÀO - THÙNG</x:v>
      </x:c>
      <x:c r="C386" s="37" t="str">
        <x:v>STGDAO</x:v>
      </x:c>
      <x:c r="D386" s="37" t="str">
        <x:v>STGDAOT</x:v>
      </x:c>
      <x:c r="E386" s="37" t="str">
        <x:v>STGDAOT</x:v>
      </x:c>
      <x:c r="F386" s="37" t="n">
        <x:v>12</x:v>
      </x:c>
      <x:c r="G386" s="37" t="n">
        <x:v>16000</x:v>
      </x:c>
      <x:c r="H386" s="37" t="str">
        <x:v>g</x:v>
      </x:c>
      <x:c r="I386" s="37" t="str">
        <x:v>THÙNG</x:v>
      </x:c>
      <x:c r="J386" s="59" t="n">
        <x:v>1102000</x:v>
      </x:c>
      <x:c r="K386" s="59" t="n">
        <x:v>0</x:v>
      </x:c>
      <x:c r="L386" s="59" t="n">
        <x:v>0</x:v>
      </x:c>
      <x:c r="M386" s="37" t="str">
        <x:v>Sinh tố / mứt</x:v>
      </x:c>
      <x:c r="N386" s="37" t="str">
        <x:v>ĐÃ GHÉP - AUTO</x:v>
      </x:c>
      <x:c r="O386" s="61" t="n">
        <x:v>0.958</x:v>
      </x:c>
      <x:c r="P386" s="37" t="n">
        <x:v>34</x:v>
      </x:c>
      <x:c r="Q386" s="30" t="str">
        <x:v>Sinh Tố Gold Đào</x:v>
      </x:c>
      <x:c r="R386" s="30" t="str">
        <x:v>Thùng12 chai</x:v>
      </x:c>
      <x:c r="S386" s="30" t="str">
        <x:v>Chai</x:v>
      </x:c>
      <x:c r="T386" s="37" t="str">
        <x:v>ĐƠN VỊ</x:v>
      </x:c>
      <x:c r="U386" s="59" t="n">
        <x:v>95000</x:v>
      </x:c>
      <x:c r="V386" s="59"/>
      <x:c r="W386" s="117" t="n">
        <x:v>95000</x:v>
      </x:c>
      <x:c r="X386" s="59" t="str">
        <x:f>IFERROR(IF(OR($N386="ĐÃ GHÉP - AUTO",$N386="ĐÃ GHÉP - QUY TẮC"),IF($V386="","",IF($T386="THÙNG",$V386/$F386,$V386)),""),"")</x:f>
      </x:c>
      <x:c r="Y386" s="117" t="n">
        <x:f>IF(OR(W386="",F386=""),"",W386*F386)</x:f>
        <x:v>1140000</x:v>
      </x:c>
      <x:c r="Z386" s="59" t="str">
        <x:f>IFERROR(IF(OR($N386="ĐÃ GHÉP - AUTO",$N386="ĐÃ GHÉP - QUY TẮC"),IF($V386="","",IF($T386="THÙNG",$V386,$V386*$F386)),""),"")</x:f>
      </x:c>
      <x:c r="AA386" s="28" t="str">
        <x:f>IFERROR(IF(OR($K386="",$K386=0,$Y386=""),"",($Y386-$K386)/$K386),"")</x:f>
      </x:c>
      <x:c r="AB386" s="37" t="str">
        <x:f>IFERROR(IF($N386="CẦN DUYỆT","DUYỆT MAP",IF($N386="CHƯA CÓ GIÁ LẺ","THIẾU GIÁ",IF(OR($K386="",$K386=0,$Y386=""),"OK",IF(ABS(($Y386-$K386)/$K386)&gt;0.15,"LỆCH GIÁ CŨ","OK")))),"OK")</x:f>
        <x:v>OK</x:v>
      </x:c>
      <x:c r="AC386" s="30" t="str">
        <x:v>score=0.958; gap=0.332</x:v>
      </x:c>
      <x:c r="AD386" s="37" t="str">
        <x:v>STGDAO</x:v>
      </x:c>
      <x:c r="AE386" s="38" t="str">
        <x:v>STGDAOT</x:v>
      </x:c>
      <x:c r="AF386" s="123" t="n">
        <x:v>1300</x:v>
      </x:c>
      <x:c r="AG386" s="112" t="str">
        <x:v>g</x:v>
      </x:c>
      <x:c r="AH386" s="112" t="str">
        <x:v>CHAI</x:v>
      </x:c>
      <x:c r="AI386" s="112" t="str">
        <x:v>1300 g / CHAI</x:v>
      </x:c>
      <x:c r="AJ386" s="120" t="n">
        <x:v>95000</x:v>
      </x:c>
      <x:c r="AK386" s="120" t="n">
        <x:v>95000</x:v>
      </x:c>
      <x:c r="AL386" s="120" t="n">
        <x:v>95000</x:v>
      </x:c>
      <x:c r="AM386" s="112" t="str">
        <x:v>GIỮ NGUYÊN - ĐÃ KHỚP</x:v>
      </x:c>
      <x:c r="AN386" s="126" t="n">
        <x:v>837</x:v>
      </x:c>
      <x:c r="AO386" s="126" t="n">
        <x:v>838</x:v>
      </x:c>
      <x:c r="AP386" s="113" t="str">
        <x:v>12 CHAI / THÙNG</x:v>
      </x:c>
    </x:row>
    <x:row r="387">
      <x:c r="A387" s="71" t="str">
        <x:v>MỨT GOLD DƯA LƯỚI XANH</x:v>
      </x:c>
      <x:c r="B387" s="30" t="str">
        <x:v>MỨT GOLD DƯA LƯỚI XANH - THÙNG</x:v>
      </x:c>
      <x:c r="C387" s="37" t="str">
        <x:v>STGDLU</x:v>
      </x:c>
      <x:c r="D387" s="37" t="str">
        <x:v>STGDLUT</x:v>
      </x:c>
      <x:c r="E387" s="37" t="str">
        <x:v>STGDLUT</x:v>
      </x:c>
      <x:c r="F387" s="37" t="n">
        <x:v>12</x:v>
      </x:c>
      <x:c r="G387" s="37" t="n">
        <x:v>16000</x:v>
      </x:c>
      <x:c r="H387" s="37" t="str">
        <x:v>g</x:v>
      </x:c>
      <x:c r="I387" s="37" t="str">
        <x:v>THÙNG</x:v>
      </x:c>
      <x:c r="J387" s="59" t="n">
        <x:v>1212000</x:v>
      </x:c>
      <x:c r="K387" s="59" t="n">
        <x:v>0</x:v>
      </x:c>
      <x:c r="L387" s="59" t="n">
        <x:v>0</x:v>
      </x:c>
      <x:c r="M387" s="37" t="str">
        <x:v>Sinh tố / mứt</x:v>
      </x:c>
      <x:c r="N387" s="37" t="str">
        <x:v>CHƯA CÓ GIÁ LẺ</x:v>
      </x:c>
      <x:c r="O387" s="61" t="n">
        <x:v>0.53</x:v>
      </x:c>
      <x:c r="P387" s="37"/>
      <x:c r="Q387" s="30"/>
      <x:c r="R387" s="30"/>
      <x:c r="S387" s="30"/>
      <x:c r="T387" s="37"/>
      <x:c r="U387" s="59"/>
      <x:c r="V387" s="59"/>
      <x:c r="W387" s="117" t="n">
        <x:v>105000</x:v>
      </x:c>
      <x:c r="X387" s="59" t="str">
        <x:f>IFERROR(IF(OR($N387="ĐÃ GHÉP - AUTO",$N387="ĐÃ GHÉP - QUY TẮC"),IF($V387="","",IF($T387="THÙNG",$V387/$F387,$V387)),""),"")</x:f>
      </x:c>
      <x:c r="Y387" s="117" t="n">
        <x:f>IF(OR(W387="",F387=""),"",W387*F387)</x:f>
        <x:v>1260000</x:v>
      </x:c>
      <x:c r="Z387" s="59" t="str">
        <x:f>IFERROR(IF(OR($N387="ĐÃ GHÉP - AUTO",$N387="ĐÃ GHÉP - QUY TẮC"),IF($V387="","",IF($T387="THÙNG",$V387,$V387*$F387)),""),"")</x:f>
      </x:c>
      <x:c r="AA387" s="28" t="str">
        <x:f>IFERROR(IF(OR($K387="",$K387=0,$Y387=""),"",($Y387-$K387)/$K387),"")</x:f>
      </x:c>
      <x:c r="AB387" s="37" t="str">
        <x:f>IFERROR(IF($N387="CẦN DUYỆT","DUYỆT MAP",IF($N387="CHƯA CÓ GIÁ LẺ","THIẾU GIÁ",IF(OR($K387="",$K387=0,$Y387=""),"OK",IF(ABS(($Y387-$K387)/$K387)&gt;0.15,"LỆCH GIÁ CŨ","OK")))),"OK")</x:f>
        <x:v>THIẾU GIÁ</x:v>
      </x:c>
      <x:c r="AC387" s="30" t="str">
        <x:v>ứng viên gần nhất=Sinh Tố Gold ổi; score=0.530</x:v>
      </x:c>
      <x:c r="AD387" s="37" t="str">
        <x:v>STGDLU</x:v>
      </x:c>
      <x:c r="AE387" s="38" t="str">
        <x:v>STGDLUT</x:v>
      </x:c>
      <x:c r="AF387" s="123" t="n">
        <x:v>0</x:v>
      </x:c>
      <x:c r="AG387" s="112" t="str">
        <x:v>g</x:v>
      </x:c>
      <x:c r="AH387" s="112" t="str">
        <x:v>CHAI</x:v>
      </x:c>
      <x:c r="AI387" s="112" t="str">
        <x:v>0 g / CHAI</x:v>
      </x:c>
      <x:c r="AJ387" s="120" t="n">
        <x:v>105000</x:v>
      </x:c>
      <x:c r="AK387" s="120"/>
      <x:c r="AL387" s="120" t="n">
        <x:v>105000</x:v>
      </x:c>
      <x:c r="AM387" s="112" t="str">
        <x:v>BỔ SUNG GIÁ</x:v>
      </x:c>
      <x:c r="AN387" s="126" t="n">
        <x:v>839</x:v>
      </x:c>
      <x:c r="AO387" s="126" t="n">
        <x:v>840</x:v>
      </x:c>
      <x:c r="AP387" s="113" t="str">
        <x:v>12 CHAI / THÙNG</x:v>
      </x:c>
    </x:row>
    <x:row r="388">
      <x:c r="A388" s="71" t="str">
        <x:v>MỨT VINA 1L DƯA LƯỚI</x:v>
      </x:c>
      <x:c r="B388" s="30" t="str">
        <x:v>MỨT VINA 1L DƯA LƯỚI - THÙNG</x:v>
      </x:c>
      <x:c r="C388" s="37" t="str">
        <x:v>STV1DL</x:v>
      </x:c>
      <x:c r="D388" s="37" t="str">
        <x:v>STV1DLT</x:v>
      </x:c>
      <x:c r="E388" s="37" t="str">
        <x:v>STV1DLT</x:v>
      </x:c>
      <x:c r="F388" s="37" t="n">
        <x:v>12</x:v>
      </x:c>
      <x:c r="G388" s="37" t="n">
        <x:v>16000</x:v>
      </x:c>
      <x:c r="H388" s="37" t="str">
        <x:v>g</x:v>
      </x:c>
      <x:c r="I388" s="37" t="str">
        <x:v>THÙNG</x:v>
      </x:c>
      <x:c r="J388" s="59" t="n">
        <x:v>0</x:v>
      </x:c>
      <x:c r="K388" s="59" t="n">
        <x:v>0</x:v>
      </x:c>
      <x:c r="L388" s="59" t="n">
        <x:v>0</x:v>
      </x:c>
      <x:c r="M388" s="37" t="str">
        <x:v>Sinh tố / mứt</x:v>
      </x:c>
      <x:c r="N388" s="37" t="str">
        <x:v>CHƯA CÓ GIÁ LẺ</x:v>
      </x:c>
      <x:c r="O388" s="61" t="n">
        <x:v>0.65</x:v>
      </x:c>
      <x:c r="P388" s="37"/>
      <x:c r="Q388" s="30"/>
      <x:c r="R388" s="30"/>
      <x:c r="S388" s="30"/>
      <x:c r="T388" s="37"/>
      <x:c r="U388" s="59"/>
      <x:c r="V388" s="59"/>
      <x:c r="W388" s="117" t="n">
        <x:v>80000</x:v>
      </x:c>
      <x:c r="X388" s="59" t="str">
        <x:f>IFERROR(IF(OR($N388="ĐÃ GHÉP - AUTO",$N388="ĐÃ GHÉP - QUY TẮC"),IF($V388="","",IF($T388="THÙNG",$V388/$F388,$V388)),""),"")</x:f>
      </x:c>
      <x:c r="Y388" s="117" t="n">
        <x:f>IF(OR(W388="",F388=""),"",W388*F388)</x:f>
        <x:v>960000</x:v>
      </x:c>
      <x:c r="Z388" s="59" t="str">
        <x:f>IFERROR(IF(OR($N388="ĐÃ GHÉP - AUTO",$N388="ĐÃ GHÉP - QUY TẮC"),IF($V388="","",IF($T388="THÙNG",$V388,$V388*$F388)),""),"")</x:f>
      </x:c>
      <x:c r="AA388" s="28" t="str">
        <x:f>IFERROR(IF(OR($K388="",$K388=0,$Y388=""),"",($Y388-$K388)/$K388),"")</x:f>
      </x:c>
      <x:c r="AB388" s="37" t="str">
        <x:f>IFERROR(IF($N388="CẦN DUYỆT","DUYỆT MAP",IF($N388="CHƯA CÓ GIÁ LẺ","THIẾU GIÁ",IF(OR($K388="",$K388=0,$Y388=""),"OK",IF(ABS(($Y388-$K388)/$K388)&gt;0.15,"LỆCH GIÁ CŨ","OK")))),"OK")</x:f>
        <x:v>THIẾU GIÁ</x:v>
      </x:c>
      <x:c r="AC388" s="30" t="str">
        <x:v>ứng viên gần nhất=SINH TỐ VINA DÂU; score=0.650</x:v>
      </x:c>
      <x:c r="AD388" s="37" t="str">
        <x:v>STV1DL</x:v>
      </x:c>
      <x:c r="AE388" s="38" t="str">
        <x:v>STV1DLT</x:v>
      </x:c>
      <x:c r="AF388" s="123" t="n">
        <x:v>1300</x:v>
      </x:c>
      <x:c r="AG388" s="112" t="str">
        <x:v>g</x:v>
      </x:c>
      <x:c r="AH388" s="112" t="str">
        <x:v>CHAI</x:v>
      </x:c>
      <x:c r="AI388" s="112" t="str">
        <x:v>1300 g / CHAI</x:v>
      </x:c>
      <x:c r="AJ388" s="120" t="n">
        <x:v>80000</x:v>
      </x:c>
      <x:c r="AK388" s="120"/>
      <x:c r="AL388" s="120" t="n">
        <x:v>80000</x:v>
      </x:c>
      <x:c r="AM388" s="112" t="str">
        <x:v>BỔ SUNG GIÁ</x:v>
      </x:c>
      <x:c r="AN388" s="126" t="n">
        <x:v>841</x:v>
      </x:c>
      <x:c r="AO388" s="126" t="n">
        <x:v>842</x:v>
      </x:c>
      <x:c r="AP388" s="113" t="str">
        <x:v>12 CHAI / THÙNG</x:v>
      </x:c>
    </x:row>
    <x:row r="389">
      <x:c r="A389" s="71" t="str">
        <x:v>MỨT DOUXIAN ĐƯỜNG ĐEN</x:v>
      </x:c>
      <x:c r="B389" s="30" t="str">
        <x:v>MỨT DOUXIAN ĐƯỜNG ĐEN - THÙNG</x:v>
      </x:c>
      <x:c r="C389" s="37" t="str">
        <x:v>STDXDD</x:v>
      </x:c>
      <x:c r="D389" s="37" t="str">
        <x:v>STDXDDT</x:v>
      </x:c>
      <x:c r="E389" s="37" t="str">
        <x:v>STDXDDT</x:v>
      </x:c>
      <x:c r="F389" s="37" t="n">
        <x:v>12</x:v>
      </x:c>
      <x:c r="G389" s="37" t="n">
        <x:v>16000</x:v>
      </x:c>
      <x:c r="H389" s="37" t="str">
        <x:v>g</x:v>
      </x:c>
      <x:c r="I389" s="37" t="str">
        <x:v>THÙNG</x:v>
      </x:c>
      <x:c r="J389" s="59" t="n">
        <x:v>0</x:v>
      </x:c>
      <x:c r="K389" s="59" t="n">
        <x:v>0</x:v>
      </x:c>
      <x:c r="L389" s="59" t="n">
        <x:v>0</x:v>
      </x:c>
      <x:c r="M389" s="37" t="str">
        <x:v>Khác</x:v>
      </x:c>
      <x:c r="N389" s="37" t="str">
        <x:v>CHƯA CÓ GIÁ LẺ</x:v>
      </x:c>
      <x:c r="O389" s="61" t="n">
        <x:v>0.787</x:v>
      </x:c>
      <x:c r="P389" s="37"/>
      <x:c r="Q389" s="30"/>
      <x:c r="R389" s="30"/>
      <x:c r="S389" s="30"/>
      <x:c r="T389" s="37"/>
      <x:c r="U389" s="59"/>
      <x:c r="V389" s="59"/>
      <x:c r="W389" s="117"/>
      <x:c r="X389" s="59" t="str">
        <x:f>IFERROR(IF(OR($N389="ĐÃ GHÉP - AUTO",$N389="ĐÃ GHÉP - QUY TẮC"),IF($V389="","",IF($T389="THÙNG",$V389/$F389,$V389)),""),"")</x:f>
      </x:c>
      <x:c r="Y389" s="117" t="str">
        <x:f>IF(OR(W389="",F389=""),"",W389*F389)</x:f>
      </x:c>
      <x:c r="Z389" s="59" t="str">
        <x:f>IFERROR(IF(OR($N389="ĐÃ GHÉP - AUTO",$N389="ĐÃ GHÉP - QUY TẮC"),IF($V389="","",IF($T389="THÙNG",$V389,$V389*$F389)),""),"")</x:f>
      </x:c>
      <x:c r="AA389" s="28" t="str">
        <x:f>IFERROR(IF(OR($K389="",$K389=0,$Y389=""),"",($Y389-$K389)/$K389),"")</x:f>
      </x:c>
      <x:c r="AB389" s="37" t="str">
        <x:f>IFERROR(IF($N389="CẦN DUYỆT","DUYỆT MAP",IF($N389="CHƯA CÓ GIÁ LẺ","THIẾU GIÁ",IF(OR($K389="",$K389=0,$Y389=""),"OK",IF(ABS(($Y389-$K389)/$K389)&gt;0.15,"LỆCH GIÁ CŨ","OK")))),"OK")</x:f>
        <x:v>THIẾU GIÁ</x:v>
      </x:c>
      <x:c r="AC389" s="30" t="str">
        <x:v>Không dùng giá Sốt/Đường Douxian cho Mứt Douxian</x:v>
      </x:c>
      <x:c r="AD389" s="37" t="str">
        <x:v>STDXDD</x:v>
      </x:c>
      <x:c r="AE389" s="38" t="str">
        <x:v>STDXDDT</x:v>
      </x:c>
      <x:c r="AF389" s="123" t="n">
        <x:v>0</x:v>
      </x:c>
      <x:c r="AG389" s="112" t="str">
        <x:v>g</x:v>
      </x:c>
      <x:c r="AH389" s="112" t="str">
        <x:v>CHAI</x:v>
      </x:c>
      <x:c r="AI389" s="112" t="str">
        <x:v>0 g / CHAI</x:v>
      </x:c>
      <x:c r="AJ389" s="120" t="n">
        <x:v>0</x:v>
      </x:c>
      <x:c r="AK389" s="120"/>
      <x:c r="AL389" s="120"/>
      <x:c r="AM389" s="112" t="str">
        <x:v>DS SP GIÁ 0 - VẪN THIẾU GIÁ</x:v>
      </x:c>
      <x:c r="AN389" s="126" t="n">
        <x:v>843</x:v>
      </x:c>
      <x:c r="AO389" s="126" t="n">
        <x:v>844</x:v>
      </x:c>
      <x:c r="AP389" s="113" t="str">
        <x:v>12 CHAI / THÙNG</x:v>
      </x:c>
    </x:row>
    <x:row r="390">
      <x:c r="A390" s="71" t="str">
        <x:v>MỨT DOUXIAN ĐÀO</x:v>
      </x:c>
      <x:c r="B390" s="30" t="str">
        <x:v>MỨT DOUXIAN ĐÀO - THÙNG</x:v>
      </x:c>
      <x:c r="C390" s="37" t="str">
        <x:v>STDXDO</x:v>
      </x:c>
      <x:c r="D390" s="37" t="str">
        <x:v>STDXDOT</x:v>
      </x:c>
      <x:c r="E390" s="37" t="str">
        <x:v>STDXDOT</x:v>
      </x:c>
      <x:c r="F390" s="37" t="n">
        <x:v>12</x:v>
      </x:c>
      <x:c r="G390" s="37" t="n">
        <x:v>16000</x:v>
      </x:c>
      <x:c r="H390" s="37" t="str">
        <x:v>g</x:v>
      </x:c>
      <x:c r="I390" s="37" t="str">
        <x:v>THÙNG</x:v>
      </x:c>
      <x:c r="J390" s="59" t="n">
        <x:v>0</x:v>
      </x:c>
      <x:c r="K390" s="59" t="n">
        <x:v>0</x:v>
      </x:c>
      <x:c r="L390" s="59" t="n">
        <x:v>0</x:v>
      </x:c>
      <x:c r="M390" s="37" t="str">
        <x:v>Khác</x:v>
      </x:c>
      <x:c r="N390" s="37" t="str">
        <x:v>CHƯA CÓ GIÁ LẺ</x:v>
      </x:c>
      <x:c r="O390" s="61" t="n">
        <x:v>0.8</x:v>
      </x:c>
      <x:c r="P390" s="37"/>
      <x:c r="Q390" s="30"/>
      <x:c r="R390" s="30"/>
      <x:c r="S390" s="30"/>
      <x:c r="T390" s="37"/>
      <x:c r="U390" s="59"/>
      <x:c r="V390" s="59"/>
      <x:c r="W390" s="117"/>
      <x:c r="X390" s="59" t="str">
        <x:f>IFERROR(IF(OR($N390="ĐÃ GHÉP - AUTO",$N390="ĐÃ GHÉP - QUY TẮC"),IF($V390="","",IF($T390="THÙNG",$V390/$F390,$V390)),""),"")</x:f>
      </x:c>
      <x:c r="Y390" s="117" t="str">
        <x:f>IF(OR(W390="",F390=""),"",W390*F390)</x:f>
      </x:c>
      <x:c r="Z390" s="59" t="str">
        <x:f>IFERROR(IF(OR($N390="ĐÃ GHÉP - AUTO",$N390="ĐÃ GHÉP - QUY TẮC"),IF($V390="","",IF($T390="THÙNG",$V390,$V390*$F390)),""),"")</x:f>
      </x:c>
      <x:c r="AA390" s="28" t="str">
        <x:f>IFERROR(IF(OR($K390="",$K390=0,$Y390=""),"",($Y390-$K390)/$K390),"")</x:f>
      </x:c>
      <x:c r="AB390" s="37" t="str">
        <x:f>IFERROR(IF($N390="CẦN DUYỆT","DUYỆT MAP",IF($N390="CHƯA CÓ GIÁ LẺ","THIẾU GIÁ",IF(OR($K390="",$K390=0,$Y390=""),"OK",IF(ABS(($Y390-$K390)/$K390)&gt;0.15,"LỆCH GIÁ CŨ","OK")))),"OK")</x:f>
        <x:v>THIẾU GIÁ</x:v>
      </x:c>
      <x:c r="AC390" s="30" t="str">
        <x:v>Không dùng giá Sốt/Đường Douxian cho Mứt Douxian</x:v>
      </x:c>
      <x:c r="AD390" s="37" t="str">
        <x:v>STDXDO</x:v>
      </x:c>
      <x:c r="AE390" s="38" t="str">
        <x:v>STDXDOT</x:v>
      </x:c>
      <x:c r="AF390" s="123" t="n">
        <x:v>0</x:v>
      </x:c>
      <x:c r="AG390" s="112" t="str">
        <x:v>g</x:v>
      </x:c>
      <x:c r="AH390" s="112" t="str">
        <x:v>CHAI</x:v>
      </x:c>
      <x:c r="AI390" s="112" t="str">
        <x:v>0 g / CHAI</x:v>
      </x:c>
      <x:c r="AJ390" s="120" t="n">
        <x:v>0</x:v>
      </x:c>
      <x:c r="AK390" s="120"/>
      <x:c r="AL390" s="120"/>
      <x:c r="AM390" s="112" t="str">
        <x:v>DS SP GIÁ 0 - VẪN THIẾU GIÁ</x:v>
      </x:c>
      <x:c r="AN390" s="126" t="n">
        <x:v>845</x:v>
      </x:c>
      <x:c r="AO390" s="126" t="n">
        <x:v>846</x:v>
      </x:c>
      <x:c r="AP390" s="113" t="str">
        <x:v>12 CHAI / THÙNG</x:v>
      </x:c>
    </x:row>
    <x:row r="391">
      <x:c r="A391" s="71" t="str">
        <x:v>MỨT DOUXIAN DÂU</x:v>
      </x:c>
      <x:c r="B391" s="30" t="str">
        <x:v>MỨT DOUXIAN DÂU - THÙNG</x:v>
      </x:c>
      <x:c r="C391" s="37" t="str">
        <x:v>STDXDA</x:v>
      </x:c>
      <x:c r="D391" s="37" t="str">
        <x:v>STDXDAT</x:v>
      </x:c>
      <x:c r="E391" s="37" t="str">
        <x:v>STDXDAT</x:v>
      </x:c>
      <x:c r="F391" s="37" t="n">
        <x:v>12</x:v>
      </x:c>
      <x:c r="G391" s="37" t="n">
        <x:v>16000</x:v>
      </x:c>
      <x:c r="H391" s="37" t="str">
        <x:v>g</x:v>
      </x:c>
      <x:c r="I391" s="37" t="str">
        <x:v>THÙNG</x:v>
      </x:c>
      <x:c r="J391" s="59" t="n">
        <x:v>0</x:v>
      </x:c>
      <x:c r="K391" s="59" t="n">
        <x:v>0</x:v>
      </x:c>
      <x:c r="L391" s="59" t="n">
        <x:v>0</x:v>
      </x:c>
      <x:c r="M391" s="37" t="str">
        <x:v>Khác</x:v>
      </x:c>
      <x:c r="N391" s="37" t="str">
        <x:v>CẦN DUYỆT</x:v>
      </x:c>
      <x:c r="O391" s="61" t="n">
        <x:v>0.775</x:v>
      </x:c>
      <x:c r="P391" s="37" t="n">
        <x:v>99</x:v>
      </x:c>
      <x:c r="Q391" s="30" t="str">
        <x:v>Sốt Douxian các loại</x:v>
      </x:c>
      <x:c r="R391" s="30" t="str">
        <x:v>Thùng 12 chai</x:v>
      </x:c>
      <x:c r="S391" s="30" t="str">
        <x:v>Chai</x:v>
      </x:c>
      <x:c r="T391" s="37" t="str">
        <x:v>ĐƠN VỊ</x:v>
      </x:c>
      <x:c r="U391" s="59" t="n">
        <x:v>53000</x:v>
      </x:c>
      <x:c r="V391" s="59"/>
      <x:c r="W391" s="117"/>
      <x:c r="X391" s="59" t="str">
        <x:f>IFERROR(IF(OR($N391="ĐÃ GHÉP - AUTO",$N391="ĐÃ GHÉP - QUY TẮC"),IF($V391="","",IF($T391="THÙNG",$V391/$F391,$V391)),""),"")</x:f>
      </x:c>
      <x:c r="Y391" s="117" t="str">
        <x:f>IF(OR(W391="",F391=""),"",W391*F391)</x:f>
      </x:c>
      <x:c r="Z391" s="59" t="str">
        <x:f>IFERROR(IF(OR($N391="ĐÃ GHÉP - AUTO",$N391="ĐÃ GHÉP - QUY TẮC"),IF($V391="","",IF($T391="THÙNG",$V391,$V391*$F391)),""),"")</x:f>
      </x:c>
      <x:c r="AA391" s="28" t="str">
        <x:f>IFERROR(IF(OR($K391="",$K391=0,$Y391=""),"",($Y391-$K391)/$K391),"")</x:f>
      </x:c>
      <x:c r="AB391" s="37" t="str">
        <x:f>IFERROR(IF($N391="CẦN DUYỆT","DUYỆT MAP",IF($N391="CHƯA CÓ GIÁ LẺ","THIẾU GIÁ",IF(OR($K391="",$K391=0,$Y391=""),"OK",IF(ABS(($Y391-$K391)/$K391)&gt;0.15,"LỆCH GIÁ CŨ","OK")))),"OK")</x:f>
        <x:v>DUYỆT MAP</x:v>
      </x:c>
      <x:c r="AC391" s="30" t="str">
        <x:v>score=0.775; gap=0.001; phương án 2=Flan Douxian</x:v>
      </x:c>
      <x:c r="AD391" s="37" t="str">
        <x:v>STDXDA</x:v>
      </x:c>
      <x:c r="AE391" s="38" t="str">
        <x:v>STDXDAT</x:v>
      </x:c>
      <x:c r="AF391" s="123" t="n">
        <x:v>0</x:v>
      </x:c>
      <x:c r="AG391" s="112" t="str">
        <x:v>g</x:v>
      </x:c>
      <x:c r="AH391" s="112" t="str">
        <x:v>CHAI</x:v>
      </x:c>
      <x:c r="AI391" s="112" t="str">
        <x:v>0 g / CHAI</x:v>
      </x:c>
      <x:c r="AJ391" s="120" t="n">
        <x:v>0</x:v>
      </x:c>
      <x:c r="AK391" s="120"/>
      <x:c r="AL391" s="120"/>
      <x:c r="AM391" s="112" t="str">
        <x:v>DS SP GIÁ 0 - VẪN THIẾU GIÁ</x:v>
      </x:c>
      <x:c r="AN391" s="126" t="n">
        <x:v>847</x:v>
      </x:c>
      <x:c r="AO391" s="126" t="n">
        <x:v>848</x:v>
      </x:c>
      <x:c r="AP391" s="113" t="str">
        <x:v>12 CHAI / THÙNG</x:v>
      </x:c>
    </x:row>
    <x:row r="392">
      <x:c r="A392" s="71" t="str">
        <x:v>MỨT DOUXIAN CHANH DÂY</x:v>
      </x:c>
      <x:c r="B392" s="30" t="str">
        <x:v>MỨT DOUXIAN CHANH DÂY - THÙNG</x:v>
      </x:c>
      <x:c r="C392" s="37" t="str">
        <x:v>STDXCD</x:v>
      </x:c>
      <x:c r="D392" s="37" t="str">
        <x:v>STDXCDT</x:v>
      </x:c>
      <x:c r="E392" s="37" t="str">
        <x:v>STDXCDT</x:v>
      </x:c>
      <x:c r="F392" s="37" t="n">
        <x:v>12</x:v>
      </x:c>
      <x:c r="G392" s="37" t="n">
        <x:v>16000</x:v>
      </x:c>
      <x:c r="H392" s="37" t="str">
        <x:v>g</x:v>
      </x:c>
      <x:c r="I392" s="37" t="str">
        <x:v>THÙNG</x:v>
      </x:c>
      <x:c r="J392" s="59" t="n">
        <x:v>0</x:v>
      </x:c>
      <x:c r="K392" s="59" t="n">
        <x:v>0</x:v>
      </x:c>
      <x:c r="L392" s="59" t="n">
        <x:v>0</x:v>
      </x:c>
      <x:c r="M392" s="37" t="str">
        <x:v>Khác</x:v>
      </x:c>
      <x:c r="N392" s="37" t="str">
        <x:v>CHƯA CÓ GIÁ LẺ</x:v>
      </x:c>
      <x:c r="O392" s="61" t="n">
        <x:v>0.784</x:v>
      </x:c>
      <x:c r="P392" s="37"/>
      <x:c r="Q392" s="30"/>
      <x:c r="R392" s="30"/>
      <x:c r="S392" s="30"/>
      <x:c r="T392" s="37"/>
      <x:c r="U392" s="59"/>
      <x:c r="V392" s="59"/>
      <x:c r="W392" s="117"/>
      <x:c r="X392" s="59" t="str">
        <x:f>IFERROR(IF(OR($N392="ĐÃ GHÉP - AUTO",$N392="ĐÃ GHÉP - QUY TẮC"),IF($V392="","",IF($T392="THÙNG",$V392/$F392,$V392)),""),"")</x:f>
      </x:c>
      <x:c r="Y392" s="117" t="str">
        <x:f>IF(OR(W392="",F392=""),"",W392*F392)</x:f>
      </x:c>
      <x:c r="Z392" s="59" t="str">
        <x:f>IFERROR(IF(OR($N392="ĐÃ GHÉP - AUTO",$N392="ĐÃ GHÉP - QUY TẮC"),IF($V392="","",IF($T392="THÙNG",$V392,$V392*$F392)),""),"")</x:f>
      </x:c>
      <x:c r="AA392" s="28" t="str">
        <x:f>IFERROR(IF(OR($K392="",$K392=0,$Y392=""),"",($Y392-$K392)/$K392),"")</x:f>
      </x:c>
      <x:c r="AB392" s="37" t="str">
        <x:f>IFERROR(IF($N392="CẦN DUYỆT","DUYỆT MAP",IF($N392="CHƯA CÓ GIÁ LẺ","THIẾU GIÁ",IF(OR($K392="",$K392=0,$Y392=""),"OK",IF(ABS(($Y392-$K392)/$K392)&gt;0.15,"LỆCH GIÁ CŨ","OK")))),"OK")</x:f>
        <x:v>THIẾU GIÁ</x:v>
      </x:c>
      <x:c r="AC392" s="30" t="str">
        <x:v>Không dùng giá Sốt/Đường Douxian cho Mứt Douxian</x:v>
      </x:c>
      <x:c r="AD392" s="37" t="str">
        <x:v>STDXCD</x:v>
      </x:c>
      <x:c r="AE392" s="38" t="str">
        <x:v>STDXCDT</x:v>
      </x:c>
      <x:c r="AF392" s="123" t="n">
        <x:v>0</x:v>
      </x:c>
      <x:c r="AG392" s="112" t="str">
        <x:v>g</x:v>
      </x:c>
      <x:c r="AH392" s="112" t="str">
        <x:v>CHAI</x:v>
      </x:c>
      <x:c r="AI392" s="112" t="str">
        <x:v>0 g / CHAI</x:v>
      </x:c>
      <x:c r="AJ392" s="120" t="n">
        <x:v>0</x:v>
      </x:c>
      <x:c r="AK392" s="120"/>
      <x:c r="AL392" s="120"/>
      <x:c r="AM392" s="112" t="str">
        <x:v>DS SP GIÁ 0 - VẪN THIẾU GIÁ</x:v>
      </x:c>
      <x:c r="AN392" s="126" t="n">
        <x:v>849</x:v>
      </x:c>
      <x:c r="AO392" s="126" t="n">
        <x:v>850</x:v>
      </x:c>
      <x:c r="AP392" s="113" t="str">
        <x:v>12 CHAI / THÙNG</x:v>
      </x:c>
    </x:row>
    <x:row r="393">
      <x:c r="A393" s="71" t="str">
        <x:v>MỨT VINA 1L DÂU</x:v>
      </x:c>
      <x:c r="B393" s="30" t="str">
        <x:v>MỨT VINA 1L DÂU - THÙNG</x:v>
      </x:c>
      <x:c r="C393" s="37" t="str">
        <x:v>STV1DA</x:v>
      </x:c>
      <x:c r="D393" s="37" t="str">
        <x:v>STV1DAT</x:v>
      </x:c>
      <x:c r="E393" s="37" t="str">
        <x:v>STV1DAT</x:v>
      </x:c>
      <x:c r="F393" s="37" t="n">
        <x:v>12</x:v>
      </x:c>
      <x:c r="G393" s="37" t="n">
        <x:v>16000</x:v>
      </x:c>
      <x:c r="H393" s="37" t="str">
        <x:v>g</x:v>
      </x:c>
      <x:c r="I393" s="37" t="str">
        <x:v>THÙNG</x:v>
      </x:c>
      <x:c r="J393" s="59" t="n">
        <x:v>0</x:v>
      </x:c>
      <x:c r="K393" s="59" t="n">
        <x:v>0</x:v>
      </x:c>
      <x:c r="L393" s="59" t="n">
        <x:v>0</x:v>
      </x:c>
      <x:c r="M393" s="37" t="str">
        <x:v>Sinh tố / mứt</x:v>
      </x:c>
      <x:c r="N393" s="37" t="str">
        <x:v>ĐÃ GHÉP - AUTO</x:v>
      </x:c>
      <x:c r="O393" s="61" t="n">
        <x:v>0.964</x:v>
      </x:c>
      <x:c r="P393" s="37" t="n">
        <x:v>48</x:v>
      </x:c>
      <x:c r="Q393" s="30" t="str">
        <x:v>SINH TỐ VINA DÂU</x:v>
      </x:c>
      <x:c r="R393" s="30" t="str">
        <x:v>THÙNG 12 CHAI</x:v>
      </x:c>
      <x:c r="S393" s="30" t="str">
        <x:v>CHAI</x:v>
      </x:c>
      <x:c r="T393" s="37" t="str">
        <x:v>ĐƠN VỊ</x:v>
      </x:c>
      <x:c r="U393" s="59" t="n">
        <x:v>70000</x:v>
      </x:c>
      <x:c r="V393" s="59" t="n">
        <x:v>68000</x:v>
      </x:c>
      <x:c r="W393" s="117" t="n">
        <x:v>70000</x:v>
      </x:c>
      <x:c r="X393" s="59" t="n">
        <x:f>IFERROR(IF(OR($N393="ĐÃ GHÉP - AUTO",$N393="ĐÃ GHÉP - QUY TẮC"),IF($V393="","",IF($T393="THÙNG",$V393/$F393,$V393)),""),"")</x:f>
        <x:v>68000</x:v>
      </x:c>
      <x:c r="Y393" s="117" t="n">
        <x:f>IF(OR(W393="",F393=""),"",W393*F393)</x:f>
        <x:v>840000</x:v>
      </x:c>
      <x:c r="Z393" s="59" t="n">
        <x:f>IFERROR(IF(OR($N393="ĐÃ GHÉP - AUTO",$N393="ĐÃ GHÉP - QUY TẮC"),IF($V393="","",IF($T393="THÙNG",$V393,$V393*$F393)),""),"")</x:f>
        <x:v>816000</x:v>
      </x:c>
      <x:c r="AA393" s="28" t="str">
        <x:f>IFERROR(IF(OR($K393="",$K393=0,$Y393=""),"",($Y393-$K393)/$K393),"")</x:f>
      </x:c>
      <x:c r="AB393" s="37" t="str">
        <x:f>IFERROR(IF($N393="CẦN DUYỆT","DUYỆT MAP",IF($N393="CHƯA CÓ GIÁ LẺ","THIẾU GIÁ",IF(OR($K393="",$K393=0,$Y393=""),"OK",IF(ABS(($Y393-$K393)/$K393)&gt;0.15,"LỆCH GIÁ CŨ","OK")))),"OK")</x:f>
        <x:v>OK</x:v>
      </x:c>
      <x:c r="AC393" s="30" t="str">
        <x:v>score=0.964; gap=0.302</x:v>
      </x:c>
      <x:c r="AD393" s="37" t="str">
        <x:v>STV1DA</x:v>
      </x:c>
      <x:c r="AE393" s="38" t="str">
        <x:v>STV1DAT</x:v>
      </x:c>
      <x:c r="AF393" s="123" t="n">
        <x:v>1300</x:v>
      </x:c>
      <x:c r="AG393" s="112" t="str">
        <x:v>g</x:v>
      </x:c>
      <x:c r="AH393" s="112" t="str">
        <x:v>CHAI</x:v>
      </x:c>
      <x:c r="AI393" s="112" t="str">
        <x:v>1300 g / CHAI</x:v>
      </x:c>
      <x:c r="AJ393" s="120" t="n">
        <x:v>70000</x:v>
      </x:c>
      <x:c r="AK393" s="120" t="n">
        <x:v>70000</x:v>
      </x:c>
      <x:c r="AL393" s="120" t="n">
        <x:v>70000</x:v>
      </x:c>
      <x:c r="AM393" s="112" t="str">
        <x:v>GIỮ NGUYÊN - ĐÃ KHỚP</x:v>
      </x:c>
      <x:c r="AN393" s="126" t="n">
        <x:v>851</x:v>
      </x:c>
      <x:c r="AO393" s="126" t="n">
        <x:v>852</x:v>
      </x:c>
      <x:c r="AP393" s="113" t="str">
        <x:v>12 CHAI / THÙNG</x:v>
      </x:c>
    </x:row>
    <x:row r="394">
      <x:c r="A394" s="71" t="str">
        <x:v>MỨT VINA 1L DÂU TẰM</x:v>
      </x:c>
      <x:c r="B394" s="30" t="str">
        <x:v>MỨT VINA 1L DÂU TẰM - THÙNG</x:v>
      </x:c>
      <x:c r="C394" s="37" t="str">
        <x:v>STV1DT</x:v>
      </x:c>
      <x:c r="D394" s="37" t="str">
        <x:v>STV1DTT</x:v>
      </x:c>
      <x:c r="E394" s="37" t="str">
        <x:v>STV1DTT</x:v>
      </x:c>
      <x:c r="F394" s="37" t="n">
        <x:v>12</x:v>
      </x:c>
      <x:c r="G394" s="37" t="n">
        <x:v>16000</x:v>
      </x:c>
      <x:c r="H394" s="37" t="str">
        <x:v>g</x:v>
      </x:c>
      <x:c r="I394" s="37" t="str">
        <x:v>THÙNG</x:v>
      </x:c>
      <x:c r="J394" s="59" t="n">
        <x:v>0</x:v>
      </x:c>
      <x:c r="K394" s="59" t="n">
        <x:v>0</x:v>
      </x:c>
      <x:c r="L394" s="59" t="n">
        <x:v>0</x:v>
      </x:c>
      <x:c r="M394" s="37" t="str">
        <x:v>Sinh tố / mứt</x:v>
      </x:c>
      <x:c r="N394" s="37" t="str">
        <x:v>ĐÃ GHÉP - AUTO</x:v>
      </x:c>
      <x:c r="O394" s="61" t="n">
        <x:v>0.91</x:v>
      </x:c>
      <x:c r="P394" s="37" t="n">
        <x:v>48</x:v>
      </x:c>
      <x:c r="Q394" s="30" t="str">
        <x:v>SINH TỐ VINA DÂU</x:v>
      </x:c>
      <x:c r="R394" s="30" t="str">
        <x:v>THÙNG 12 CHAI</x:v>
      </x:c>
      <x:c r="S394" s="30" t="str">
        <x:v>CHAI</x:v>
      </x:c>
      <x:c r="T394" s="37" t="str">
        <x:v>ĐƠN VỊ</x:v>
      </x:c>
      <x:c r="U394" s="59" t="n">
        <x:v>70000</x:v>
      </x:c>
      <x:c r="V394" s="59" t="n">
        <x:v>68000</x:v>
      </x:c>
      <x:c r="W394" s="117" t="n">
        <x:v>86000</x:v>
      </x:c>
      <x:c r="X394" s="59" t="n">
        <x:f>IFERROR(IF(OR($N394="ĐÃ GHÉP - AUTO",$N394="ĐÃ GHÉP - QUY TẮC"),IF($V394="","",IF($T394="THÙNG",$V394/$F394,$V394)),""),"")</x:f>
        <x:v>68000</x:v>
      </x:c>
      <x:c r="Y394" s="117" t="n">
        <x:f>IF(OR(W394="",F394=""),"",W394*F394)</x:f>
        <x:v>1032000</x:v>
      </x:c>
      <x:c r="Z394" s="59" t="n">
        <x:f>IFERROR(IF(OR($N394="ĐÃ GHÉP - AUTO",$N394="ĐÃ GHÉP - QUY TẮC"),IF($V394="","",IF($T394="THÙNG",$V394,$V394*$F394)),""),"")</x:f>
        <x:v>816000</x:v>
      </x:c>
      <x:c r="AA394" s="28" t="str">
        <x:f>IFERROR(IF(OR($K394="",$K394=0,$Y394=""),"",($Y394-$K394)/$K394),"")</x:f>
      </x:c>
      <x:c r="AB394" s="37" t="str">
        <x:f>IFERROR(IF($N394="CẦN DUYỆT","DUYỆT MAP",IF($N394="CHƯA CÓ GIÁ LẺ","THIẾU GIÁ",IF(OR($K394="",$K394=0,$Y394=""),"OK",IF(ABS(($Y394-$K394)/$K394)&gt;0.15,"LỆCH GIÁ CŨ","OK")))),"OK")</x:f>
        <x:v>OK</x:v>
      </x:c>
      <x:c r="AC394" s="30" t="str">
        <x:v>score=0.910; gap=0.201</x:v>
      </x:c>
      <x:c r="AD394" s="37" t="str">
        <x:v>STV1DT</x:v>
      </x:c>
      <x:c r="AE394" s="38" t="str">
        <x:v>STV1DTT</x:v>
      </x:c>
      <x:c r="AF394" s="123" t="n">
        <x:v>1300</x:v>
      </x:c>
      <x:c r="AG394" s="112" t="str">
        <x:v>g</x:v>
      </x:c>
      <x:c r="AH394" s="112" t="str">
        <x:v>CHAI</x:v>
      </x:c>
      <x:c r="AI394" s="112" t="str">
        <x:v>1300 g / CHAI</x:v>
      </x:c>
      <x:c r="AJ394" s="120" t="n">
        <x:v>86000</x:v>
      </x:c>
      <x:c r="AK394" s="120" t="n">
        <x:v>70000</x:v>
      </x:c>
      <x:c r="AL394" s="120" t="n">
        <x:v>86000</x:v>
      </x:c>
      <x:c r="AM394" s="112" t="str">
        <x:v>CẬP NHẬT GIÁ</x:v>
      </x:c>
      <x:c r="AN394" s="126" t="n">
        <x:v>853</x:v>
      </x:c>
      <x:c r="AO394" s="126" t="n">
        <x:v>854</x:v>
      </x:c>
      <x:c r="AP394" s="113" t="str">
        <x:v>12 CHAI / THÙNG</x:v>
      </x:c>
    </x:row>
    <x:row r="395">
      <x:c r="A395" s="71" t="str">
        <x:v>MỨT GOLD DÂU TẰM</x:v>
      </x:c>
      <x:c r="B395" s="30" t="str">
        <x:v>MỨT GOLD DÂU TẰM - THÙNG</x:v>
      </x:c>
      <x:c r="C395" s="37" t="str">
        <x:v>STGDTM</x:v>
      </x:c>
      <x:c r="D395" s="37" t="str">
        <x:v>STGDTMT</x:v>
      </x:c>
      <x:c r="E395" s="37" t="str">
        <x:v>STGDTMT</x:v>
      </x:c>
      <x:c r="F395" s="37" t="n">
        <x:v>12</x:v>
      </x:c>
      <x:c r="G395" s="37" t="n">
        <x:v>16000</x:v>
      </x:c>
      <x:c r="H395" s="37" t="str">
        <x:v>g</x:v>
      </x:c>
      <x:c r="I395" s="37" t="str">
        <x:v>THÙNG</x:v>
      </x:c>
      <x:c r="J395" s="59" t="n">
        <x:v>1155000</x:v>
      </x:c>
      <x:c r="K395" s="59" t="n">
        <x:v>0</x:v>
      </x:c>
      <x:c r="L395" s="59" t="n">
        <x:v>0</x:v>
      </x:c>
      <x:c r="M395" s="37" t="str">
        <x:v>Sinh tố / mứt</x:v>
      </x:c>
      <x:c r="N395" s="37" t="str">
        <x:v>ĐÃ GHÉP - AUTO</x:v>
      </x:c>
      <x:c r="O395" s="61" t="n">
        <x:v>0.964</x:v>
      </x:c>
      <x:c r="P395" s="37" t="n">
        <x:v>41</x:v>
      </x:c>
      <x:c r="Q395" s="30" t="str">
        <x:v>Sinh Tố Gold dâu tằm</x:v>
      </x:c>
      <x:c r="R395" s="30" t="str">
        <x:v>Thung 12 chai</x:v>
      </x:c>
      <x:c r="S395" s="30" t="str">
        <x:v>Chai</x:v>
      </x:c>
      <x:c r="T395" s="37" t="str">
        <x:v>ĐƠN VỊ</x:v>
      </x:c>
      <x:c r="U395" s="59" t="n">
        <x:v>100000</x:v>
      </x:c>
      <x:c r="V395" s="59"/>
      <x:c r="W395" s="117" t="n">
        <x:v>100000</x:v>
      </x:c>
      <x:c r="X395" s="59" t="str">
        <x:f>IFERROR(IF(OR($N395="ĐÃ GHÉP - AUTO",$N395="ĐÃ GHÉP - QUY TẮC"),IF($V395="","",IF($T395="THÙNG",$V395/$F395,$V395)),""),"")</x:f>
      </x:c>
      <x:c r="Y395" s="117" t="n">
        <x:f>IF(OR(W395="",F395=""),"",W395*F395)</x:f>
        <x:v>1200000</x:v>
      </x:c>
      <x:c r="Z395" s="59" t="str">
        <x:f>IFERROR(IF(OR($N395="ĐÃ GHÉP - AUTO",$N395="ĐÃ GHÉP - QUY TẮC"),IF($V395="","",IF($T395="THÙNG",$V395,$V395*$F395)),""),"")</x:f>
      </x:c>
      <x:c r="AA395" s="28" t="str">
        <x:f>IFERROR(IF(OR($K395="",$K395=0,$Y395=""),"",($Y395-$K395)/$K395),"")</x:f>
      </x:c>
      <x:c r="AB395" s="37" t="str">
        <x:f>IFERROR(IF($N395="CẦN DUYỆT","DUYỆT MAP",IF($N395="CHƯA CÓ GIÁ LẺ","THIẾU GIÁ",IF(OR($K395="",$K395=0,$Y395=""),"OK",IF(ABS(($Y395-$K395)/$K395)&gt;0.15,"LỆCH GIÁ CŨ","OK")))),"OK")</x:f>
        <x:v>OK</x:v>
      </x:c>
      <x:c r="AC395" s="30" t="str">
        <x:v>score=0.964; gap=0.069</x:v>
      </x:c>
      <x:c r="AD395" s="37" t="str">
        <x:v>STGDTM</x:v>
      </x:c>
      <x:c r="AE395" s="38" t="str">
        <x:v>STGDTMT</x:v>
      </x:c>
      <x:c r="AF395" s="123" t="n">
        <x:v>1300</x:v>
      </x:c>
      <x:c r="AG395" s="112" t="str">
        <x:v>g</x:v>
      </x:c>
      <x:c r="AH395" s="112" t="str">
        <x:v>CHAI</x:v>
      </x:c>
      <x:c r="AI395" s="112" t="str">
        <x:v>1300 g / CHAI</x:v>
      </x:c>
      <x:c r="AJ395" s="120" t="n">
        <x:v>100000</x:v>
      </x:c>
      <x:c r="AK395" s="120" t="n">
        <x:v>100000</x:v>
      </x:c>
      <x:c r="AL395" s="120" t="n">
        <x:v>100000</x:v>
      </x:c>
      <x:c r="AM395" s="112" t="str">
        <x:v>GIỮ NGUYÊN - ĐÃ KHỚP</x:v>
      </x:c>
      <x:c r="AN395" s="126" t="n">
        <x:v>855</x:v>
      </x:c>
      <x:c r="AO395" s="126" t="n">
        <x:v>856</x:v>
      </x:c>
      <x:c r="AP395" s="113" t="str">
        <x:v>12 CHAI / THÙNG</x:v>
      </x:c>
    </x:row>
    <x:row r="396">
      <x:c r="A396" s="71" t="str">
        <x:v>MỨT GOLD DÂU</x:v>
      </x:c>
      <x:c r="B396" s="30" t="str">
        <x:v>MỨT GOLD DÂU - THÙNG</x:v>
      </x:c>
      <x:c r="C396" s="37" t="str">
        <x:v>STGDAU</x:v>
      </x:c>
      <x:c r="D396" s="37" t="str">
        <x:v>STGDAUT</x:v>
      </x:c>
      <x:c r="E396" s="37" t="str">
        <x:v>STGDAUT</x:v>
      </x:c>
      <x:c r="F396" s="37" t="n">
        <x:v>12</x:v>
      </x:c>
      <x:c r="G396" s="37" t="n">
        <x:v>16000</x:v>
      </x:c>
      <x:c r="H396" s="37" t="str">
        <x:v>g</x:v>
      </x:c>
      <x:c r="I396" s="37" t="str">
        <x:v>THÙNG</x:v>
      </x:c>
      <x:c r="J396" s="59" t="n">
        <x:v>1044000</x:v>
      </x:c>
      <x:c r="K396" s="59" t="n">
        <x:v>0</x:v>
      </x:c>
      <x:c r="L396" s="59" t="n">
        <x:v>0</x:v>
      </x:c>
      <x:c r="M396" s="37" t="str">
        <x:v>Sinh tố / mứt</x:v>
      </x:c>
      <x:c r="N396" s="37" t="str">
        <x:v>ĐÃ GHÉP - AUTO</x:v>
      </x:c>
      <x:c r="O396" s="61" t="n">
        <x:v>0.958</x:v>
      </x:c>
      <x:c r="P396" s="37" t="n">
        <x:v>33</x:v>
      </x:c>
      <x:c r="Q396" s="30" t="str">
        <x:v>Sinh Tố Gold Dâu</x:v>
      </x:c>
      <x:c r="R396" s="30" t="str">
        <x:v>Thùng12 chai</x:v>
      </x:c>
      <x:c r="S396" s="30" t="str">
        <x:v>Chai</x:v>
      </x:c>
      <x:c r="T396" s="37" t="str">
        <x:v>ĐƠN VỊ</x:v>
      </x:c>
      <x:c r="U396" s="59" t="n">
        <x:v>90000</x:v>
      </x:c>
      <x:c r="V396" s="59"/>
      <x:c r="W396" s="117" t="n">
        <x:v>90000</x:v>
      </x:c>
      <x:c r="X396" s="59" t="str">
        <x:f>IFERROR(IF(OR($N396="ĐÃ GHÉP - AUTO",$N396="ĐÃ GHÉP - QUY TẮC"),IF($V396="","",IF($T396="THÙNG",$V396/$F396,$V396)),""),"")</x:f>
      </x:c>
      <x:c r="Y396" s="117" t="n">
        <x:f>IF(OR(W396="",F396=""),"",W396*F396)</x:f>
        <x:v>1080000</x:v>
      </x:c>
      <x:c r="Z396" s="59" t="str">
        <x:f>IFERROR(IF(OR($N396="ĐÃ GHÉP - AUTO",$N396="ĐÃ GHÉP - QUY TẮC"),IF($V396="","",IF($T396="THÙNG",$V396,$V396*$F396)),""),"")</x:f>
      </x:c>
      <x:c r="AA396" s="28" t="str">
        <x:f>IFERROR(IF(OR($K396="",$K396=0,$Y396=""),"",($Y396-$K396)/$K396),"")</x:f>
      </x:c>
      <x:c r="AB396" s="37" t="str">
        <x:f>IFERROR(IF($N396="CẦN DUYỆT","DUYỆT MAP",IF($N396="CHƯA CÓ GIÁ LẺ","THIẾU GIÁ",IF(OR($K396="",$K396=0,$Y396=""),"OK",IF(ABS(($Y396-$K396)/$K396)&gt;0.15,"LỆCH GIÁ CŨ","OK")))),"OK")</x:f>
        <x:v>OK</x:v>
      </x:c>
      <x:c r="AC396" s="30" t="str">
        <x:v>score=0.958; gap=0.224</x:v>
      </x:c>
      <x:c r="AD396" s="37" t="str">
        <x:v>STGDAU</x:v>
      </x:c>
      <x:c r="AE396" s="38" t="str">
        <x:v>STGDAUT</x:v>
      </x:c>
      <x:c r="AF396" s="123" t="n">
        <x:v>1300</x:v>
      </x:c>
      <x:c r="AG396" s="112" t="str">
        <x:v>g</x:v>
      </x:c>
      <x:c r="AH396" s="112" t="str">
        <x:v>CHAI</x:v>
      </x:c>
      <x:c r="AI396" s="112" t="str">
        <x:v>1300 g / CHAI</x:v>
      </x:c>
      <x:c r="AJ396" s="120" t="n">
        <x:v>90000</x:v>
      </x:c>
      <x:c r="AK396" s="120" t="n">
        <x:v>90000</x:v>
      </x:c>
      <x:c r="AL396" s="120" t="n">
        <x:v>90000</x:v>
      </x:c>
      <x:c r="AM396" s="112" t="str">
        <x:v>GIỮ NGUYÊN - ĐÃ KHỚP</x:v>
      </x:c>
      <x:c r="AN396" s="126" t="n">
        <x:v>857</x:v>
      </x:c>
      <x:c r="AO396" s="126" t="n">
        <x:v>858</x:v>
      </x:c>
      <x:c r="AP396" s="113" t="str">
        <x:v>12 CHAI / THÙNG</x:v>
      </x:c>
    </x:row>
    <x:row r="397">
      <x:c r="A397" s="71" t="str">
        <x:v>MỨT VINA 1L CHANH DÂY</x:v>
      </x:c>
      <x:c r="B397" s="30" t="str">
        <x:v>MỨT VINA 1L CHANH DÂY - THÙNG</x:v>
      </x:c>
      <x:c r="C397" s="37" t="str">
        <x:v>STV1CD</x:v>
      </x:c>
      <x:c r="D397" s="37" t="str">
        <x:v>STV1CDT</x:v>
      </x:c>
      <x:c r="E397" s="37" t="str">
        <x:v>STV1CDT</x:v>
      </x:c>
      <x:c r="F397" s="37" t="n">
        <x:v>12</x:v>
      </x:c>
      <x:c r="G397" s="37" t="n">
        <x:v>16000</x:v>
      </x:c>
      <x:c r="H397" s="37" t="str">
        <x:v>g</x:v>
      </x:c>
      <x:c r="I397" s="37" t="str">
        <x:v>THÙNG</x:v>
      </x:c>
      <x:c r="J397" s="59" t="n">
        <x:v>0</x:v>
      </x:c>
      <x:c r="K397" s="59" t="n">
        <x:v>0</x:v>
      </x:c>
      <x:c r="L397" s="59" t="n">
        <x:v>0</x:v>
      </x:c>
      <x:c r="M397" s="37" t="str">
        <x:v>Sinh tố / mứt</x:v>
      </x:c>
      <x:c r="N397" s="37" t="str">
        <x:v>ĐÃ GHÉP - AUTO</x:v>
      </x:c>
      <x:c r="O397" s="61" t="n">
        <x:v>0.964</x:v>
      </x:c>
      <x:c r="P397" s="37" t="n">
        <x:v>51</x:v>
      </x:c>
      <x:c r="Q397" s="30" t="str">
        <x:v>SINH TỐ VINA CHANH DÂY</x:v>
      </x:c>
      <x:c r="R397" s="30" t="str">
        <x:v>THÙNG 12 CHAI</x:v>
      </x:c>
      <x:c r="S397" s="30" t="str">
        <x:v>CHAI</x:v>
      </x:c>
      <x:c r="T397" s="37" t="str">
        <x:v>ĐƠN VỊ</x:v>
      </x:c>
      <x:c r="U397" s="59" t="n">
        <x:v>72000</x:v>
      </x:c>
      <x:c r="V397" s="59" t="n">
        <x:v>70000</x:v>
      </x:c>
      <x:c r="W397" s="117" t="n">
        <x:v>72000</x:v>
      </x:c>
      <x:c r="X397" s="59" t="n">
        <x:f>IFERROR(IF(OR($N397="ĐÃ GHÉP - AUTO",$N397="ĐÃ GHÉP - QUY TẮC"),IF($V397="","",IF($T397="THÙNG",$V397/$F397,$V397)),""),"")</x:f>
        <x:v>70000</x:v>
      </x:c>
      <x:c r="Y397" s="117" t="n">
        <x:f>IF(OR(W397="",F397=""),"",W397*F397)</x:f>
        <x:v>864000</x:v>
      </x:c>
      <x:c r="Z397" s="59" t="n">
        <x:f>IFERROR(IF(OR($N397="ĐÃ GHÉP - AUTO",$N397="ĐÃ GHÉP - QUY TẮC"),IF($V397="","",IF($T397="THÙNG",$V397,$V397*$F397)),""),"")</x:f>
        <x:v>840000</x:v>
      </x:c>
      <x:c r="AA397" s="28" t="str">
        <x:f>IFERROR(IF(OR($K397="",$K397=0,$Y397=""),"",($Y397-$K397)/$K397),"")</x:f>
      </x:c>
      <x:c r="AB397" s="37" t="str">
        <x:f>IFERROR(IF($N397="CẦN DUYỆT","DUYỆT MAP",IF($N397="CHƯA CÓ GIÁ LẺ","THIẾU GIÁ",IF(OR($K397="",$K397=0,$Y397=""),"OK",IF(ABS(($Y397-$K397)/$K397)&gt;0.15,"LỆCH GIÁ CŨ","OK")))),"OK")</x:f>
        <x:v>OK</x:v>
      </x:c>
      <x:c r="AC397" s="30" t="str">
        <x:v>score=0.964; gap=0.231</x:v>
      </x:c>
      <x:c r="AD397" s="37" t="str">
        <x:v>STV1CD</x:v>
      </x:c>
      <x:c r="AE397" s="38" t="str">
        <x:v>STV1CDT</x:v>
      </x:c>
      <x:c r="AF397" s="123" t="n">
        <x:v>1300</x:v>
      </x:c>
      <x:c r="AG397" s="112" t="str">
        <x:v>g</x:v>
      </x:c>
      <x:c r="AH397" s="112" t="str">
        <x:v>CHAI</x:v>
      </x:c>
      <x:c r="AI397" s="112" t="str">
        <x:v>1300 g / CHAI</x:v>
      </x:c>
      <x:c r="AJ397" s="120" t="n">
        <x:v>72000</x:v>
      </x:c>
      <x:c r="AK397" s="120" t="n">
        <x:v>72000</x:v>
      </x:c>
      <x:c r="AL397" s="120" t="n">
        <x:v>72000</x:v>
      </x:c>
      <x:c r="AM397" s="112" t="str">
        <x:v>GIỮ NGUYÊN - ĐÃ KHỚP</x:v>
      </x:c>
      <x:c r="AN397" s="126" t="n">
        <x:v>859</x:v>
      </x:c>
      <x:c r="AO397" s="126" t="n">
        <x:v>860</x:v>
      </x:c>
      <x:c r="AP397" s="113" t="str">
        <x:v>12 CHAI / THÙNG</x:v>
      </x:c>
    </x:row>
    <x:row r="398">
      <x:c r="A398" s="71" t="str">
        <x:v>MỨT GOLD CHANH DÂY</x:v>
      </x:c>
      <x:c r="B398" s="30" t="str">
        <x:v>MỨT GOLD CHANH DÂY - THÙNG</x:v>
      </x:c>
      <x:c r="C398" s="37" t="str">
        <x:v>STGCDA</x:v>
      </x:c>
      <x:c r="D398" s="37" t="str">
        <x:v>STGCDAT</x:v>
      </x:c>
      <x:c r="E398" s="37" t="str">
        <x:v>STGCDAT</x:v>
      </x:c>
      <x:c r="F398" s="37" t="n">
        <x:v>12</x:v>
      </x:c>
      <x:c r="G398" s="37" t="n">
        <x:v>16000</x:v>
      </x:c>
      <x:c r="H398" s="37" t="str">
        <x:v>g</x:v>
      </x:c>
      <x:c r="I398" s="37" t="str">
        <x:v>THÙNG</x:v>
      </x:c>
      <x:c r="J398" s="59" t="n">
        <x:v>1222000</x:v>
      </x:c>
      <x:c r="K398" s="59" t="n">
        <x:v>0</x:v>
      </x:c>
      <x:c r="L398" s="59" t="n">
        <x:v>0</x:v>
      </x:c>
      <x:c r="M398" s="37" t="str">
        <x:v>Sinh tố / mứt</x:v>
      </x:c>
      <x:c r="N398" s="37" t="str">
        <x:v>ĐÃ GHÉP - AUTO</x:v>
      </x:c>
      <x:c r="O398" s="61" t="n">
        <x:v>0.964</x:v>
      </x:c>
      <x:c r="P398" s="37" t="n">
        <x:v>36</x:v>
      </x:c>
      <x:c r="Q398" s="30" t="str">
        <x:v>Sinh Tố Gold Chanh Dây</x:v>
      </x:c>
      <x:c r="R398" s="30" t="str">
        <x:v>Thùng12 chai</x:v>
      </x:c>
      <x:c r="S398" s="30" t="str">
        <x:v>Chai</x:v>
      </x:c>
      <x:c r="T398" s="37" t="str">
        <x:v>ĐƠN VỊ</x:v>
      </x:c>
      <x:c r="U398" s="59" t="n">
        <x:v>105000</x:v>
      </x:c>
      <x:c r="V398" s="59"/>
      <x:c r="W398" s="117" t="n">
        <x:v>105000</x:v>
      </x:c>
      <x:c r="X398" s="59" t="str">
        <x:f>IFERROR(IF(OR($N398="ĐÃ GHÉP - AUTO",$N398="ĐÃ GHÉP - QUY TẮC"),IF($V398="","",IF($T398="THÙNG",$V398/$F398,$V398)),""),"")</x:f>
      </x:c>
      <x:c r="Y398" s="117" t="n">
        <x:f>IF(OR(W398="",F398=""),"",W398*F398)</x:f>
        <x:v>1260000</x:v>
      </x:c>
      <x:c r="Z398" s="59" t="str">
        <x:f>IFERROR(IF(OR($N398="ĐÃ GHÉP - AUTO",$N398="ĐÃ GHÉP - QUY TẮC"),IF($V398="","",IF($T398="THÙNG",$V398,$V398*$F398)),""),"")</x:f>
      </x:c>
      <x:c r="AA398" s="28" t="str">
        <x:f>IFERROR(IF(OR($K398="",$K398=0,$Y398=""),"",($Y398-$K398)/$K398),"")</x:f>
      </x:c>
      <x:c r="AB398" s="37" t="str">
        <x:f>IFERROR(IF($N398="CẦN DUYỆT","DUYỆT MAP",IF($N398="CHƯA CÓ GIÁ LẺ","THIẾU GIÁ",IF(OR($K398="",$K398=0,$Y398=""),"OK",IF(ABS(($Y398-$K398)/$K398)&gt;0.15,"LỆCH GIÁ CŨ","OK")))),"OK")</x:f>
        <x:v>OK</x:v>
      </x:c>
      <x:c r="AC398" s="30" t="str">
        <x:v>score=0.964; gap=0.203</x:v>
      </x:c>
      <x:c r="AD398" s="37" t="str">
        <x:v>STGCDA</x:v>
      </x:c>
      <x:c r="AE398" s="38" t="str">
        <x:v>STGCDAT</x:v>
      </x:c>
      <x:c r="AF398" s="123" t="n">
        <x:v>1300</x:v>
      </x:c>
      <x:c r="AG398" s="112" t="str">
        <x:v>g</x:v>
      </x:c>
      <x:c r="AH398" s="112" t="str">
        <x:v>CHAI</x:v>
      </x:c>
      <x:c r="AI398" s="112" t="str">
        <x:v>1300 g / CHAI</x:v>
      </x:c>
      <x:c r="AJ398" s="120" t="n">
        <x:v>105000</x:v>
      </x:c>
      <x:c r="AK398" s="120" t="n">
        <x:v>105000</x:v>
      </x:c>
      <x:c r="AL398" s="120" t="n">
        <x:v>105000</x:v>
      </x:c>
      <x:c r="AM398" s="112" t="str">
        <x:v>GIỮ NGUYÊN - ĐÃ KHỚP</x:v>
      </x:c>
      <x:c r="AN398" s="126" t="n">
        <x:v>861</x:v>
      </x:c>
      <x:c r="AO398" s="126" t="n">
        <x:v>862</x:v>
      </x:c>
      <x:c r="AP398" s="113" t="str">
        <x:v>12 CHAI / THÙNG</x:v>
      </x:c>
    </x:row>
    <x:row r="399">
      <x:c r="A399" s="71" t="str">
        <x:v>MUỖNG UKP</x:v>
      </x:c>
      <x:c r="B399" s="30" t="str">
        <x:v>MUỖNG UKP - THÙNG</x:v>
      </x:c>
      <x:c r="C399" s="37" t="str">
        <x:v>MUOUKP</x:v>
      </x:c>
      <x:c r="D399" s="37" t="str">
        <x:v>MUOUKPT</x:v>
      </x:c>
      <x:c r="E399" s="37" t="str">
        <x:v>MUOUKPT</x:v>
      </x:c>
      <x:c r="F399" s="37" t="n">
        <x:v>100</x:v>
      </x:c>
      <x:c r="G399" s="37" t="n">
        <x:v>10</x:v>
      </x:c>
      <x:c r="H399" s="37" t="str">
        <x:v>kg</x:v>
      </x:c>
      <x:c r="I399" s="37" t="str">
        <x:v>THÙNG</x:v>
      </x:c>
      <x:c r="J399" s="59" t="n">
        <x:v>0</x:v>
      </x:c>
      <x:c r="K399" s="59" t="n">
        <x:v>0</x:v>
      </x:c>
      <x:c r="L399" s="59" t="n">
        <x:v>0</x:v>
      </x:c>
      <x:c r="M399" s="37" t="str">
        <x:v>Muỗng</x:v>
      </x:c>
      <x:c r="N399" s="37" t="str">
        <x:v>ĐÃ GHÉP - AUTO</x:v>
      </x:c>
      <x:c r="O399" s="61" t="n">
        <x:v>0.902</x:v>
      </x:c>
      <x:c r="P399" s="37" t="n">
        <x:v>230</x:v>
      </x:c>
      <x:c r="Q399" s="30" t="str">
        <x:v>Muỗng UKP</x:v>
      </x:c>
      <x:c r="R399" s="30" t="str">
        <x:v>Thùng 5000 cái</x:v>
      </x:c>
      <x:c r="S399" s="30" t="str">
        <x:v>bich</x:v>
      </x:c>
      <x:c r="T399" s="37" t="str">
        <x:v>ĐƠN VỊ</x:v>
      </x:c>
      <x:c r="U399" s="59" t="n">
        <x:v>6000</x:v>
      </x:c>
      <x:c r="V399" s="59"/>
      <x:c r="W399" s="117" t="n">
        <x:v>6000</x:v>
      </x:c>
      <x:c r="X399" s="59" t="str">
        <x:f>IFERROR(IF(OR($N399="ĐÃ GHÉP - AUTO",$N399="ĐÃ GHÉP - QUY TẮC"),IF($V399="","",IF($T399="THÙNG",$V399/$F399,$V399)),""),"")</x:f>
      </x:c>
      <x:c r="Y399" s="117" t="n">
        <x:f>IF(OR(W399="",F399=""),"",W399*F399)</x:f>
        <x:v>600000</x:v>
      </x:c>
      <x:c r="Z399" s="59" t="str">
        <x:f>IFERROR(IF(OR($N399="ĐÃ GHÉP - AUTO",$N399="ĐÃ GHÉP - QUY TẮC"),IF($V399="","",IF($T399="THÙNG",$V399,$V399*$F399)),""),"")</x:f>
      </x:c>
      <x:c r="AA399" s="28" t="str">
        <x:f>IFERROR(IF(OR($K399="",$K399=0,$Y399=""),"",($Y399-$K399)/$K399),"")</x:f>
      </x:c>
      <x:c r="AB399" s="37" t="str">
        <x:f>IFERROR(IF($N399="CẦN DUYỆT","DUYỆT MAP",IF($N399="CHƯA CÓ GIÁ LẺ","THIẾU GIÁ",IF(OR($K399="",$K399=0,$Y399=""),"OK",IF(ABS(($Y399-$K399)/$K399)&gt;0.15,"LỆCH GIÁ CŨ","OK")))),"OK")</x:f>
        <x:v>OK</x:v>
      </x:c>
      <x:c r="AC399" s="30" t="str">
        <x:v>score=0.902; gap=0.892</x:v>
      </x:c>
      <x:c r="AD399" s="37" t="str">
        <x:v>MUOUKP</x:v>
      </x:c>
      <x:c r="AE399" s="38" t="str">
        <x:v>MUOUKPT</x:v>
      </x:c>
      <x:c r="AF399" s="123" t="n">
        <x:v>0</x:v>
      </x:c>
      <x:c r="AG399" s="112" t="str">
        <x:v>g</x:v>
      </x:c>
      <x:c r="AH399" s="112" t="str">
        <x:v>BỊCH</x:v>
      </x:c>
      <x:c r="AI399" s="112" t="str">
        <x:v>0 g / BỊCH</x:v>
      </x:c>
      <x:c r="AJ399" s="120" t="n">
        <x:v>6000</x:v>
      </x:c>
      <x:c r="AK399" s="120" t="n">
        <x:v>6000</x:v>
      </x:c>
      <x:c r="AL399" s="120" t="n">
        <x:v>6000</x:v>
      </x:c>
      <x:c r="AM399" s="112" t="str">
        <x:v>GIỮ NGUYÊN - ĐÃ KHỚP</x:v>
      </x:c>
      <x:c r="AN399" s="126" t="n">
        <x:v>867</x:v>
      </x:c>
      <x:c r="AO399" s="126" t="n">
        <x:v>868</x:v>
      </x:c>
      <x:c r="AP399" s="113" t="str">
        <x:v>100 BỊCH / THÙNG</x:v>
      </x:c>
    </x:row>
    <x:row r="400">
      <x:c r="A400" s="71" t="str">
        <x:v>MUỖNG NGẮN XANH</x:v>
      </x:c>
      <x:c r="B400" s="30" t="str">
        <x:v>MUỖNG NGẮN XANH - THÙNG</x:v>
      </x:c>
      <x:c r="C400" s="37" t="str">
        <x:v>MUXANG</x:v>
      </x:c>
      <x:c r="D400" s="37" t="str">
        <x:v>MUXANGT</x:v>
      </x:c>
      <x:c r="E400" s="37" t="str">
        <x:v>MUXANGT</x:v>
      </x:c>
      <x:c r="F400" s="37" t="n">
        <x:v>100</x:v>
      </x:c>
      <x:c r="G400" s="37" t="n">
        <x:v>0</x:v>
      </x:c>
      <x:c r="H400" s="37" t="str">
        <x:v>g</x:v>
      </x:c>
      <x:c r="I400" s="37" t="str">
        <x:v>THÙNG</x:v>
      </x:c>
      <x:c r="J400" s="59" t="n">
        <x:v>0</x:v>
      </x:c>
      <x:c r="K400" s="59" t="n">
        <x:v>0</x:v>
      </x:c>
      <x:c r="L400" s="59" t="n">
        <x:v>0</x:v>
      </x:c>
      <x:c r="M400" s="37" t="str">
        <x:v>Muỗng</x:v>
      </x:c>
      <x:c r="N400" s="37" t="str">
        <x:v>ĐÃ GHÉP - AUTO</x:v>
      </x:c>
      <x:c r="O400" s="61" t="n">
        <x:v>0.796</x:v>
      </x:c>
      <x:c r="P400" s="37" t="n">
        <x:v>231</x:v>
      </x:c>
      <x:c r="Q400" s="30" t="str">
        <x:v>Muỗng Thường ngắn</x:v>
      </x:c>
      <x:c r="R400" s="30" t="str">
        <x:v>Thùng 5000 cái</x:v>
      </x:c>
      <x:c r="S400" s="30" t="str">
        <x:v>bich</x:v>
      </x:c>
      <x:c r="T400" s="37" t="str">
        <x:v>ĐƠN VỊ</x:v>
      </x:c>
      <x:c r="U400" s="59" t="n">
        <x:v>6000</x:v>
      </x:c>
      <x:c r="V400" s="59"/>
      <x:c r="W400" s="117" t="n">
        <x:v>6000</x:v>
      </x:c>
      <x:c r="X400" s="59" t="str">
        <x:f>IFERROR(IF(OR($N400="ĐÃ GHÉP - AUTO",$N400="ĐÃ GHÉP - QUY TẮC"),IF($V400="","",IF($T400="THÙNG",$V400/$F400,$V400)),""),"")</x:f>
      </x:c>
      <x:c r="Y400" s="117" t="n">
        <x:f>IF(OR(W400="",F400=""),"",W400*F400)</x:f>
        <x:v>600000</x:v>
      </x:c>
      <x:c r="Z400" s="59" t="str">
        <x:f>IFERROR(IF(OR($N400="ĐÃ GHÉP - AUTO",$N400="ĐÃ GHÉP - QUY TẮC"),IF($V400="","",IF($T400="THÙNG",$V400,$V400*$F400)),""),"")</x:f>
      </x:c>
      <x:c r="AA400" s="28" t="str">
        <x:f>IFERROR(IF(OR($K400="",$K400=0,$Y400=""),"",($Y400-$K400)/$K400),"")</x:f>
      </x:c>
      <x:c r="AB400" s="37" t="str">
        <x:f>IFERROR(IF($N400="CẦN DUYỆT","DUYỆT MAP",IF($N400="CHƯA CÓ GIÁ LẺ","THIẾU GIÁ",IF(OR($K400="",$K400=0,$Y400=""),"OK",IF(ABS(($Y400-$K400)/$K400)&gt;0.15,"LỆCH GIÁ CŨ","OK")))),"OK")</x:f>
        <x:v>OK</x:v>
      </x:c>
      <x:c r="AC400" s="30" t="str">
        <x:v>score=0.796; gap=0.767</x:v>
      </x:c>
      <x:c r="AD400" s="37" t="str">
        <x:v>MUXANG</x:v>
      </x:c>
      <x:c r="AE400" s="38" t="str">
        <x:v>MUXANGT</x:v>
      </x:c>
      <x:c r="AF400" s="123" t="n">
        <x:v>0</x:v>
      </x:c>
      <x:c r="AG400" s="112" t="str">
        <x:v>g</x:v>
      </x:c>
      <x:c r="AH400" s="112" t="str">
        <x:v>BỊCH</x:v>
      </x:c>
      <x:c r="AI400" s="112" t="str">
        <x:v>0 g / BỊCH</x:v>
      </x:c>
      <x:c r="AJ400" s="120" t="n">
        <x:v>6000</x:v>
      </x:c>
      <x:c r="AK400" s="120" t="n">
        <x:v>6000</x:v>
      </x:c>
      <x:c r="AL400" s="120" t="n">
        <x:v>6000</x:v>
      </x:c>
      <x:c r="AM400" s="112" t="str">
        <x:v>GIỮ NGUYÊN - ĐÃ KHỚP</x:v>
      </x:c>
      <x:c r="AN400" s="126" t="n">
        <x:v>869</x:v>
      </x:c>
      <x:c r="AO400" s="126" t="n">
        <x:v>870</x:v>
      </x:c>
      <x:c r="AP400" s="113" t="str">
        <x:v>100 BỊCH / THÙNG</x:v>
      </x:c>
    </x:row>
    <x:row r="401">
      <x:c r="A401" s="71" t="str">
        <x:v>MUỖNG NGẮN VÀNG</x:v>
      </x:c>
      <x:c r="B401" s="30" t="str">
        <x:v>MUỖNG NGẮN VÀNG - THÙNG</x:v>
      </x:c>
      <x:c r="C401" s="37" t="str">
        <x:v>MUVANG</x:v>
      </x:c>
      <x:c r="D401" s="37" t="str">
        <x:v>MUVANGT</x:v>
      </x:c>
      <x:c r="E401" s="37" t="str">
        <x:v>MUVANGT</x:v>
      </x:c>
      <x:c r="F401" s="37" t="n">
        <x:v>100</x:v>
      </x:c>
      <x:c r="G401" s="37" t="n">
        <x:v>0</x:v>
      </x:c>
      <x:c r="H401" s="37" t="str">
        <x:v>g</x:v>
      </x:c>
      <x:c r="I401" s="37" t="str">
        <x:v>THÙNG</x:v>
      </x:c>
      <x:c r="J401" s="59" t="n">
        <x:v>0</x:v>
      </x:c>
      <x:c r="K401" s="59" t="n">
        <x:v>0</x:v>
      </x:c>
      <x:c r="L401" s="59" t="n">
        <x:v>0</x:v>
      </x:c>
      <x:c r="M401" s="37" t="str">
        <x:v>Muỗng</x:v>
      </x:c>
      <x:c r="N401" s="37" t="str">
        <x:v>ĐÃ GHÉP - AUTO</x:v>
      </x:c>
      <x:c r="O401" s="61" t="n">
        <x:v>0.796</x:v>
      </x:c>
      <x:c r="P401" s="37" t="n">
        <x:v>231</x:v>
      </x:c>
      <x:c r="Q401" s="30" t="str">
        <x:v>Muỗng Thường ngắn</x:v>
      </x:c>
      <x:c r="R401" s="30" t="str">
        <x:v>Thùng 5000 cái</x:v>
      </x:c>
      <x:c r="S401" s="30" t="str">
        <x:v>bich</x:v>
      </x:c>
      <x:c r="T401" s="37" t="str">
        <x:v>ĐƠN VỊ</x:v>
      </x:c>
      <x:c r="U401" s="59" t="n">
        <x:v>6000</x:v>
      </x:c>
      <x:c r="V401" s="59"/>
      <x:c r="W401" s="117" t="n">
        <x:v>6000</x:v>
      </x:c>
      <x:c r="X401" s="59" t="str">
        <x:f>IFERROR(IF(OR($N401="ĐÃ GHÉP - AUTO",$N401="ĐÃ GHÉP - QUY TẮC"),IF($V401="","",IF($T401="THÙNG",$V401/$F401,$V401)),""),"")</x:f>
      </x:c>
      <x:c r="Y401" s="117" t="n">
        <x:f>IF(OR(W401="",F401=""),"",W401*F401)</x:f>
        <x:v>600000</x:v>
      </x:c>
      <x:c r="Z401" s="59" t="str">
        <x:f>IFERROR(IF(OR($N401="ĐÃ GHÉP - AUTO",$N401="ĐÃ GHÉP - QUY TẮC"),IF($V401="","",IF($T401="THÙNG",$V401,$V401*$F401)),""),"")</x:f>
      </x:c>
      <x:c r="AA401" s="28" t="str">
        <x:f>IFERROR(IF(OR($K401="",$K401=0,$Y401=""),"",($Y401-$K401)/$K401),"")</x:f>
      </x:c>
      <x:c r="AB401" s="37" t="str">
        <x:f>IFERROR(IF($N401="CẦN DUYỆT","DUYỆT MAP",IF($N401="CHƯA CÓ GIÁ LẺ","THIẾU GIÁ",IF(OR($K401="",$K401=0,$Y401=""),"OK",IF(ABS(($Y401-$K401)/$K401)&gt;0.15,"LỆCH GIÁ CŨ","OK")))),"OK")</x:f>
        <x:v>OK</x:v>
      </x:c>
      <x:c r="AC401" s="30" t="str">
        <x:v>score=0.796; gap=0.767</x:v>
      </x:c>
      <x:c r="AD401" s="37" t="str">
        <x:v>MUVANG</x:v>
      </x:c>
      <x:c r="AE401" s="38" t="str">
        <x:v>MUVANGT</x:v>
      </x:c>
      <x:c r="AF401" s="123" t="n">
        <x:v>0</x:v>
      </x:c>
      <x:c r="AG401" s="112" t="str">
        <x:v>g</x:v>
      </x:c>
      <x:c r="AH401" s="112" t="str">
        <x:v>BỊCH</x:v>
      </x:c>
      <x:c r="AI401" s="112" t="str">
        <x:v>0 g / BỊCH</x:v>
      </x:c>
      <x:c r="AJ401" s="120" t="n">
        <x:v>6000</x:v>
      </x:c>
      <x:c r="AK401" s="120" t="n">
        <x:v>6000</x:v>
      </x:c>
      <x:c r="AL401" s="120" t="n">
        <x:v>6000</x:v>
      </x:c>
      <x:c r="AM401" s="112" t="str">
        <x:v>GIỮ NGUYÊN - ĐÃ KHỚP</x:v>
      </x:c>
      <x:c r="AN401" s="126" t="n">
        <x:v>871</x:v>
      </x:c>
      <x:c r="AO401" s="126" t="n">
        <x:v>872</x:v>
      </x:c>
      <x:c r="AP401" s="113" t="str">
        <x:v>100 BỊCH / THÙNG</x:v>
      </x:c>
    </x:row>
    <x:row r="402">
      <x:c r="A402" s="71" t="str">
        <x:v>MUỖNG NGẮN TRẮNG</x:v>
      </x:c>
      <x:c r="B402" s="30" t="str">
        <x:v>MUỖNG NGẮN TRẮNG - THÙNG</x:v>
      </x:c>
      <x:c r="C402" s="37" t="str">
        <x:v>MUTRNG</x:v>
      </x:c>
      <x:c r="D402" s="37" t="str">
        <x:v>MUTRNGT</x:v>
      </x:c>
      <x:c r="E402" s="37" t="str">
        <x:v>MUTRNGT</x:v>
      </x:c>
      <x:c r="F402" s="37" t="n">
        <x:v>100</x:v>
      </x:c>
      <x:c r="G402" s="37" t="n">
        <x:v>10</x:v>
      </x:c>
      <x:c r="H402" s="37" t="str">
        <x:v>kg</x:v>
      </x:c>
      <x:c r="I402" s="37" t="str">
        <x:v>THÙNG</x:v>
      </x:c>
      <x:c r="J402" s="59" t="n">
        <x:v>0</x:v>
      </x:c>
      <x:c r="K402" s="59" t="n">
        <x:v>0</x:v>
      </x:c>
      <x:c r="L402" s="59" t="n">
        <x:v>0</x:v>
      </x:c>
      <x:c r="M402" s="37" t="str">
        <x:v>Muỗng</x:v>
      </x:c>
      <x:c r="N402" s="37" t="str">
        <x:v>ĐÃ GHÉP - AUTO</x:v>
      </x:c>
      <x:c r="O402" s="61" t="n">
        <x:v>0.8</x:v>
      </x:c>
      <x:c r="P402" s="37" t="n">
        <x:v>231</x:v>
      </x:c>
      <x:c r="Q402" s="30" t="str">
        <x:v>Muỗng Thường ngắn</x:v>
      </x:c>
      <x:c r="R402" s="30" t="str">
        <x:v>Thùng 5000 cái</x:v>
      </x:c>
      <x:c r="S402" s="30" t="str">
        <x:v>bich</x:v>
      </x:c>
      <x:c r="T402" s="37" t="str">
        <x:v>ĐƠN VỊ</x:v>
      </x:c>
      <x:c r="U402" s="59" t="n">
        <x:v>6000</x:v>
      </x:c>
      <x:c r="V402" s="59"/>
      <x:c r="W402" s="117" t="n">
        <x:v>6000</x:v>
      </x:c>
      <x:c r="X402" s="59" t="str">
        <x:f>IFERROR(IF(OR($N402="ĐÃ GHÉP - AUTO",$N402="ĐÃ GHÉP - QUY TẮC"),IF($V402="","",IF($T402="THÙNG",$V402/$F402,$V402)),""),"")</x:f>
      </x:c>
      <x:c r="Y402" s="117" t="n">
        <x:f>IF(OR(W402="",F402=""),"",W402*F402)</x:f>
        <x:v>600000</x:v>
      </x:c>
      <x:c r="Z402" s="59" t="str">
        <x:f>IFERROR(IF(OR($N402="ĐÃ GHÉP - AUTO",$N402="ĐÃ GHÉP - QUY TẮC"),IF($V402="","",IF($T402="THÙNG",$V402,$V402*$F402)),""),"")</x:f>
      </x:c>
      <x:c r="AA402" s="28" t="str">
        <x:f>IFERROR(IF(OR($K402="",$K402=0,$Y402=""),"",($Y402-$K402)/$K402),"")</x:f>
      </x:c>
      <x:c r="AB402" s="37" t="str">
        <x:f>IFERROR(IF($N402="CẦN DUYỆT","DUYỆT MAP",IF($N402="CHƯA CÓ GIÁ LẺ","THIẾU GIÁ",IF(OR($K402="",$K402=0,$Y402=""),"OK",IF(ABS(($Y402-$K402)/$K402)&gt;0.15,"LỆCH GIÁ CŨ","OK")))),"OK")</x:f>
        <x:v>OK</x:v>
      </x:c>
      <x:c r="AC402" s="30" t="str">
        <x:v>score=0.800; gap=0.441</x:v>
      </x:c>
      <x:c r="AD402" s="37" t="str">
        <x:v>MUTRNG</x:v>
      </x:c>
      <x:c r="AE402" s="38" t="str">
        <x:v>MUTRNGT</x:v>
      </x:c>
      <x:c r="AF402" s="123" t="n">
        <x:v>0</x:v>
      </x:c>
      <x:c r="AG402" s="112" t="str">
        <x:v>g</x:v>
      </x:c>
      <x:c r="AH402" s="112" t="str">
        <x:v>BỊCH</x:v>
      </x:c>
      <x:c r="AI402" s="112" t="str">
        <x:v>0 g / BỊCH</x:v>
      </x:c>
      <x:c r="AJ402" s="120" t="n">
        <x:v>6000</x:v>
      </x:c>
      <x:c r="AK402" s="120" t="n">
        <x:v>6000</x:v>
      </x:c>
      <x:c r="AL402" s="120" t="n">
        <x:v>6000</x:v>
      </x:c>
      <x:c r="AM402" s="112" t="str">
        <x:v>GIỮ NGUYÊN - ĐÃ KHỚP</x:v>
      </x:c>
      <x:c r="AN402" s="126" t="n">
        <x:v>873</x:v>
      </x:c>
      <x:c r="AO402" s="126" t="n">
        <x:v>874</x:v>
      </x:c>
      <x:c r="AP402" s="113" t="str">
        <x:v>100 BỊCH / THÙNG</x:v>
      </x:c>
    </x:row>
    <x:row r="403">
      <x:c r="A403" s="71" t="str">
        <x:v>MUỖNG NGẮN HỒNG</x:v>
      </x:c>
      <x:c r="B403" s="30" t="str">
        <x:v>MUỖNG NGẮN HỒNG - THÙNG</x:v>
      </x:c>
      <x:c r="C403" s="37" t="str">
        <x:v>MUHONG</x:v>
      </x:c>
      <x:c r="D403" s="37" t="str">
        <x:v>MUHONGT</x:v>
      </x:c>
      <x:c r="E403" s="37" t="str">
        <x:v>MUHONGT</x:v>
      </x:c>
      <x:c r="F403" s="37" t="n">
        <x:v>100</x:v>
      </x:c>
      <x:c r="G403" s="37" t="n">
        <x:v>0</x:v>
      </x:c>
      <x:c r="H403" s="37" t="str">
        <x:v>g</x:v>
      </x:c>
      <x:c r="I403" s="37" t="str">
        <x:v>THÙNG</x:v>
      </x:c>
      <x:c r="J403" s="59" t="n">
        <x:v>0</x:v>
      </x:c>
      <x:c r="K403" s="59" t="n">
        <x:v>0</x:v>
      </x:c>
      <x:c r="L403" s="59" t="n">
        <x:v>0</x:v>
      </x:c>
      <x:c r="M403" s="37" t="str">
        <x:v>Muỗng</x:v>
      </x:c>
      <x:c r="N403" s="37" t="str">
        <x:v>ĐÃ GHÉP - AUTO</x:v>
      </x:c>
      <x:c r="O403" s="61" t="n">
        <x:v>0.796</x:v>
      </x:c>
      <x:c r="P403" s="37" t="n">
        <x:v>231</x:v>
      </x:c>
      <x:c r="Q403" s="30" t="str">
        <x:v>Muỗng Thường ngắn</x:v>
      </x:c>
      <x:c r="R403" s="30" t="str">
        <x:v>Thùng 5000 cái</x:v>
      </x:c>
      <x:c r="S403" s="30" t="str">
        <x:v>bich</x:v>
      </x:c>
      <x:c r="T403" s="37" t="str">
        <x:v>ĐƠN VỊ</x:v>
      </x:c>
      <x:c r="U403" s="59" t="n">
        <x:v>6000</x:v>
      </x:c>
      <x:c r="V403" s="59"/>
      <x:c r="W403" s="117" t="n">
        <x:v>6000</x:v>
      </x:c>
      <x:c r="X403" s="59" t="str">
        <x:f>IFERROR(IF(OR($N403="ĐÃ GHÉP - AUTO",$N403="ĐÃ GHÉP - QUY TẮC"),IF($V403="","",IF($T403="THÙNG",$V403/$F403,$V403)),""),"")</x:f>
      </x:c>
      <x:c r="Y403" s="117" t="n">
        <x:f>IF(OR(W403="",F403=""),"",W403*F403)</x:f>
        <x:v>600000</x:v>
      </x:c>
      <x:c r="Z403" s="59" t="str">
        <x:f>IFERROR(IF(OR($N403="ĐÃ GHÉP - AUTO",$N403="ĐÃ GHÉP - QUY TẮC"),IF($V403="","",IF($T403="THÙNG",$V403,$V403*$F403)),""),"")</x:f>
      </x:c>
      <x:c r="AA403" s="28" t="str">
        <x:f>IFERROR(IF(OR($K403="",$K403=0,$Y403=""),"",($Y403-$K403)/$K403),"")</x:f>
      </x:c>
      <x:c r="AB403" s="37" t="str">
        <x:f>IFERROR(IF($N403="CẦN DUYỆT","DUYỆT MAP",IF($N403="CHƯA CÓ GIÁ LẺ","THIẾU GIÁ",IF(OR($K403="",$K403=0,$Y403=""),"OK",IF(ABS(($Y403-$K403)/$K403)&gt;0.15,"LỆCH GIÁ CŨ","OK")))),"OK")</x:f>
        <x:v>OK</x:v>
      </x:c>
      <x:c r="AC403" s="30" t="str">
        <x:v>score=0.796; gap=0.766</x:v>
      </x:c>
      <x:c r="AD403" s="37" t="str">
        <x:v>MUHONG</x:v>
      </x:c>
      <x:c r="AE403" s="38" t="str">
        <x:v>MUHONGT</x:v>
      </x:c>
      <x:c r="AF403" s="123" t="n">
        <x:v>0</x:v>
      </x:c>
      <x:c r="AG403" s="112" t="str">
        <x:v>g</x:v>
      </x:c>
      <x:c r="AH403" s="112" t="str">
        <x:v>BỊCH</x:v>
      </x:c>
      <x:c r="AI403" s="112" t="str">
        <x:v>0 g / BỊCH</x:v>
      </x:c>
      <x:c r="AJ403" s="120" t="n">
        <x:v>6000</x:v>
      </x:c>
      <x:c r="AK403" s="120" t="n">
        <x:v>6000</x:v>
      </x:c>
      <x:c r="AL403" s="120" t="n">
        <x:v>6000</x:v>
      </x:c>
      <x:c r="AM403" s="112" t="str">
        <x:v>GIỮ NGUYÊN - ĐÃ KHỚP</x:v>
      </x:c>
      <x:c r="AN403" s="126" t="n">
        <x:v>875</x:v>
      </x:c>
      <x:c r="AO403" s="126" t="n">
        <x:v>876</x:v>
      </x:c>
      <x:c r="AP403" s="113" t="str">
        <x:v>100 BỊCH / THÙNG</x:v>
      </x:c>
    </x:row>
    <x:row r="404">
      <x:c r="A404" s="71" t="str">
        <x:v>MUỖNG NGẮN ĐEN</x:v>
      </x:c>
      <x:c r="B404" s="30" t="str">
        <x:v>MUỖNG NGẮN ĐEN - THÙNG</x:v>
      </x:c>
      <x:c r="C404" s="37" t="str">
        <x:v>MUDENG</x:v>
      </x:c>
      <x:c r="D404" s="37" t="str">
        <x:v>MUDENGT</x:v>
      </x:c>
      <x:c r="E404" s="37" t="str">
        <x:v>MUDENGT</x:v>
      </x:c>
      <x:c r="F404" s="37" t="n">
        <x:v>100</x:v>
      </x:c>
      <x:c r="G404" s="37" t="n">
        <x:v>0</x:v>
      </x:c>
      <x:c r="H404" s="37" t="str">
        <x:v>g</x:v>
      </x:c>
      <x:c r="I404" s="37" t="str">
        <x:v>THÙNG</x:v>
      </x:c>
      <x:c r="J404" s="59" t="n">
        <x:v>0</x:v>
      </x:c>
      <x:c r="K404" s="59" t="n">
        <x:v>0</x:v>
      </x:c>
      <x:c r="L404" s="59" t="n">
        <x:v>0</x:v>
      </x:c>
      <x:c r="M404" s="37" t="str">
        <x:v>Muỗng</x:v>
      </x:c>
      <x:c r="N404" s="37" t="str">
        <x:v>ĐÃ GHÉP - AUTO</x:v>
      </x:c>
      <x:c r="O404" s="61" t="n">
        <x:v>0.8</x:v>
      </x:c>
      <x:c r="P404" s="37" t="n">
        <x:v>231</x:v>
      </x:c>
      <x:c r="Q404" s="30" t="str">
        <x:v>Muỗng Thường ngắn</x:v>
      </x:c>
      <x:c r="R404" s="30" t="str">
        <x:v>Thùng 5000 cái</x:v>
      </x:c>
      <x:c r="S404" s="30" t="str">
        <x:v>bich</x:v>
      </x:c>
      <x:c r="T404" s="37" t="str">
        <x:v>ĐƠN VỊ</x:v>
      </x:c>
      <x:c r="U404" s="59" t="n">
        <x:v>6000</x:v>
      </x:c>
      <x:c r="V404" s="59"/>
      <x:c r="W404" s="117" t="n">
        <x:v>6000</x:v>
      </x:c>
      <x:c r="X404" s="59" t="str">
        <x:f>IFERROR(IF(OR($N404="ĐÃ GHÉP - AUTO",$N404="ĐÃ GHÉP - QUY TẮC"),IF($V404="","",IF($T404="THÙNG",$V404/$F404,$V404)),""),"")</x:f>
      </x:c>
      <x:c r="Y404" s="117" t="n">
        <x:f>IF(OR(W404="",F404=""),"",W404*F404)</x:f>
        <x:v>600000</x:v>
      </x:c>
      <x:c r="Z404" s="59" t="str">
        <x:f>IFERROR(IF(OR($N404="ĐÃ GHÉP - AUTO",$N404="ĐÃ GHÉP - QUY TẮC"),IF($V404="","",IF($T404="THÙNG",$V404,$V404*$F404)),""),"")</x:f>
      </x:c>
      <x:c r="AA404" s="28" t="str">
        <x:f>IFERROR(IF(OR($K404="",$K404=0,$Y404=""),"",($Y404-$K404)/$K404),"")</x:f>
      </x:c>
      <x:c r="AB404" s="37" t="str">
        <x:f>IFERROR(IF($N404="CẦN DUYỆT","DUYỆT MAP",IF($N404="CHƯA CÓ GIÁ LẺ","THIẾU GIÁ",IF(OR($K404="",$K404=0,$Y404=""),"OK",IF(ABS(($Y404-$K404)/$K404)&gt;0.15,"LỆCH GIÁ CŨ","OK")))),"OK")</x:f>
        <x:v>OK</x:v>
      </x:c>
      <x:c r="AC404" s="30" t="str">
        <x:v>score=0.800; gap=0.412</x:v>
      </x:c>
      <x:c r="AD404" s="37" t="str">
        <x:v>MUDENG</x:v>
      </x:c>
      <x:c r="AE404" s="38" t="str">
        <x:v>MUDENGT</x:v>
      </x:c>
      <x:c r="AF404" s="123" t="n">
        <x:v>0</x:v>
      </x:c>
      <x:c r="AG404" s="112" t="str">
        <x:v>g</x:v>
      </x:c>
      <x:c r="AH404" s="112" t="str">
        <x:v>BỊCH</x:v>
      </x:c>
      <x:c r="AI404" s="112" t="str">
        <x:v>0 g / BỊCH</x:v>
      </x:c>
      <x:c r="AJ404" s="120" t="n">
        <x:v>6000</x:v>
      </x:c>
      <x:c r="AK404" s="120" t="n">
        <x:v>6000</x:v>
      </x:c>
      <x:c r="AL404" s="120" t="n">
        <x:v>6000</x:v>
      </x:c>
      <x:c r="AM404" s="112" t="str">
        <x:v>GIỮ NGUYÊN - ĐÃ KHỚP</x:v>
      </x:c>
      <x:c r="AN404" s="126" t="n">
        <x:v>877</x:v>
      </x:c>
      <x:c r="AO404" s="126" t="n">
        <x:v>878</x:v>
      </x:c>
      <x:c r="AP404" s="113" t="str">
        <x:v>100 BỊCH / THÙNG</x:v>
      </x:c>
    </x:row>
    <x:row r="405">
      <x:c r="A405" s="71" t="str">
        <x:v>MUỔNG DÀI XANH</x:v>
      </x:c>
      <x:c r="B405" s="30" t="str">
        <x:v>MUỔNG DÀI XANH - THÙNG</x:v>
      </x:c>
      <x:c r="C405" s="37" t="str">
        <x:v>MUXADA</x:v>
      </x:c>
      <x:c r="D405" s="37" t="str">
        <x:v>MUXADAT</x:v>
      </x:c>
      <x:c r="E405" s="37" t="str">
        <x:v>MUXADAT</x:v>
      </x:c>
      <x:c r="F405" s="37" t="n">
        <x:v>50</x:v>
      </x:c>
      <x:c r="G405" s="37" t="n">
        <x:v>0</x:v>
      </x:c>
      <x:c r="H405" s="37" t="str">
        <x:v>g</x:v>
      </x:c>
      <x:c r="I405" s="37" t="str">
        <x:v>THÙNG</x:v>
      </x:c>
      <x:c r="J405" s="59" t="n">
        <x:v>0</x:v>
      </x:c>
      <x:c r="K405" s="59" t="n">
        <x:v>450000</x:v>
      </x:c>
      <x:c r="L405" s="59" t="n">
        <x:v>0</x:v>
      </x:c>
      <x:c r="M405" s="37" t="str">
        <x:v>Muỗng</x:v>
      </x:c>
      <x:c r="N405" s="37" t="str">
        <x:v>ĐÃ GHÉP - AUTO</x:v>
      </x:c>
      <x:c r="O405" s="61" t="n">
        <x:v>0.797</x:v>
      </x:c>
      <x:c r="P405" s="37" t="n">
        <x:v>232</x:v>
      </x:c>
      <x:c r="Q405" s="30" t="str">
        <x:v>Muỗng dài</x:v>
      </x:c>
      <x:c r="R405" s="30" t="str">
        <x:v>Thung 2500 cai</x:v>
      </x:c>
      <x:c r="S405" s="30" t="str">
        <x:v>bich</x:v>
      </x:c>
      <x:c r="T405" s="37" t="str">
        <x:v>ĐƠN VỊ</x:v>
      </x:c>
      <x:c r="U405" s="59" t="n">
        <x:v>11000</x:v>
      </x:c>
      <x:c r="V405" s="59"/>
      <x:c r="W405" s="117" t="n">
        <x:v>10000</x:v>
      </x:c>
      <x:c r="X405" s="59" t="str">
        <x:f>IFERROR(IF(OR($N405="ĐÃ GHÉP - AUTO",$N405="ĐÃ GHÉP - QUY TẮC"),IF($V405="","",IF($T405="THÙNG",$V405/$F405,$V405)),""),"")</x:f>
      </x:c>
      <x:c r="Y405" s="117" t="n">
        <x:f>IF(OR(W405="",F405=""),"",W405*F405)</x:f>
        <x:v>500000</x:v>
      </x:c>
      <x:c r="Z405" s="59" t="str">
        <x:f>IFERROR(IF(OR($N405="ĐÃ GHÉP - AUTO",$N405="ĐÃ GHÉP - QUY TẮC"),IF($V405="","",IF($T405="THÙNG",$V405,$V405*$F405)),""),"")</x:f>
      </x:c>
      <x:c r="AA405" s="28" t="n">
        <x:f>IFERROR(IF(OR($K405="",$K405=0,$Y405=""),"",($Y405-$K405)/$K405),"")</x:f>
        <x:v>0.1111111111111111</x:v>
      </x:c>
      <x:c r="AB405" s="37" t="str">
        <x:f>IFERROR(IF($N405="CẦN DUYỆT","DUYỆT MAP",IF($N405="CHƯA CÓ GIÁ LẺ","THIẾU GIÁ",IF(OR($K405="",$K405=0,$Y405=""),"OK",IF(ABS(($Y405-$K405)/$K405)&gt;0.15,"LỆCH GIÁ CŨ","OK")))),"OK")</x:f>
        <x:v>OK</x:v>
      </x:c>
      <x:c r="AC405" s="30" t="str">
        <x:v>score=0.797; gap=0.547</x:v>
      </x:c>
      <x:c r="AD405" s="37" t="str">
        <x:v>MUXADA</x:v>
      </x:c>
      <x:c r="AE405" s="38" t="str">
        <x:v>MUXADAT</x:v>
      </x:c>
      <x:c r="AF405" s="123" t="n">
        <x:v>0</x:v>
      </x:c>
      <x:c r="AG405" s="112" t="str">
        <x:v>g</x:v>
      </x:c>
      <x:c r="AH405" s="112" t="str">
        <x:v>BỊCH</x:v>
      </x:c>
      <x:c r="AI405" s="112" t="str">
        <x:v>0 g / BỊCH</x:v>
      </x:c>
      <x:c r="AJ405" s="120" t="n">
        <x:v>10000</x:v>
      </x:c>
      <x:c r="AK405" s="120" t="n">
        <x:v>11000</x:v>
      </x:c>
      <x:c r="AL405" s="120" t="n">
        <x:v>10000</x:v>
      </x:c>
      <x:c r="AM405" s="112" t="str">
        <x:v>CẬP NHẬT GIÁ</x:v>
      </x:c>
      <x:c r="AN405" s="126" t="n">
        <x:v>879</x:v>
      </x:c>
      <x:c r="AO405" s="126" t="n">
        <x:v>880</x:v>
      </x:c>
      <x:c r="AP405" s="113" t="str">
        <x:v>50 BỊCH / THÙNG</x:v>
      </x:c>
    </x:row>
    <x:row r="406">
      <x:c r="A406" s="71" t="str">
        <x:v>MUỖNG DÀI VÀNG</x:v>
      </x:c>
      <x:c r="B406" s="30" t="str">
        <x:v>MUỖNG DÀI VÀNG - THÙNG</x:v>
      </x:c>
      <x:c r="C406" s="37" t="str">
        <x:v>MUVADA</x:v>
      </x:c>
      <x:c r="D406" s="37" t="str">
        <x:v>MUVADAT</x:v>
      </x:c>
      <x:c r="E406" s="37" t="str">
        <x:v>MUVADAT</x:v>
      </x:c>
      <x:c r="F406" s="37" t="n">
        <x:v>50</x:v>
      </x:c>
      <x:c r="G406" s="37" t="n">
        <x:v>0</x:v>
      </x:c>
      <x:c r="H406" s="37" t="str">
        <x:v>g</x:v>
      </x:c>
      <x:c r="I406" s="37" t="str">
        <x:v>THÙNG</x:v>
      </x:c>
      <x:c r="J406" s="59" t="n">
        <x:v>0</x:v>
      </x:c>
      <x:c r="K406" s="59" t="n">
        <x:v>450000</x:v>
      </x:c>
      <x:c r="L406" s="59" t="n">
        <x:v>0</x:v>
      </x:c>
      <x:c r="M406" s="37" t="str">
        <x:v>Muỗng</x:v>
      </x:c>
      <x:c r="N406" s="37" t="str">
        <x:v>ĐÃ GHÉP - AUTO</x:v>
      </x:c>
      <x:c r="O406" s="61" t="n">
        <x:v>0.797</x:v>
      </x:c>
      <x:c r="P406" s="37" t="n">
        <x:v>232</x:v>
      </x:c>
      <x:c r="Q406" s="30" t="str">
        <x:v>Muỗng dài</x:v>
      </x:c>
      <x:c r="R406" s="30" t="str">
        <x:v>Thung 2500 cai</x:v>
      </x:c>
      <x:c r="S406" s="30" t="str">
        <x:v>bich</x:v>
      </x:c>
      <x:c r="T406" s="37" t="str">
        <x:v>ĐƠN VỊ</x:v>
      </x:c>
      <x:c r="U406" s="59" t="n">
        <x:v>11000</x:v>
      </x:c>
      <x:c r="V406" s="59"/>
      <x:c r="W406" s="117" t="n">
        <x:v>10000</x:v>
      </x:c>
      <x:c r="X406" s="59" t="str">
        <x:f>IFERROR(IF(OR($N406="ĐÃ GHÉP - AUTO",$N406="ĐÃ GHÉP - QUY TẮC"),IF($V406="","",IF($T406="THÙNG",$V406/$F406,$V406)),""),"")</x:f>
      </x:c>
      <x:c r="Y406" s="117" t="n">
        <x:f>IF(OR(W406="",F406=""),"",W406*F406)</x:f>
        <x:v>500000</x:v>
      </x:c>
      <x:c r="Z406" s="59" t="str">
        <x:f>IFERROR(IF(OR($N406="ĐÃ GHÉP - AUTO",$N406="ĐÃ GHÉP - QUY TẮC"),IF($V406="","",IF($T406="THÙNG",$V406,$V406*$F406)),""),"")</x:f>
      </x:c>
      <x:c r="AA406" s="28" t="n">
        <x:f>IFERROR(IF(OR($K406="",$K406=0,$Y406=""),"",($Y406-$K406)/$K406),"")</x:f>
        <x:v>0.1111111111111111</x:v>
      </x:c>
      <x:c r="AB406" s="37" t="str">
        <x:f>IFERROR(IF($N406="CẦN DUYỆT","DUYỆT MAP",IF($N406="CHƯA CÓ GIÁ LẺ","THIẾU GIÁ",IF(OR($K406="",$K406=0,$Y406=""),"OK",IF(ABS(($Y406-$K406)/$K406)&gt;0.15,"LỆCH GIÁ CŨ","OK")))),"OK")</x:f>
        <x:v>OK</x:v>
      </x:c>
      <x:c r="AC406" s="30" t="str">
        <x:v>score=0.797; gap=0.563</x:v>
      </x:c>
      <x:c r="AD406" s="37" t="str">
        <x:v>MUVADA</x:v>
      </x:c>
      <x:c r="AE406" s="38" t="str">
        <x:v>MUVADAT</x:v>
      </x:c>
      <x:c r="AF406" s="123" t="n">
        <x:v>0</x:v>
      </x:c>
      <x:c r="AG406" s="112" t="str">
        <x:v>g</x:v>
      </x:c>
      <x:c r="AH406" s="112" t="str">
        <x:v>BỊCH</x:v>
      </x:c>
      <x:c r="AI406" s="112" t="str">
        <x:v>0 g / BỊCH</x:v>
      </x:c>
      <x:c r="AJ406" s="120" t="n">
        <x:v>10000</x:v>
      </x:c>
      <x:c r="AK406" s="120" t="n">
        <x:v>11000</x:v>
      </x:c>
      <x:c r="AL406" s="120" t="n">
        <x:v>10000</x:v>
      </x:c>
      <x:c r="AM406" s="112" t="str">
        <x:v>CẬP NHẬT GIÁ</x:v>
      </x:c>
      <x:c r="AN406" s="126" t="n">
        <x:v>881</x:v>
      </x:c>
      <x:c r="AO406" s="126" t="n">
        <x:v>882</x:v>
      </x:c>
      <x:c r="AP406" s="113" t="str">
        <x:v>50 BỊCH / THÙNG</x:v>
      </x:c>
    </x:row>
    <x:row r="407">
      <x:c r="A407" s="71" t="str">
        <x:v>MUỖNG DÀI TRẮNG ĐÔI</x:v>
      </x:c>
      <x:c r="B407" s="30" t="str">
        <x:v>MUỖNG DÀI TRẮNG ĐÔI - THÙNG</x:v>
      </x:c>
      <x:c r="C407" s="37" t="str">
        <x:v>MDTDOI</x:v>
      </x:c>
      <x:c r="D407" s="37" t="str">
        <x:v>MDTDOIT</x:v>
      </x:c>
      <x:c r="E407" s="37" t="str">
        <x:v>MDTDOIT</x:v>
      </x:c>
      <x:c r="F407" s="37" t="n">
        <x:v>25</x:v>
      </x:c>
      <x:c r="G407" s="37" t="n">
        <x:v>10</x:v>
      </x:c>
      <x:c r="H407" s="37" t="str">
        <x:v>kg</x:v>
      </x:c>
      <x:c r="I407" s="37" t="str">
        <x:v>THÙNG</x:v>
      </x:c>
      <x:c r="J407" s="59" t="n">
        <x:v>0</x:v>
      </x:c>
      <x:c r="K407" s="59" t="n">
        <x:v>450000</x:v>
      </x:c>
      <x:c r="L407" s="59" t="n">
        <x:v>0</x:v>
      </x:c>
      <x:c r="M407" s="37" t="str">
        <x:v>Muỗng</x:v>
      </x:c>
      <x:c r="N407" s="37" t="str">
        <x:v>CẦN DUYỆT</x:v>
      </x:c>
      <x:c r="O407" s="61" t="n">
        <x:v>0.762</x:v>
      </x:c>
      <x:c r="P407" s="37" t="n">
        <x:v>232</x:v>
      </x:c>
      <x:c r="Q407" s="30" t="str">
        <x:v>Muỗng dài</x:v>
      </x:c>
      <x:c r="R407" s="30" t="str">
        <x:v>Thung 2500 cai</x:v>
      </x:c>
      <x:c r="S407" s="30" t="str">
        <x:v>bich</x:v>
      </x:c>
      <x:c r="T407" s="37" t="str">
        <x:v>ĐƠN VỊ</x:v>
      </x:c>
      <x:c r="U407" s="59" t="n">
        <x:v>11000</x:v>
      </x:c>
      <x:c r="V407" s="59"/>
      <x:c r="W407" s="117" t="n">
        <x:v>20000</x:v>
      </x:c>
      <x:c r="X407" s="59" t="str">
        <x:f>IFERROR(IF(OR($N407="ĐÃ GHÉP - AUTO",$N407="ĐÃ GHÉP - QUY TẮC"),IF($V407="","",IF($T407="THÙNG",$V407/$F407,$V407)),""),"")</x:f>
      </x:c>
      <x:c r="Y407" s="117" t="n">
        <x:f>IF(OR(W407="",F407=""),"",W407*F407)</x:f>
        <x:v>500000</x:v>
      </x:c>
      <x:c r="Z407" s="59" t="str">
        <x:f>IFERROR(IF(OR($N407="ĐÃ GHÉP - AUTO",$N407="ĐÃ GHÉP - QUY TẮC"),IF($V407="","",IF($T407="THÙNG",$V407,$V407*$F407)),""),"")</x:f>
      </x:c>
      <x:c r="AA407" s="28" t="n">
        <x:f>IFERROR(IF(OR($K407="",$K407=0,$Y407=""),"",($Y407-$K407)/$K407),"")</x:f>
        <x:v>0.1111111111111111</x:v>
      </x:c>
      <x:c r="AB407" s="37" t="str">
        <x:f>IFERROR(IF($N407="CẦN DUYỆT","DUYỆT MAP",IF($N407="CHƯA CÓ GIÁ LẺ","THIẾU GIÁ",IF(OR($K407="",$K407=0,$Y407=""),"OK",IF(ABS(($Y407-$K407)/$K407)&gt;0.15,"LỆCH GIÁ CŨ","OK")))),"OK")</x:f>
        <x:v>DUYỆT MAP</x:v>
      </x:c>
      <x:c r="AC407" s="30" t="str">
        <x:v>score=0.762; gap=0.420; lệch giá thùng cũ 64%</x:v>
      </x:c>
      <x:c r="AD407" s="37" t="str">
        <x:v>MDTDOI</x:v>
      </x:c>
      <x:c r="AE407" s="38" t="str">
        <x:v>MDTDOIT</x:v>
      </x:c>
      <x:c r="AF407" s="123" t="n">
        <x:v>0</x:v>
      </x:c>
      <x:c r="AG407" s="112" t="str">
        <x:v>g</x:v>
      </x:c>
      <x:c r="AH407" s="112" t="str">
        <x:v>BỊCH</x:v>
      </x:c>
      <x:c r="AI407" s="112" t="str">
        <x:v>0 g / BỊCH</x:v>
      </x:c>
      <x:c r="AJ407" s="120" t="n">
        <x:v>20000</x:v>
      </x:c>
      <x:c r="AK407" s="120"/>
      <x:c r="AL407" s="120" t="n">
        <x:v>20000</x:v>
      </x:c>
      <x:c r="AM407" s="112" t="str">
        <x:v>BỔ SUNG GIÁ</x:v>
      </x:c>
      <x:c r="AN407" s="126" t="n">
        <x:v>883</x:v>
      </x:c>
      <x:c r="AO407" s="126" t="n">
        <x:v>884</x:v>
      </x:c>
      <x:c r="AP407" s="113" t="str">
        <x:v>25 BỊCH / THÙNG</x:v>
      </x:c>
    </x:row>
    <x:row r="408">
      <x:c r="A408" s="71" t="str">
        <x:v>MUỖNG DÀI TRẮNG</x:v>
      </x:c>
      <x:c r="B408" s="30" t="str">
        <x:v>MUỖNG DÀI TRẮNG - THÙNG</x:v>
      </x:c>
      <x:c r="C408" s="37" t="str">
        <x:v>MUTRDA</x:v>
      </x:c>
      <x:c r="D408" s="37" t="str">
        <x:v>MUTRDAT</x:v>
      </x:c>
      <x:c r="E408" s="37" t="str">
        <x:v>MUTRDAT</x:v>
      </x:c>
      <x:c r="F408" s="37" t="n">
        <x:v>50</x:v>
      </x:c>
      <x:c r="G408" s="37" t="n">
        <x:v>10</x:v>
      </x:c>
      <x:c r="H408" s="37" t="str">
        <x:v>kg</x:v>
      </x:c>
      <x:c r="I408" s="37" t="str">
        <x:v>THÙNG</x:v>
      </x:c>
      <x:c r="J408" s="59" t="n">
        <x:v>0</x:v>
      </x:c>
      <x:c r="K408" s="59" t="n">
        <x:v>450000</x:v>
      </x:c>
      <x:c r="L408" s="59" t="n">
        <x:v>0</x:v>
      </x:c>
      <x:c r="M408" s="37" t="str">
        <x:v>Muỗng</x:v>
      </x:c>
      <x:c r="N408" s="37" t="str">
        <x:v>ĐÃ GHÉP - AUTO</x:v>
      </x:c>
      <x:c r="O408" s="61" t="n">
        <x:v>0.801</x:v>
      </x:c>
      <x:c r="P408" s="37" t="n">
        <x:v>232</x:v>
      </x:c>
      <x:c r="Q408" s="30" t="str">
        <x:v>Muỗng dài</x:v>
      </x:c>
      <x:c r="R408" s="30" t="str">
        <x:v>Thung 2500 cai</x:v>
      </x:c>
      <x:c r="S408" s="30" t="str">
        <x:v>bich</x:v>
      </x:c>
      <x:c r="T408" s="37" t="str">
        <x:v>ĐƠN VỊ</x:v>
      </x:c>
      <x:c r="U408" s="59" t="n">
        <x:v>11000</x:v>
      </x:c>
      <x:c r="V408" s="59"/>
      <x:c r="W408" s="117" t="n">
        <x:v>10000</x:v>
      </x:c>
      <x:c r="X408" s="59" t="str">
        <x:f>IFERROR(IF(OR($N408="ĐÃ GHÉP - AUTO",$N408="ĐÃ GHÉP - QUY TẮC"),IF($V408="","",IF($T408="THÙNG",$V408/$F408,$V408)),""),"")</x:f>
      </x:c>
      <x:c r="Y408" s="117" t="n">
        <x:f>IF(OR(W408="",F408=""),"",W408*F408)</x:f>
        <x:v>500000</x:v>
      </x:c>
      <x:c r="Z408" s="59" t="str">
        <x:f>IFERROR(IF(OR($N408="ĐÃ GHÉP - AUTO",$N408="ĐÃ GHÉP - QUY TẮC"),IF($V408="","",IF($T408="THÙNG",$V408,$V408*$F408)),""),"")</x:f>
      </x:c>
      <x:c r="AA408" s="28" t="n">
        <x:f>IFERROR(IF(OR($K408="",$K408=0,$Y408=""),"",($Y408-$K408)/$K408),"")</x:f>
        <x:v>0.1111111111111111</x:v>
      </x:c>
      <x:c r="AB408" s="37" t="str">
        <x:f>IFERROR(IF($N408="CẦN DUYỆT","DUYỆT MAP",IF($N408="CHƯA CÓ GIÁ LẺ","THIẾU GIÁ",IF(OR($K408="",$K408=0,$Y408=""),"OK",IF(ABS(($Y408-$K408)/$K408)&gt;0.15,"LỆCH GIÁ CŨ","OK")))),"OK")</x:f>
        <x:v>OK</x:v>
      </x:c>
      <x:c r="AC408" s="30" t="str">
        <x:v>score=0.801; gap=0.498</x:v>
      </x:c>
      <x:c r="AD408" s="37" t="str">
        <x:v>MUTRDA</x:v>
      </x:c>
      <x:c r="AE408" s="38" t="str">
        <x:v>MUTRDAT</x:v>
      </x:c>
      <x:c r="AF408" s="123" t="n">
        <x:v>0</x:v>
      </x:c>
      <x:c r="AG408" s="112" t="str">
        <x:v>g</x:v>
      </x:c>
      <x:c r="AH408" s="112" t="str">
        <x:v>BỊCH</x:v>
      </x:c>
      <x:c r="AI408" s="112" t="str">
        <x:v>0 g / BỊCH</x:v>
      </x:c>
      <x:c r="AJ408" s="120" t="n">
        <x:v>10000</x:v>
      </x:c>
      <x:c r="AK408" s="120" t="n">
        <x:v>11000</x:v>
      </x:c>
      <x:c r="AL408" s="120" t="n">
        <x:v>10000</x:v>
      </x:c>
      <x:c r="AM408" s="112" t="str">
        <x:v>CẬP NHẬT GIÁ</x:v>
      </x:c>
      <x:c r="AN408" s="126" t="n">
        <x:v>885</x:v>
      </x:c>
      <x:c r="AO408" s="126" t="n">
        <x:v>886</x:v>
      </x:c>
      <x:c r="AP408" s="113" t="str">
        <x:v>50 BỊCH / THÙNG</x:v>
      </x:c>
    </x:row>
    <x:row r="409">
      <x:c r="A409" s="71" t="str">
        <x:v>MUỖNG DÀI HỒNG</x:v>
      </x:c>
      <x:c r="B409" s="30" t="str">
        <x:v>MUỖNG DÀI HỒNG - THÙNG</x:v>
      </x:c>
      <x:c r="C409" s="37" t="str">
        <x:v>MUHODA</x:v>
      </x:c>
      <x:c r="D409" s="37" t="str">
        <x:v>MUHODAT</x:v>
      </x:c>
      <x:c r="E409" s="37" t="str">
        <x:v>MUHODAT</x:v>
      </x:c>
      <x:c r="F409" s="37" t="n">
        <x:v>50</x:v>
      </x:c>
      <x:c r="G409" s="37" t="n">
        <x:v>0</x:v>
      </x:c>
      <x:c r="H409" s="37" t="str">
        <x:v>g</x:v>
      </x:c>
      <x:c r="I409" s="37" t="str">
        <x:v>THÙNG</x:v>
      </x:c>
      <x:c r="J409" s="59" t="n">
        <x:v>0</x:v>
      </x:c>
      <x:c r="K409" s="59" t="n">
        <x:v>450000</x:v>
      </x:c>
      <x:c r="L409" s="59" t="n">
        <x:v>0</x:v>
      </x:c>
      <x:c r="M409" s="37" t="str">
        <x:v>Muỗng</x:v>
      </x:c>
      <x:c r="N409" s="37" t="str">
        <x:v>ĐÃ GHÉP - AUTO</x:v>
      </x:c>
      <x:c r="O409" s="61" t="n">
        <x:v>0.797</x:v>
      </x:c>
      <x:c r="P409" s="37" t="n">
        <x:v>232</x:v>
      </x:c>
      <x:c r="Q409" s="30" t="str">
        <x:v>Muỗng dài</x:v>
      </x:c>
      <x:c r="R409" s="30" t="str">
        <x:v>Thung 2500 cai</x:v>
      </x:c>
      <x:c r="S409" s="30" t="str">
        <x:v>bich</x:v>
      </x:c>
      <x:c r="T409" s="37" t="str">
        <x:v>ĐƠN VỊ</x:v>
      </x:c>
      <x:c r="U409" s="59" t="n">
        <x:v>11000</x:v>
      </x:c>
      <x:c r="V409" s="59"/>
      <x:c r="W409" s="117" t="n">
        <x:v>10000</x:v>
      </x:c>
      <x:c r="X409" s="59" t="str">
        <x:f>IFERROR(IF(OR($N409="ĐÃ GHÉP - AUTO",$N409="ĐÃ GHÉP - QUY TẮC"),IF($V409="","",IF($T409="THÙNG",$V409/$F409,$V409)),""),"")</x:f>
      </x:c>
      <x:c r="Y409" s="117" t="n">
        <x:f>IF(OR(W409="",F409=""),"",W409*F409)</x:f>
        <x:v>500000</x:v>
      </x:c>
      <x:c r="Z409" s="59" t="str">
        <x:f>IFERROR(IF(OR($N409="ĐÃ GHÉP - AUTO",$N409="ĐÃ GHÉP - QUY TẮC"),IF($V409="","",IF($T409="THÙNG",$V409,$V409*$F409)),""),"")</x:f>
      </x:c>
      <x:c r="AA409" s="28" t="n">
        <x:f>IFERROR(IF(OR($K409="",$K409=0,$Y409=""),"",($Y409-$K409)/$K409),"")</x:f>
        <x:v>0.1111111111111111</x:v>
      </x:c>
      <x:c r="AB409" s="37" t="str">
        <x:f>IFERROR(IF($N409="CẦN DUYỆT","DUYỆT MAP",IF($N409="CHƯA CÓ GIÁ LẺ","THIẾU GIÁ",IF(OR($K409="",$K409=0,$Y409=""),"OK",IF(ABS(($Y409-$K409)/$K409)&gt;0.15,"LỆCH GIÁ CŨ","OK")))),"OK")</x:f>
        <x:v>OK</x:v>
      </x:c>
      <x:c r="AC409" s="30" t="str">
        <x:v>score=0.797; gap=0.563</x:v>
      </x:c>
      <x:c r="AD409" s="37" t="str">
        <x:v>MUHODA</x:v>
      </x:c>
      <x:c r="AE409" s="38" t="str">
        <x:v>MUHODAT</x:v>
      </x:c>
      <x:c r="AF409" s="123" t="n">
        <x:v>0</x:v>
      </x:c>
      <x:c r="AG409" s="112" t="str">
        <x:v>g</x:v>
      </x:c>
      <x:c r="AH409" s="112" t="str">
        <x:v>BỊCH</x:v>
      </x:c>
      <x:c r="AI409" s="112" t="str">
        <x:v>0 g / BỊCH</x:v>
      </x:c>
      <x:c r="AJ409" s="120" t="n">
        <x:v>10000</x:v>
      </x:c>
      <x:c r="AK409" s="120" t="n">
        <x:v>11000</x:v>
      </x:c>
      <x:c r="AL409" s="120" t="n">
        <x:v>10000</x:v>
      </x:c>
      <x:c r="AM409" s="112" t="str">
        <x:v>CẬP NHẬT GIÁ</x:v>
      </x:c>
      <x:c r="AN409" s="126" t="n">
        <x:v>887</x:v>
      </x:c>
      <x:c r="AO409" s="126" t="n">
        <x:v>888</x:v>
      </x:c>
      <x:c r="AP409" s="113" t="str">
        <x:v>50 BỊCH / THÙNG</x:v>
      </x:c>
    </x:row>
    <x:row r="410">
      <x:c r="A410" s="71" t="str">
        <x:v>MUỖNG DÀI ĐỎ</x:v>
      </x:c>
      <x:c r="B410" s="30" t="str">
        <x:v>MUỖNG DÀI ĐỎ - THÙNG</x:v>
      </x:c>
      <x:c r="C410" s="37" t="str">
        <x:v>MUDODA</x:v>
      </x:c>
      <x:c r="D410" s="37" t="str">
        <x:v>MUDODAT</x:v>
      </x:c>
      <x:c r="E410" s="37" t="str">
        <x:v>MUDODAT</x:v>
      </x:c>
      <x:c r="F410" s="37" t="n">
        <x:v>50</x:v>
      </x:c>
      <x:c r="G410" s="37" t="n">
        <x:v>0</x:v>
      </x:c>
      <x:c r="H410" s="37" t="str">
        <x:v>g</x:v>
      </x:c>
      <x:c r="I410" s="37" t="str">
        <x:v>THÙNG</x:v>
      </x:c>
      <x:c r="J410" s="59" t="n">
        <x:v>0</x:v>
      </x:c>
      <x:c r="K410" s="59" t="n">
        <x:v>450000</x:v>
      </x:c>
      <x:c r="L410" s="59" t="n">
        <x:v>0</x:v>
      </x:c>
      <x:c r="M410" s="37" t="str">
        <x:v>Muỗng</x:v>
      </x:c>
      <x:c r="N410" s="37" t="str">
        <x:v>ĐÃ GHÉP - AUTO</x:v>
      </x:c>
      <x:c r="O410" s="61" t="n">
        <x:v>0.792</x:v>
      </x:c>
      <x:c r="P410" s="37" t="n">
        <x:v>232</x:v>
      </x:c>
      <x:c r="Q410" s="30" t="str">
        <x:v>Muỗng dài</x:v>
      </x:c>
      <x:c r="R410" s="30" t="str">
        <x:v>Thung 2500 cai</x:v>
      </x:c>
      <x:c r="S410" s="30" t="str">
        <x:v>bich</x:v>
      </x:c>
      <x:c r="T410" s="37" t="str">
        <x:v>ĐƠN VỊ</x:v>
      </x:c>
      <x:c r="U410" s="59" t="n">
        <x:v>11000</x:v>
      </x:c>
      <x:c r="V410" s="59"/>
      <x:c r="W410" s="117" t="n">
        <x:v>10000</x:v>
      </x:c>
      <x:c r="X410" s="59" t="str">
        <x:f>IFERROR(IF(OR($N410="ĐÃ GHÉP - AUTO",$N410="ĐÃ GHÉP - QUY TẮC"),IF($V410="","",IF($T410="THÙNG",$V410/$F410,$V410)),""),"")</x:f>
      </x:c>
      <x:c r="Y410" s="117" t="n">
        <x:f>IF(OR(W410="",F410=""),"",W410*F410)</x:f>
        <x:v>500000</x:v>
      </x:c>
      <x:c r="Z410" s="59" t="str">
        <x:f>IFERROR(IF(OR($N410="ĐÃ GHÉP - AUTO",$N410="ĐÃ GHÉP - QUY TẮC"),IF($V410="","",IF($T410="THÙNG",$V410,$V410*$F410)),""),"")</x:f>
      </x:c>
      <x:c r="AA410" s="28" t="n">
        <x:f>IFERROR(IF(OR($K410="",$K410=0,$Y410=""),"",($Y410-$K410)/$K410),"")</x:f>
        <x:v>0.1111111111111111</x:v>
      </x:c>
      <x:c r="AB410" s="37" t="str">
        <x:f>IFERROR(IF($N410="CẦN DUYỆT","DUYỆT MAP",IF($N410="CHƯA CÓ GIÁ LẺ","THIẾU GIÁ",IF(OR($K410="",$K410=0,$Y410=""),"OK",IF(ABS(($Y410-$K410)/$K410)&gt;0.15,"LỆCH GIÁ CŨ","OK")))),"OK")</x:f>
        <x:v>OK</x:v>
      </x:c>
      <x:c r="AC410" s="30" t="str">
        <x:v>score=0.792; gap=0.507</x:v>
      </x:c>
      <x:c r="AD410" s="37" t="str">
        <x:v>MUDODA</x:v>
      </x:c>
      <x:c r="AE410" s="38" t="str">
        <x:v>MUDODAT</x:v>
      </x:c>
      <x:c r="AF410" s="123" t="n">
        <x:v>0</x:v>
      </x:c>
      <x:c r="AG410" s="112" t="str">
        <x:v>g</x:v>
      </x:c>
      <x:c r="AH410" s="112" t="str">
        <x:v>BỊCH</x:v>
      </x:c>
      <x:c r="AI410" s="112" t="str">
        <x:v>0 g / BỊCH</x:v>
      </x:c>
      <x:c r="AJ410" s="120" t="n">
        <x:v>10000</x:v>
      </x:c>
      <x:c r="AK410" s="120" t="n">
        <x:v>11000</x:v>
      </x:c>
      <x:c r="AL410" s="120" t="n">
        <x:v>10000</x:v>
      </x:c>
      <x:c r="AM410" s="112" t="str">
        <x:v>CẬP NHẬT GIÁ</x:v>
      </x:c>
      <x:c r="AN410" s="126" t="n">
        <x:v>889</x:v>
      </x:c>
      <x:c r="AO410" s="126" t="n">
        <x:v>890</x:v>
      </x:c>
      <x:c r="AP410" s="113" t="str">
        <x:v>50 BỊCH / THÙNG</x:v>
      </x:c>
    </x:row>
    <x:row r="411">
      <x:c r="A411" s="71" t="str">
        <x:v>MUỖNG DÀI ĐEN</x:v>
      </x:c>
      <x:c r="B411" s="30" t="str">
        <x:v>MUỖNG DÀI ĐEN - THÙNG</x:v>
      </x:c>
      <x:c r="C411" s="37" t="str">
        <x:v>MUDEDA</x:v>
      </x:c>
      <x:c r="D411" s="37" t="str">
        <x:v>MUDEDAT</x:v>
      </x:c>
      <x:c r="E411" s="37" t="str">
        <x:v>MUDEDAT</x:v>
      </x:c>
      <x:c r="F411" s="37" t="n">
        <x:v>50</x:v>
      </x:c>
      <x:c r="G411" s="37" t="n">
        <x:v>0</x:v>
      </x:c>
      <x:c r="H411" s="37" t="str">
        <x:v>g</x:v>
      </x:c>
      <x:c r="I411" s="37" t="str">
        <x:v>THÙNG</x:v>
      </x:c>
      <x:c r="J411" s="59" t="n">
        <x:v>0</x:v>
      </x:c>
      <x:c r="K411" s="59" t="n">
        <x:v>450000</x:v>
      </x:c>
      <x:c r="L411" s="59" t="n">
        <x:v>0</x:v>
      </x:c>
      <x:c r="M411" s="37" t="str">
        <x:v>Muỗng</x:v>
      </x:c>
      <x:c r="N411" s="37" t="str">
        <x:v>ĐÃ GHÉP - AUTO</x:v>
      </x:c>
      <x:c r="O411" s="61" t="n">
        <x:v>0.801</x:v>
      </x:c>
      <x:c r="P411" s="37" t="n">
        <x:v>232</x:v>
      </x:c>
      <x:c r="Q411" s="30" t="str">
        <x:v>Muỗng dài</x:v>
      </x:c>
      <x:c r="R411" s="30" t="str">
        <x:v>Thung 2500 cai</x:v>
      </x:c>
      <x:c r="S411" s="30" t="str">
        <x:v>bich</x:v>
      </x:c>
      <x:c r="T411" s="37" t="str">
        <x:v>ĐƠN VỊ</x:v>
      </x:c>
      <x:c r="U411" s="59" t="n">
        <x:v>11000</x:v>
      </x:c>
      <x:c r="V411" s="59"/>
      <x:c r="W411" s="117" t="n">
        <x:v>10000</x:v>
      </x:c>
      <x:c r="X411" s="59" t="str">
        <x:f>IFERROR(IF(OR($N411="ĐÃ GHÉP - AUTO",$N411="ĐÃ GHÉP - QUY TẮC"),IF($V411="","",IF($T411="THÙNG",$V411/$F411,$V411)),""),"")</x:f>
      </x:c>
      <x:c r="Y411" s="117" t="n">
        <x:f>IF(OR(W411="",F411=""),"",W411*F411)</x:f>
        <x:v>500000</x:v>
      </x:c>
      <x:c r="Z411" s="59" t="str">
        <x:f>IFERROR(IF(OR($N411="ĐÃ GHÉP - AUTO",$N411="ĐÃ GHÉP - QUY TẮC"),IF($V411="","",IF($T411="THÙNG",$V411,$V411*$F411)),""),"")</x:f>
      </x:c>
      <x:c r="AA411" s="28" t="n">
        <x:f>IFERROR(IF(OR($K411="",$K411=0,$Y411=""),"",($Y411-$K411)/$K411),"")</x:f>
        <x:v>0.1111111111111111</x:v>
      </x:c>
      <x:c r="AB411" s="37" t="str">
        <x:f>IFERROR(IF($N411="CẦN DUYỆT","DUYỆT MAP",IF($N411="CHƯA CÓ GIÁ LẺ","THIẾU GIÁ",IF(OR($K411="",$K411=0,$Y411=""),"OK",IF(ABS(($Y411-$K411)/$K411)&gt;0.15,"LỆCH GIÁ CŨ","OK")))),"OK")</x:f>
        <x:v>OK</x:v>
      </x:c>
      <x:c r="AC411" s="30" t="str">
        <x:v>score=0.801; gap=0.531</x:v>
      </x:c>
      <x:c r="AD411" s="37" t="str">
        <x:v>MUDEDA</x:v>
      </x:c>
      <x:c r="AE411" s="38" t="str">
        <x:v>MUDEDAT</x:v>
      </x:c>
      <x:c r="AF411" s="123" t="n">
        <x:v>0</x:v>
      </x:c>
      <x:c r="AG411" s="112" t="str">
        <x:v>g</x:v>
      </x:c>
      <x:c r="AH411" s="112" t="str">
        <x:v>BỊCH</x:v>
      </x:c>
      <x:c r="AI411" s="112" t="str">
        <x:v>0 g / BỊCH</x:v>
      </x:c>
      <x:c r="AJ411" s="120" t="n">
        <x:v>10000</x:v>
      </x:c>
      <x:c r="AK411" s="120" t="n">
        <x:v>11000</x:v>
      </x:c>
      <x:c r="AL411" s="120" t="n">
        <x:v>10000</x:v>
      </x:c>
      <x:c r="AM411" s="112" t="str">
        <x:v>CẬP NHẬT GIÁ</x:v>
      </x:c>
      <x:c r="AN411" s="126" t="n">
        <x:v>891</x:v>
      </x:c>
      <x:c r="AO411" s="126" t="n">
        <x:v>892</x:v>
      </x:c>
      <x:c r="AP411" s="113" t="str">
        <x:v>50 BỊCH / THÙNG</x:v>
      </x:c>
    </x:row>
    <x:row r="412">
      <x:c r="A412" s="71" t="str">
        <x:v>MT35</x:v>
      </x:c>
      <x:c r="B412" s="30" t="str">
        <x:v>MT35 - THÙNG</x:v>
      </x:c>
      <x:c r="C412" s="37" t="str">
        <x:v>BSMT35</x:v>
      </x:c>
      <x:c r="D412" s="37" t="str">
        <x:v>BSMT35T</x:v>
      </x:c>
      <x:c r="E412" s="37" t="str">
        <x:v>BSMT35T</x:v>
      </x:c>
      <x:c r="F412" s="37" t="n">
        <x:v>10</x:v>
      </x:c>
      <x:c r="G412" s="37" t="n">
        <x:v>1</x:v>
      </x:c>
      <x:c r="H412" s="37" t="str">
        <x:v>kg</x:v>
      </x:c>
      <x:c r="I412" s="37" t="str">
        <x:v>THÙNG</x:v>
      </x:c>
      <x:c r="J412" s="59" t="n">
        <x:v>0</x:v>
      </x:c>
      <x:c r="K412" s="59" t="n">
        <x:v>0</x:v>
      </x:c>
      <x:c r="L412" s="59" t="n">
        <x:v>0</x:v>
      </x:c>
      <x:c r="M412" s="37" t="str">
        <x:v>Bột sữa / milkfoam</x:v>
      </x:c>
      <x:c r="N412" s="37" t="str">
        <x:v>ĐÃ GHÉP - AUTO</x:v>
      </x:c>
      <x:c r="O412" s="61" t="n">
        <x:v>0.97</x:v>
      </x:c>
      <x:c r="P412" s="37" t="n">
        <x:v>134</x:v>
      </x:c>
      <x:c r="Q412" s="30" t="str">
        <x:v>Bột sữa MT35</x:v>
      </x:c>
      <x:c r="R412" s="30" t="str">
        <x:v>Thùng 10 gói</x:v>
      </x:c>
      <x:c r="S412" s="30" t="str">
        <x:v>gói 1kg</x:v>
      </x:c>
      <x:c r="T412" s="37" t="str">
        <x:v>ĐƠN VỊ</x:v>
      </x:c>
      <x:c r="U412" s="59" t="n">
        <x:v>118000</x:v>
      </x:c>
      <x:c r="V412" s="59"/>
      <x:c r="W412" s="117" t="n">
        <x:v>118000</x:v>
      </x:c>
      <x:c r="X412" s="59" t="str">
        <x:f>IFERROR(IF(OR($N412="ĐÃ GHÉP - AUTO",$N412="ĐÃ GHÉP - QUY TẮC"),IF($V412="","",IF($T412="THÙNG",$V412/$F412,$V412)),""),"")</x:f>
      </x:c>
      <x:c r="Y412" s="117" t="n">
        <x:f>IF(OR(W412="",F412=""),"",W412*F412)</x:f>
        <x:v>1180000</x:v>
      </x:c>
      <x:c r="Z412" s="59" t="str">
        <x:f>IFERROR(IF(OR($N412="ĐÃ GHÉP - AUTO",$N412="ĐÃ GHÉP - QUY TẮC"),IF($V412="","",IF($T412="THÙNG",$V412,$V412*$F412)),""),"")</x:f>
      </x:c>
      <x:c r="AA412" s="28" t="str">
        <x:f>IFERROR(IF(OR($K412="",$K412=0,$Y412=""),"",($Y412-$K412)/$K412),"")</x:f>
      </x:c>
      <x:c r="AB412" s="37" t="str">
        <x:f>IFERROR(IF($N412="CẦN DUYỆT","DUYỆT MAP",IF($N412="CHƯA CÓ GIÁ LẺ","THIẾU GIÁ",IF(OR($K412="",$K412=0,$Y412=""),"OK",IF(ABS(($Y412-$K412)/$K412)&gt;0.15,"LỆCH GIÁ CŨ","OK")))),"OK")</x:f>
        <x:v>OK</x:v>
      </x:c>
      <x:c r="AC412" s="30" t="str">
        <x:v>score=0.970; gap=0.922</x:v>
      </x:c>
      <x:c r="AD412" s="37" t="str">
        <x:v>BSMT35</x:v>
      </x:c>
      <x:c r="AE412" s="38" t="str">
        <x:v>BSMT35T</x:v>
      </x:c>
      <x:c r="AF412" s="123" t="n">
        <x:v>0</x:v>
      </x:c>
      <x:c r="AG412" s="112" t="str">
        <x:v>g</x:v>
      </x:c>
      <x:c r="AH412" s="112" t="str">
        <x:v>BỊCH</x:v>
      </x:c>
      <x:c r="AI412" s="112" t="str">
        <x:v>0 g / BỊCH</x:v>
      </x:c>
      <x:c r="AJ412" s="120" t="n">
        <x:v>118000</x:v>
      </x:c>
      <x:c r="AK412" s="120" t="n">
        <x:v>118000</x:v>
      </x:c>
      <x:c r="AL412" s="120" t="n">
        <x:v>118000</x:v>
      </x:c>
      <x:c r="AM412" s="112" t="str">
        <x:v>GIỮ NGUYÊN - ĐÃ KHỚP</x:v>
      </x:c>
      <x:c r="AN412" s="126" t="n">
        <x:v>893</x:v>
      </x:c>
      <x:c r="AO412" s="126" t="n">
        <x:v>894</x:v>
      </x:c>
      <x:c r="AP412" s="113" t="str">
        <x:v>10 BỊCH / THÙNG</x:v>
      </x:c>
    </x:row>
    <x:row r="413">
      <x:c r="A413" s="71" t="str">
        <x:v>MILKFOAM MUỐI BIỂN ĐỎ</x:v>
      </x:c>
      <x:c r="B413" s="30" t="str">
        <x:v>MILKFOAM MUỐI BIỂN ĐỎ - THÙNG</x:v>
      </x:c>
      <x:c r="C413" s="37" t="str">
        <x:v>MUOIBD</x:v>
      </x:c>
      <x:c r="D413" s="37" t="str">
        <x:v>MUOIBDT</x:v>
      </x:c>
      <x:c r="E413" s="37" t="str">
        <x:v>MUOIBDT</x:v>
      </x:c>
      <x:c r="F413" s="37" t="n">
        <x:v>20</x:v>
      </x:c>
      <x:c r="G413" s="37" t="n">
        <x:v>21</x:v>
      </x:c>
      <x:c r="H413" s="37" t="str">
        <x:v>kg</x:v>
      </x:c>
      <x:c r="I413" s="37" t="str">
        <x:v>THÙNG</x:v>
      </x:c>
      <x:c r="J413" s="59" t="n">
        <x:v>0</x:v>
      </x:c>
      <x:c r="K413" s="59" t="n">
        <x:v>0</x:v>
      </x:c>
      <x:c r="L413" s="59" t="n">
        <x:v>0</x:v>
      </x:c>
      <x:c r="M413" s="37" t="str">
        <x:v>Bột sữa / milkfoam</x:v>
      </x:c>
      <x:c r="N413" s="37" t="str">
        <x:v>ĐÃ GHÉP - AUTO</x:v>
      </x:c>
      <x:c r="O413" s="61" t="n">
        <x:v>0.877</x:v>
      </x:c>
      <x:c r="P413" s="37" t="n">
        <x:v>138</x:v>
      </x:c>
      <x:c r="Q413" s="30" t="str">
        <x:v>Bột milkfoam muối biển</x:v>
      </x:c>
      <x:c r="R413" s="30" t="str"/>
      <x:c r="S413" s="30" t="str">
        <x:v>gói 1kg</x:v>
      </x:c>
      <x:c r="T413" s="37" t="str">
        <x:v>ĐƠN VỊ</x:v>
      </x:c>
      <x:c r="U413" s="59" t="n">
        <x:v>92000</x:v>
      </x:c>
      <x:c r="V413" s="59"/>
      <x:c r="W413" s="117" t="n">
        <x:v>92000</x:v>
      </x:c>
      <x:c r="X413" s="59" t="str">
        <x:f>IFERROR(IF(OR($N413="ĐÃ GHÉP - AUTO",$N413="ĐÃ GHÉP - QUY TẮC"),IF($V413="","",IF($T413="THÙNG",$V413/$F413,$V413)),""),"")</x:f>
      </x:c>
      <x:c r="Y413" s="117" t="n">
        <x:f>IF(OR(W413="",F413=""),"",W413*F413)</x:f>
        <x:v>1840000</x:v>
      </x:c>
      <x:c r="Z413" s="59" t="str">
        <x:f>IFERROR(IF(OR($N413="ĐÃ GHÉP - AUTO",$N413="ĐÃ GHÉP - QUY TẮC"),IF($V413="","",IF($T413="THÙNG",$V413,$V413*$F413)),""),"")</x:f>
      </x:c>
      <x:c r="AA413" s="28" t="str">
        <x:f>IFERROR(IF(OR($K413="",$K413=0,$Y413=""),"",($Y413-$K413)/$K413),"")</x:f>
      </x:c>
      <x:c r="AB413" s="37" t="str">
        <x:f>IFERROR(IF($N413="CẦN DUYỆT","DUYỆT MAP",IF($N413="CHƯA CÓ GIÁ LẺ","THIẾU GIÁ",IF(OR($K413="",$K413=0,$Y413=""),"OK",IF(ABS(($Y413-$K413)/$K413)&gt;0.15,"LỆCH GIÁ CŨ","OK")))),"OK")</x:f>
        <x:v>OK</x:v>
      </x:c>
      <x:c r="AC413" s="30" t="str">
        <x:v>score=0.877; gap=0.419</x:v>
      </x:c>
      <x:c r="AD413" s="37" t="str">
        <x:v>MUOIBD</x:v>
      </x:c>
      <x:c r="AE413" s="38" t="str">
        <x:v>MUOIBDT</x:v>
      </x:c>
      <x:c r="AF413" s="123" t="n">
        <x:v>1</x:v>
      </x:c>
      <x:c r="AG413" s="112" t="str">
        <x:v>kg</x:v>
      </x:c>
      <x:c r="AH413" s="112" t="str">
        <x:v>BỊCH</x:v>
      </x:c>
      <x:c r="AI413" s="112" t="str">
        <x:v>1 kg / BỊCH</x:v>
      </x:c>
      <x:c r="AJ413" s="120" t="n">
        <x:v>92000</x:v>
      </x:c>
      <x:c r="AK413" s="120" t="n">
        <x:v>92000</x:v>
      </x:c>
      <x:c r="AL413" s="120" t="n">
        <x:v>92000</x:v>
      </x:c>
      <x:c r="AM413" s="112" t="str">
        <x:v>GIỮ NGUYÊN - ĐÃ KHỚP</x:v>
      </x:c>
      <x:c r="AN413" s="126" t="n">
        <x:v>895</x:v>
      </x:c>
      <x:c r="AO413" s="126" t="n">
        <x:v>896</x:v>
      </x:c>
      <x:c r="AP413" s="113" t="str">
        <x:v>20 BỊCH / THÙNG</x:v>
      </x:c>
    </x:row>
    <x:row r="414">
      <x:c r="A414" s="71" t="str">
        <x:v>MÌ KIM CHI 100 GÓI</x:v>
      </x:c>
      <x:c r="B414" s="30" t="str">
        <x:v>MÌ KIM CHI 100 GÓI - THÙNG</x:v>
      </x:c>
      <x:c r="C414" s="37" t="str">
        <x:v>MIKC10</x:v>
      </x:c>
      <x:c r="D414" s="37" t="str">
        <x:v>MIKC10T</x:v>
      </x:c>
      <x:c r="E414" s="37" t="str">
        <x:v>MIKC10T</x:v>
      </x:c>
      <x:c r="F414" s="37" t="n">
        <x:v>10</x:v>
      </x:c>
      <x:c r="G414" s="37" t="n">
        <x:v>11000</x:v>
      </x:c>
      <x:c r="H414" s="37" t="str">
        <x:v>g</x:v>
      </x:c>
      <x:c r="I414" s="37" t="str">
        <x:v>THÙNG</x:v>
      </x:c>
      <x:c r="J414" s="59" t="n">
        <x:v>0</x:v>
      </x:c>
      <x:c r="K414" s="59" t="n">
        <x:v>680000</x:v>
      </x:c>
      <x:c r="L414" s="59" t="n">
        <x:v>0</x:v>
      </x:c>
      <x:c r="M414" s="37" t="str">
        <x:v>Nguyên liệu mì cay</x:v>
      </x:c>
      <x:c r="N414" s="37" t="str">
        <x:v>ĐÃ GHÉP - QUY TẮC</x:v>
      </x:c>
      <x:c r="O414" s="61" t="n">
        <x:v>0.99</x:v>
      </x:c>
      <x:c r="P414" s="37" t="n">
        <x:v>244</x:v>
      </x:c>
      <x:c r="Q414" s="30" t="str">
        <x:v>Mì Koreno 100 gói</x:v>
      </x:c>
      <x:c r="R414" s="30" t="str">
        <x:v>Thùng 100 gói</x:v>
      </x:c>
      <x:c r="S414" s="30" t="str">
        <x:v>Thùng</x:v>
      </x:c>
      <x:c r="T414" s="37" t="str">
        <x:v>THÙNG</x:v>
      </x:c>
      <x:c r="U414" s="59" t="n">
        <x:v>680000</x:v>
      </x:c>
      <x:c r="V414" s="59"/>
      <x:c r="W414" s="117" t="n">
        <x:v>68000</x:v>
      </x:c>
      <x:c r="X414" s="59" t="str">
        <x:f>IFERROR(IF(OR($N414="ĐÃ GHÉP - AUTO",$N414="ĐÃ GHÉP - QUY TẮC"),IF($V414="","",IF($T414="THÙNG",$V414/$F414,$V414)),""),"")</x:f>
      </x:c>
      <x:c r="Y414" s="117" t="n">
        <x:f>IF(OR(W414="",F414=""),"",W414*F414)</x:f>
        <x:v>680000</x:v>
      </x:c>
      <x:c r="Z414" s="59" t="str">
        <x:f>IFERROR(IF(OR($N414="ĐÃ GHÉP - AUTO",$N414="ĐÃ GHÉP - QUY TẮC"),IF($V414="","",IF($T414="THÙNG",$V414,$V414*$F414)),""),"")</x:f>
      </x:c>
      <x:c r="AA414" s="28" t="n">
        <x:f>IFERROR(IF(OR($K414="",$K414=0,$Y414=""),"",($Y414-$K414)/$K414),"")</x:f>
        <x:v>0</x:v>
      </x:c>
      <x:c r="AB414" s="37" t="str">
        <x:f>IFERROR(IF($N414="CẦN DUYỆT","DUYỆT MAP",IF($N414="CHƯA CÓ GIÁ LẺ","THIẾU GIÁ",IF(OR($K414="",$K414=0,$Y414=""),"OK",IF(ABS(($Y414-$K414)/$K414)&gt;0.15,"LỆCH GIÁ CŨ","OK")))),"OK")</x:f>
        <x:v>OK</x:v>
      </x:c>
      <x:c r="AC414" s="30" t="str">
        <x:v>Tên hệ thống khác tên bảng giá Koreno</x:v>
      </x:c>
      <x:c r="AD414" s="37" t="str">
        <x:v>MIKC10</x:v>
      </x:c>
      <x:c r="AE414" s="38" t="str">
        <x:v>MIKC10T</x:v>
      </x:c>
      <x:c r="AF414" s="123" t="n">
        <x:v>1100</x:v>
      </x:c>
      <x:c r="AG414" s="112" t="str">
        <x:v>g</x:v>
      </x:c>
      <x:c r="AH414" s="112" t="str">
        <x:v>LỐC</x:v>
      </x:c>
      <x:c r="AI414" s="112" t="str">
        <x:v>1100 g / LỐC</x:v>
      </x:c>
      <x:c r="AJ414" s="120" t="n">
        <x:v>68000</x:v>
      </x:c>
      <x:c r="AK414" s="120" t="n">
        <x:v>68000</x:v>
      </x:c>
      <x:c r="AL414" s="120" t="n">
        <x:v>68000</x:v>
      </x:c>
      <x:c r="AM414" s="112" t="str">
        <x:v>GIỮ NGUYÊN - ĐÃ KHỚP</x:v>
      </x:c>
      <x:c r="AN414" s="126" t="n">
        <x:v>898</x:v>
      </x:c>
      <x:c r="AO414" s="126" t="n">
        <x:v>899</x:v>
      </x:c>
      <x:c r="AP414" s="113" t="str">
        <x:v>10 LỐC / THÙNG</x:v>
      </x:c>
    </x:row>
    <x:row r="415">
      <x:c r="A415" s="71" t="str">
        <x:v>MÌ BÒ 100 GÓI</x:v>
      </x:c>
      <x:c r="B415" s="30" t="str">
        <x:v>MÌ BÒ 100 GÓI - THÙNG</x:v>
      </x:c>
      <x:c r="C415" s="37" t="str">
        <x:v>MIBO10</x:v>
      </x:c>
      <x:c r="D415" s="37" t="str">
        <x:v>MIBO10T</x:v>
      </x:c>
      <x:c r="E415" s="37" t="str">
        <x:v>MIBO10T</x:v>
      </x:c>
      <x:c r="F415" s="37" t="n">
        <x:v>10</x:v>
      </x:c>
      <x:c r="G415" s="37" t="n">
        <x:v>11000</x:v>
      </x:c>
      <x:c r="H415" s="37" t="str">
        <x:v>g</x:v>
      </x:c>
      <x:c r="I415" s="37" t="str">
        <x:v>THÙNG</x:v>
      </x:c>
      <x:c r="J415" s="59" t="n">
        <x:v>0</x:v>
      </x:c>
      <x:c r="K415" s="59" t="n">
        <x:v>675000</x:v>
      </x:c>
      <x:c r="L415" s="59" t="n">
        <x:v>0</x:v>
      </x:c>
      <x:c r="M415" s="37" t="str">
        <x:v>Nguyên liệu mì cay</x:v>
      </x:c>
      <x:c r="N415" s="37" t="str">
        <x:v>CHƯA CÓ GIÁ LẺ</x:v>
      </x:c>
      <x:c r="O415" s="61" t="n">
        <x:v>0.422</x:v>
      </x:c>
      <x:c r="P415" s="37"/>
      <x:c r="Q415" s="30"/>
      <x:c r="R415" s="30"/>
      <x:c r="S415" s="30"/>
      <x:c r="T415" s="37"/>
      <x:c r="U415" s="59"/>
      <x:c r="V415" s="59"/>
      <x:c r="W415" s="117" t="n">
        <x:v>68000</x:v>
      </x:c>
      <x:c r="X415" s="59" t="str">
        <x:f>IFERROR(IF(OR($N415="ĐÃ GHÉP - AUTO",$N415="ĐÃ GHÉP - QUY TẮC"),IF($V415="","",IF($T415="THÙNG",$V415/$F415,$V415)),""),"")</x:f>
      </x:c>
      <x:c r="Y415" s="117" t="n">
        <x:f>IF(OR(W415="",F415=""),"",W415*F415)</x:f>
        <x:v>680000</x:v>
      </x:c>
      <x:c r="Z415" s="59" t="str">
        <x:f>IFERROR(IF(OR($N415="ĐÃ GHÉP - AUTO",$N415="ĐÃ GHÉP - QUY TẮC"),IF($V415="","",IF($T415="THÙNG",$V415,$V415*$F415)),""),"")</x:f>
      </x:c>
      <x:c r="AA415" s="28" t="n">
        <x:f>IFERROR(IF(OR($K415="",$K415=0,$Y415=""),"",($Y415-$K415)/$K415),"")</x:f>
        <x:v>0.007407407407407408</x:v>
      </x:c>
      <x:c r="AB415" s="37" t="str">
        <x:f>IFERROR(IF($N415="CẦN DUYỆT","DUYỆT MAP",IF($N415="CHƯA CÓ GIÁ LẺ","THIẾU GIÁ",IF(OR($K415="",$K415=0,$Y415=""),"OK",IF(ABS(($Y415-$K415)/$K415)&gt;0.15,"LỆCH GIÁ CŨ","OK")))),"OK")</x:f>
        <x:v>THIẾU GIÁ</x:v>
      </x:c>
      <x:c r="AC415" s="30" t="str">
        <x:v>ứng viên gần nhất=Mì Koreno 100 gói; score=0.422</x:v>
      </x:c>
      <x:c r="AD415" s="37" t="str">
        <x:v>MIBO10</x:v>
      </x:c>
      <x:c r="AE415" s="38" t="str">
        <x:v>MIBO10T</x:v>
      </x:c>
      <x:c r="AF415" s="123" t="n">
        <x:v>1100</x:v>
      </x:c>
      <x:c r="AG415" s="112" t="str">
        <x:v>g</x:v>
      </x:c>
      <x:c r="AH415" s="112" t="str">
        <x:v>LỐC</x:v>
      </x:c>
      <x:c r="AI415" s="112" t="str">
        <x:v>1100 g / LỐC</x:v>
      </x:c>
      <x:c r="AJ415" s="120" t="n">
        <x:v>68000</x:v>
      </x:c>
      <x:c r="AK415" s="120"/>
      <x:c r="AL415" s="120" t="n">
        <x:v>68000</x:v>
      </x:c>
      <x:c r="AM415" s="112" t="str">
        <x:v>BỔ SUNG GIÁ</x:v>
      </x:c>
      <x:c r="AN415" s="126" t="n">
        <x:v>901</x:v>
      </x:c>
      <x:c r="AO415" s="126" t="n">
        <x:v>902</x:v>
      </x:c>
      <x:c r="AP415" s="113" t="str">
        <x:v>10 LỐC / THÙNG</x:v>
      </x:c>
    </x:row>
    <x:row r="416">
      <x:c r="A416" s="71" t="str">
        <x:v>SIRO VINA MẬT ONG</x:v>
      </x:c>
      <x:c r="B416" s="30" t="str">
        <x:v>SIRO VINA MẬT ONG - THÙNG</x:v>
      </x:c>
      <x:c r="C416" s="37" t="str">
        <x:v>MOGVNA</x:v>
      </x:c>
      <x:c r="D416" s="37" t="str">
        <x:v>MOGVNAT</x:v>
      </x:c>
      <x:c r="E416" s="37" t="str">
        <x:v>MOGVNAT</x:v>
      </x:c>
      <x:c r="F416" s="37" t="n">
        <x:v>12</x:v>
      </x:c>
      <x:c r="G416" s="37" t="n">
        <x:v>13000</x:v>
      </x:c>
      <x:c r="H416" s="37" t="str">
        <x:v>g</x:v>
      </x:c>
      <x:c r="I416" s="37" t="str">
        <x:v>THÙNG</x:v>
      </x:c>
      <x:c r="J416" s="59" t="n">
        <x:v>0</x:v>
      </x:c>
      <x:c r="K416" s="59" t="n">
        <x:v>0</x:v>
      </x:c>
      <x:c r="L416" s="59" t="n">
        <x:v>0</x:v>
      </x:c>
      <x:c r="M416" s="37" t="str">
        <x:v>Siro</x:v>
      </x:c>
      <x:c r="N416" s="37" t="str">
        <x:v>ĐÃ GHÉP - AUTO</x:v>
      </x:c>
      <x:c r="O416" s="61" t="n">
        <x:v>0.835</x:v>
      </x:c>
      <x:c r="P416" s="37" t="n">
        <x:v>12</x:v>
      </x:c>
      <x:c r="Q416" s="30" t="str">
        <x:v>Siro Vina</x:v>
      </x:c>
      <x:c r="R416" s="30" t="str">
        <x:v>Thùng 12 chai</x:v>
      </x:c>
      <x:c r="S416" s="30" t="str">
        <x:v>Chai</x:v>
      </x:c>
      <x:c r="T416" s="37" t="str">
        <x:v>ĐƠN VỊ</x:v>
      </x:c>
      <x:c r="U416" s="59" t="n">
        <x:v>40000</x:v>
      </x:c>
      <x:c r="V416" s="59"/>
      <x:c r="W416" s="117" t="n">
        <x:v>55000</x:v>
      </x:c>
      <x:c r="X416" s="59" t="str">
        <x:f>IFERROR(IF(OR($N416="ĐÃ GHÉP - AUTO",$N416="ĐÃ GHÉP - QUY TẮC"),IF($V416="","",IF($T416="THÙNG",$V416/$F416,$V416)),""),"")</x:f>
      </x:c>
      <x:c r="Y416" s="117" t="n">
        <x:f>IF(OR(W416="",F416=""),"",W416*F416)</x:f>
        <x:v>660000</x:v>
      </x:c>
      <x:c r="Z416" s="59" t="str">
        <x:f>IFERROR(IF(OR($N416="ĐÃ GHÉP - AUTO",$N416="ĐÃ GHÉP - QUY TẮC"),IF($V416="","",IF($T416="THÙNG",$V416,$V416*$F416)),""),"")</x:f>
      </x:c>
      <x:c r="AA416" s="28" t="str">
        <x:f>IFERROR(IF(OR($K416="",$K416=0,$Y416=""),"",($Y416-$K416)/$K416),"")</x:f>
      </x:c>
      <x:c r="AB416" s="37" t="str">
        <x:f>IFERROR(IF($N416="CẦN DUYỆT","DUYỆT MAP",IF($N416="CHƯA CÓ GIÁ LẺ","THIẾU GIÁ",IF(OR($K416="",$K416=0,$Y416=""),"OK",IF(ABS(($Y416-$K416)/$K416)&gt;0.15,"LỆCH GIÁ CŨ","OK")))),"OK")</x:f>
        <x:v>OK</x:v>
      </x:c>
      <x:c r="AC416" s="30" t="str">
        <x:v>score=0.835; gap=0.400</x:v>
      </x:c>
      <x:c r="AD416" s="37" t="str">
        <x:v>MOGVNA</x:v>
      </x:c>
      <x:c r="AE416" s="38" t="str">
        <x:v>MOGVNAT</x:v>
      </x:c>
      <x:c r="AF416" s="123" t="n">
        <x:v>1000</x:v>
      </x:c>
      <x:c r="AG416" s="112" t="str">
        <x:v>g</x:v>
      </x:c>
      <x:c r="AH416" s="112" t="str">
        <x:v>BÌNH</x:v>
      </x:c>
      <x:c r="AI416" s="112" t="str">
        <x:v>1000 g / BÌNH</x:v>
      </x:c>
      <x:c r="AJ416" s="120" t="n">
        <x:v>55000</x:v>
      </x:c>
      <x:c r="AK416" s="120" t="n">
        <x:v>40000</x:v>
      </x:c>
      <x:c r="AL416" s="120" t="n">
        <x:v>55000</x:v>
      </x:c>
      <x:c r="AM416" s="112" t="str">
        <x:v>CẬP NHẬT GIÁ</x:v>
      </x:c>
      <x:c r="AN416" s="126" t="n">
        <x:v>903</x:v>
      </x:c>
      <x:c r="AO416" s="126" t="n">
        <x:v>904</x:v>
      </x:c>
      <x:c r="AP416" s="113" t="str">
        <x:v>12 BÌNH / THÙNG</x:v>
      </x:c>
    </x:row>
    <x:row r="417">
      <x:c r="A417" s="71" t="str">
        <x:v>SIRO TRÒN MẬT ONG</x:v>
      </x:c>
      <x:c r="B417" s="30" t="str">
        <x:v>SIRO TRÒN MẬT ONG - THÙNG</x:v>
      </x:c>
      <x:c r="C417" s="37" t="str">
        <x:v>SRMOGT</x:v>
      </x:c>
      <x:c r="D417" s="37" t="str">
        <x:v>SRMOGTT</x:v>
      </x:c>
      <x:c r="E417" s="37" t="str">
        <x:v>SRMOGTT</x:v>
      </x:c>
      <x:c r="F417" s="37" t="n">
        <x:v>6</x:v>
      </x:c>
      <x:c r="G417" s="37" t="n">
        <x:v>16000</x:v>
      </x:c>
      <x:c r="H417" s="37" t="str">
        <x:v>g</x:v>
      </x:c>
      <x:c r="I417" s="37" t="str">
        <x:v>THÙNG</x:v>
      </x:c>
      <x:c r="J417" s="59" t="n">
        <x:v>0</x:v>
      </x:c>
      <x:c r="K417" s="59" t="n">
        <x:v>0</x:v>
      </x:c>
      <x:c r="L417" s="59" t="n">
        <x:v>0</x:v>
      </x:c>
      <x:c r="M417" s="37" t="str">
        <x:v>Siro</x:v>
      </x:c>
      <x:c r="N417" s="37" t="str">
        <x:v>CHƯA CÓ GIÁ LẺ</x:v>
      </x:c>
      <x:c r="O417" s="61" t="n">
        <x:v>0.447</x:v>
      </x:c>
      <x:c r="P417" s="37"/>
      <x:c r="Q417" s="30"/>
      <x:c r="R417" s="30"/>
      <x:c r="S417" s="30"/>
      <x:c r="T417" s="37"/>
      <x:c r="U417" s="59"/>
      <x:c r="V417" s="59"/>
      <x:c r="W417" s="117" t="n">
        <x:v>125000</x:v>
      </x:c>
      <x:c r="X417" s="59" t="str">
        <x:f>IFERROR(IF(OR($N417="ĐÃ GHÉP - AUTO",$N417="ĐÃ GHÉP - QUY TẮC"),IF($V417="","",IF($T417="THÙNG",$V417/$F417,$V417)),""),"")</x:f>
      </x:c>
      <x:c r="Y417" s="117" t="n">
        <x:f>IF(OR(W417="",F417=""),"",W417*F417)</x:f>
        <x:v>750000</x:v>
      </x:c>
      <x:c r="Z417" s="59" t="str">
        <x:f>IFERROR(IF(OR($N417="ĐÃ GHÉP - AUTO",$N417="ĐÃ GHÉP - QUY TẮC"),IF($V417="","",IF($T417="THÙNG",$V417,$V417*$F417)),""),"")</x:f>
      </x:c>
      <x:c r="AA417" s="28" t="str">
        <x:f>IFERROR(IF(OR($K417="",$K417=0,$Y417=""),"",($Y417-$K417)/$K417),"")</x:f>
      </x:c>
      <x:c r="AB417" s="37" t="str">
        <x:f>IFERROR(IF($N417="CẦN DUYỆT","DUYỆT MAP",IF($N417="CHƯA CÓ GIÁ LẺ","THIẾU GIÁ",IF(OR($K417="",$K417=0,$Y417=""),"OK",IF(ABS(($Y417-$K417)/$K417)&gt;0.15,"LỆCH GIÁ CŨ","OK")))),"OK")</x:f>
        <x:v>THIẾU GIÁ</x:v>
      </x:c>
      <x:c r="AC417" s="30" t="str">
        <x:v>ứng viên gần nhất=Siro Douxian 2l tròn; score=0.447</x:v>
      </x:c>
      <x:c r="AD417" s="37" t="str">
        <x:v>SRMOGT</x:v>
      </x:c>
      <x:c r="AE417" s="38" t="str">
        <x:v>SRMOGTT</x:v>
      </x:c>
      <x:c r="AF417" s="123" t="n">
        <x:v>2650</x:v>
      </x:c>
      <x:c r="AG417" s="112" t="str">
        <x:v>g</x:v>
      </x:c>
      <x:c r="AH417" s="112" t="str">
        <x:v>BÌNH</x:v>
      </x:c>
      <x:c r="AI417" s="112" t="str">
        <x:v>2650 g / BÌNH</x:v>
      </x:c>
      <x:c r="AJ417" s="120" t="n">
        <x:v>125000</x:v>
      </x:c>
      <x:c r="AK417" s="120"/>
      <x:c r="AL417" s="120" t="n">
        <x:v>125000</x:v>
      </x:c>
      <x:c r="AM417" s="112" t="str">
        <x:v>BỔ SUNG GIÁ</x:v>
      </x:c>
      <x:c r="AN417" s="126" t="n">
        <x:v>905</x:v>
      </x:c>
      <x:c r="AO417" s="126" t="n">
        <x:v>906</x:v>
      </x:c>
      <x:c r="AP417" s="113" t="str">
        <x:v>6 BÌNH / THÙNG</x:v>
      </x:c>
    </x:row>
    <x:row r="418">
      <x:c r="A418" s="71" t="str">
        <x:v>MẬT ONG ERODELI</x:v>
      </x:c>
      <x:c r="B418" s="30" t="str">
        <x:v>MẬT ONG ERODELI - THÙNG</x:v>
      </x:c>
      <x:c r="C418" s="37" t="str">
        <x:v>MOGEUR</x:v>
      </x:c>
      <x:c r="D418" s="37" t="str">
        <x:v>MOGEURT</x:v>
      </x:c>
      <x:c r="E418" s="37" t="str">
        <x:v>MOGEURT</x:v>
      </x:c>
      <x:c r="F418" s="37" t="n">
        <x:v>10</x:v>
      </x:c>
      <x:c r="G418" s="37" t="n">
        <x:v>30</x:v>
      </x:c>
      <x:c r="H418" s="37" t="str">
        <x:v>kg</x:v>
      </x:c>
      <x:c r="I418" s="37" t="str">
        <x:v>THÙNG</x:v>
      </x:c>
      <x:c r="J418" s="59" t="n">
        <x:v>0</x:v>
      </x:c>
      <x:c r="K418" s="59" t="n">
        <x:v>0</x:v>
      </x:c>
      <x:c r="L418" s="59" t="n">
        <x:v>0</x:v>
      </x:c>
      <x:c r="M418" s="37" t="str">
        <x:v>Khác</x:v>
      </x:c>
      <x:c r="N418" s="37" t="str">
        <x:v>CHƯA CÓ GIÁ LẺ</x:v>
      </x:c>
      <x:c r="O418" s="61" t="n">
        <x:v>0.61</x:v>
      </x:c>
      <x:c r="P418" s="37"/>
      <x:c r="Q418" s="30"/>
      <x:c r="R418" s="30"/>
      <x:c r="S418" s="30"/>
      <x:c r="T418" s="37"/>
      <x:c r="U418" s="59"/>
      <x:c r="V418" s="59"/>
      <x:c r="W418" s="117" t="n">
        <x:v>210000</x:v>
      </x:c>
      <x:c r="X418" s="59" t="str">
        <x:f>IFERROR(IF(OR($N418="ĐÃ GHÉP - AUTO",$N418="ĐÃ GHÉP - QUY TẮC"),IF($V418="","",IF($T418="THÙNG",$V418/$F418,$V418)),""),"")</x:f>
      </x:c>
      <x:c r="Y418" s="117" t="n">
        <x:f>IF(OR(W418="",F418=""),"",W418*F418)</x:f>
        <x:v>2100000</x:v>
      </x:c>
      <x:c r="Z418" s="59" t="str">
        <x:f>IFERROR(IF(OR($N418="ĐÃ GHÉP - AUTO",$N418="ĐÃ GHÉP - QUY TẮC"),IF($V418="","",IF($T418="THÙNG",$V418,$V418*$F418)),""),"")</x:f>
      </x:c>
      <x:c r="AA418" s="28" t="str">
        <x:f>IFERROR(IF(OR($K418="",$K418=0,$Y418=""),"",($Y418-$K418)/$K418),"")</x:f>
      </x:c>
      <x:c r="AB418" s="37" t="str">
        <x:f>IFERROR(IF($N418="CẦN DUYỆT","DUYỆT MAP",IF($N418="CHƯA CÓ GIÁ LẺ","THIẾU GIÁ",IF(OR($K418="",$K418=0,$Y418=""),"OK",IF(ABS(($Y418-$K418)/$K418)&gt;0.15,"LỆCH GIÁ CŨ","OK")))),"OK")</x:f>
        <x:v>THIẾU GIÁ</x:v>
      </x:c>
      <x:c r="AC418" s="30" t="str">
        <x:v>ứng viên gần nhất=Mật ong Euro deli; score=0.610</x:v>
      </x:c>
      <x:c r="AD418" s="37" t="str">
        <x:v>MOGEUR</x:v>
      </x:c>
      <x:c r="AE418" s="38" t="str">
        <x:v>MOGEURT</x:v>
      </x:c>
      <x:c r="AF418" s="123" t="n">
        <x:v>3</x:v>
      </x:c>
      <x:c r="AG418" s="112" t="str">
        <x:v>kg</x:v>
      </x:c>
      <x:c r="AH418" s="112" t="str">
        <x:v>BÌNH</x:v>
      </x:c>
      <x:c r="AI418" s="112" t="str">
        <x:v>3 kg / BÌNH</x:v>
      </x:c>
      <x:c r="AJ418" s="120" t="n">
        <x:v>210000</x:v>
      </x:c>
      <x:c r="AK418" s="120"/>
      <x:c r="AL418" s="120" t="n">
        <x:v>210000</x:v>
      </x:c>
      <x:c r="AM418" s="112" t="str">
        <x:v>BỔ SUNG GIÁ</x:v>
      </x:c>
      <x:c r="AN418" s="126" t="n">
        <x:v>907</x:v>
      </x:c>
      <x:c r="AO418" s="126" t="n">
        <x:v>908</x:v>
      </x:c>
      <x:c r="AP418" s="113" t="str">
        <x:v>10 BÌNH / THÙNG</x:v>
      </x:c>
    </x:row>
    <x:row r="419">
      <x:c r="A419" s="71" t="str">
        <x:v>SIRO MAMA VIỆT QUỐC</x:v>
      </x:c>
      <x:c r="B419" s="30" t="str">
        <x:v>SIRO MAMA VIỆT QUỐC - THÙNG</x:v>
      </x:c>
      <x:c r="C419" s="37" t="str">
        <x:v>SRMMVQ</x:v>
      </x:c>
      <x:c r="D419" s="37" t="str">
        <x:v>SRMMVQT</x:v>
      </x:c>
      <x:c r="E419" s="37" t="str">
        <x:v>SRMMVQT</x:v>
      </x:c>
      <x:c r="F419" s="37" t="n">
        <x:v>12</x:v>
      </x:c>
      <x:c r="G419" s="37" t="n">
        <x:v>13000</x:v>
      </x:c>
      <x:c r="H419" s="37" t="str">
        <x:v>g</x:v>
      </x:c>
      <x:c r="I419" s="37" t="str">
        <x:v>THÙNG</x:v>
      </x:c>
      <x:c r="J419" s="59" t="n">
        <x:v>610000</x:v>
      </x:c>
      <x:c r="K419" s="59" t="n">
        <x:v>624000</x:v>
      </x:c>
      <x:c r="L419" s="59" t="n">
        <x:v>0</x:v>
      </x:c>
      <x:c r="M419" s="37" t="str">
        <x:v>Siro</x:v>
      </x:c>
      <x:c r="N419" s="37" t="str">
        <x:v>CHƯA CÓ GIÁ LẺ</x:v>
      </x:c>
      <x:c r="O419" s="61" t="n">
        <x:v>0.058</x:v>
      </x:c>
      <x:c r="P419" s="37"/>
      <x:c r="Q419" s="30"/>
      <x:c r="R419" s="30"/>
      <x:c r="S419" s="30"/>
      <x:c r="T419" s="37"/>
      <x:c r="U419" s="59"/>
      <x:c r="V419" s="59"/>
      <x:c r="W419" s="117" t="n">
        <x:v>53000</x:v>
      </x:c>
      <x:c r="X419" s="59" t="str">
        <x:f>IFERROR(IF(OR($N419="ĐÃ GHÉP - AUTO",$N419="ĐÃ GHÉP - QUY TẮC"),IF($V419="","",IF($T419="THÙNG",$V419/$F419,$V419)),""),"")</x:f>
      </x:c>
      <x:c r="Y419" s="117" t="n">
        <x:f>IF(OR(W419="",F419=""),"",W419*F419)</x:f>
        <x:v>636000</x:v>
      </x:c>
      <x:c r="Z419" s="59" t="str">
        <x:f>IFERROR(IF(OR($N419="ĐÃ GHÉP - AUTO",$N419="ĐÃ GHÉP - QUY TẮC"),IF($V419="","",IF($T419="THÙNG",$V419,$V419*$F419)),""),"")</x:f>
      </x:c>
      <x:c r="AA419" s="28" t="n">
        <x:f>IFERROR(IF(OR($K419="",$K419=0,$Y419=""),"",($Y419-$K419)/$K419),"")</x:f>
        <x:v>0.019230769230769232</x:v>
      </x:c>
      <x:c r="AB419" s="37" t="str">
        <x:f>IFERROR(IF($N419="CẦN DUYỆT","DUYỆT MAP",IF($N419="CHƯA CÓ GIÁ LẺ","THIẾU GIÁ",IF(OR($K419="",$K419=0,$Y419=""),"OK",IF(ABS(($Y419-$K419)/$K419)&gt;0.15,"LỆCH GIÁ CŨ","OK")))),"OK")</x:f>
        <x:v>THIẾU GIÁ</x:v>
      </x:c>
      <x:c r="AC419" s="30" t="str">
        <x:v>ứng viên gần nhất=Siro vỏ cam Gold 700ml; score=0.058</x:v>
      </x:c>
      <x:c r="AD419" s="37" t="str">
        <x:v>SRMMVQ</x:v>
      </x:c>
      <x:c r="AE419" s="38" t="str">
        <x:v>SRMMVQT</x:v>
      </x:c>
      <x:c r="AF419" s="123" t="n">
        <x:v>1000</x:v>
      </x:c>
      <x:c r="AG419" s="112" t="str">
        <x:v>g</x:v>
      </x:c>
      <x:c r="AH419" s="112" t="str">
        <x:v>CHAI</x:v>
      </x:c>
      <x:c r="AI419" s="112" t="str">
        <x:v>1000 g / CHAI</x:v>
      </x:c>
      <x:c r="AJ419" s="120" t="n">
        <x:v>53000</x:v>
      </x:c>
      <x:c r="AK419" s="120"/>
      <x:c r="AL419" s="120" t="n">
        <x:v>53000</x:v>
      </x:c>
      <x:c r="AM419" s="112" t="str">
        <x:v>BỔ SUNG GIÁ</x:v>
      </x:c>
      <x:c r="AN419" s="126" t="n">
        <x:v>909</x:v>
      </x:c>
      <x:c r="AO419" s="126" t="n">
        <x:v>910</x:v>
      </x:c>
      <x:c r="AP419" s="113" t="str">
        <x:v>12 CHAI / THÙNG</x:v>
      </x:c>
    </x:row>
    <x:row r="420">
      <x:c r="A420" s="71" t="str">
        <x:v>SIRO MAMA VẢI</x:v>
      </x:c>
      <x:c r="B420" s="30" t="str">
        <x:v>SIRO MAMA VẢI - THÙNG</x:v>
      </x:c>
      <x:c r="C420" s="37" t="str">
        <x:v>SRMMVA</x:v>
      </x:c>
      <x:c r="D420" s="37" t="str">
        <x:v>SRMMVAT</x:v>
      </x:c>
      <x:c r="E420" s="37" t="str">
        <x:v>SRMMVAT</x:v>
      </x:c>
      <x:c r="F420" s="37" t="n">
        <x:v>12</x:v>
      </x:c>
      <x:c r="G420" s="37" t="n">
        <x:v>13000</x:v>
      </x:c>
      <x:c r="H420" s="37" t="str">
        <x:v>g</x:v>
      </x:c>
      <x:c r="I420" s="37" t="str">
        <x:v>THÙNG</x:v>
      </x:c>
      <x:c r="J420" s="59" t="n">
        <x:v>610000</x:v>
      </x:c>
      <x:c r="K420" s="59" t="n">
        <x:v>624000</x:v>
      </x:c>
      <x:c r="L420" s="59" t="n">
        <x:v>0</x:v>
      </x:c>
      <x:c r="M420" s="37" t="str">
        <x:v>Siro</x:v>
      </x:c>
      <x:c r="N420" s="37" t="str">
        <x:v>CHƯA CÓ GIÁ LẺ</x:v>
      </x:c>
      <x:c r="O420" s="61" t="n">
        <x:v>0.066</x:v>
      </x:c>
      <x:c r="P420" s="37"/>
      <x:c r="Q420" s="30"/>
      <x:c r="R420" s="30"/>
      <x:c r="S420" s="30"/>
      <x:c r="T420" s="37"/>
      <x:c r="U420" s="59"/>
      <x:c r="V420" s="59"/>
      <x:c r="W420" s="117" t="n">
        <x:v>53000</x:v>
      </x:c>
      <x:c r="X420" s="59" t="str">
        <x:f>IFERROR(IF(OR($N420="ĐÃ GHÉP - AUTO",$N420="ĐÃ GHÉP - QUY TẮC"),IF($V420="","",IF($T420="THÙNG",$V420/$F420,$V420)),""),"")</x:f>
      </x:c>
      <x:c r="Y420" s="117" t="n">
        <x:f>IF(OR(W420="",F420=""),"",W420*F420)</x:f>
        <x:v>636000</x:v>
      </x:c>
      <x:c r="Z420" s="59" t="str">
        <x:f>IFERROR(IF(OR($N420="ĐÃ GHÉP - AUTO",$N420="ĐÃ GHÉP - QUY TẮC"),IF($V420="","",IF($T420="THÙNG",$V420,$V420*$F420)),""),"")</x:f>
      </x:c>
      <x:c r="AA420" s="28" t="n">
        <x:f>IFERROR(IF(OR($K420="",$K420=0,$Y420=""),"",($Y420-$K420)/$K420),"")</x:f>
        <x:v>0.019230769230769232</x:v>
      </x:c>
      <x:c r="AB420" s="37" t="str">
        <x:f>IFERROR(IF($N420="CẦN DUYỆT","DUYỆT MAP",IF($N420="CHƯA CÓ GIÁ LẺ","THIẾU GIÁ",IF(OR($K420="",$K420=0,$Y420=""),"OK",IF(ABS(($Y420-$K420)/$K420)&gt;0.15,"LỆCH GIÁ CŨ","OK")))),"OK")</x:f>
        <x:v>THIẾU GIÁ</x:v>
      </x:c>
      <x:c r="AC420" s="30" t="str">
        <x:v>ứng viên gần nhất=Siro Sâm Dứa Vina; score=0.066</x:v>
      </x:c>
      <x:c r="AD420" s="37" t="str">
        <x:v>SRMMVA</x:v>
      </x:c>
      <x:c r="AE420" s="38" t="str">
        <x:v>SRMMVAT</x:v>
      </x:c>
      <x:c r="AF420" s="123" t="n">
        <x:v>1000</x:v>
      </x:c>
      <x:c r="AG420" s="112" t="str">
        <x:v>g</x:v>
      </x:c>
      <x:c r="AH420" s="112" t="str">
        <x:v>CHAI</x:v>
      </x:c>
      <x:c r="AI420" s="112" t="str">
        <x:v>1000 g / CHAI</x:v>
      </x:c>
      <x:c r="AJ420" s="120" t="n">
        <x:v>53000</x:v>
      </x:c>
      <x:c r="AK420" s="120"/>
      <x:c r="AL420" s="120" t="n">
        <x:v>53000</x:v>
      </x:c>
      <x:c r="AM420" s="112" t="str">
        <x:v>BỔ SUNG GIÁ</x:v>
      </x:c>
      <x:c r="AN420" s="126" t="n">
        <x:v>911</x:v>
      </x:c>
      <x:c r="AO420" s="126" t="n">
        <x:v>912</x:v>
      </x:c>
      <x:c r="AP420" s="113" t="str">
        <x:v>12 CHAI / THÙNG</x:v>
      </x:c>
    </x:row>
    <x:row r="421">
      <x:c r="A421" s="71" t="str">
        <x:v>SIRO MAMA TÁO</x:v>
      </x:c>
      <x:c r="B421" s="30" t="str">
        <x:v>SIRO MAMA TÁO - THÙNG</x:v>
      </x:c>
      <x:c r="C421" s="37" t="str">
        <x:v>SRMMTA</x:v>
      </x:c>
      <x:c r="D421" s="37" t="str">
        <x:v>SRMMTAT</x:v>
      </x:c>
      <x:c r="E421" s="37" t="str">
        <x:v>SRMMTAT</x:v>
      </x:c>
      <x:c r="F421" s="37" t="n">
        <x:v>12</x:v>
      </x:c>
      <x:c r="G421" s="37" t="n">
        <x:v>13000</x:v>
      </x:c>
      <x:c r="H421" s="37" t="str">
        <x:v>g</x:v>
      </x:c>
      <x:c r="I421" s="37" t="str">
        <x:v>THÙNG</x:v>
      </x:c>
      <x:c r="J421" s="59" t="n">
        <x:v>610000</x:v>
      </x:c>
      <x:c r="K421" s="59" t="n">
        <x:v>624000</x:v>
      </x:c>
      <x:c r="L421" s="59" t="n">
        <x:v>0</x:v>
      </x:c>
      <x:c r="M421" s="37" t="str">
        <x:v>Siro</x:v>
      </x:c>
      <x:c r="N421" s="37" t="str">
        <x:v>CHƯA CÓ GIÁ LẺ</x:v>
      </x:c>
      <x:c r="O421" s="61" t="n">
        <x:v>0.388</x:v>
      </x:c>
      <x:c r="P421" s="37"/>
      <x:c r="Q421" s="30"/>
      <x:c r="R421" s="30"/>
      <x:c r="S421" s="30"/>
      <x:c r="T421" s="37"/>
      <x:c r="U421" s="59"/>
      <x:c r="V421" s="59"/>
      <x:c r="W421" s="117" t="n">
        <x:v>53000</x:v>
      </x:c>
      <x:c r="X421" s="59" t="str">
        <x:f>IFERROR(IF(OR($N421="ĐÃ GHÉP - AUTO",$N421="ĐÃ GHÉP - QUY TẮC"),IF($V421="","",IF($T421="THÙNG",$V421/$F421,$V421)),""),"")</x:f>
      </x:c>
      <x:c r="Y421" s="117" t="n">
        <x:f>IF(OR(W421="",F421=""),"",W421*F421)</x:f>
        <x:v>636000</x:v>
      </x:c>
      <x:c r="Z421" s="59" t="str">
        <x:f>IFERROR(IF(OR($N421="ĐÃ GHÉP - AUTO",$N421="ĐÃ GHÉP - QUY TẮC"),IF($V421="","",IF($T421="THÙNG",$V421,$V421*$F421)),""),"")</x:f>
      </x:c>
      <x:c r="AA421" s="28" t="n">
        <x:f>IFERROR(IF(OR($K421="",$K421=0,$Y421=""),"",($Y421-$K421)/$K421),"")</x:f>
        <x:v>0.019230769230769232</x:v>
      </x:c>
      <x:c r="AB421" s="37" t="str">
        <x:f>IFERROR(IF($N421="CẦN DUYỆT","DUYỆT MAP",IF($N421="CHƯA CÓ GIÁ LẺ","THIẾU GIÁ",IF(OR($K421="",$K421=0,$Y421=""),"OK",IF(ABS(($Y421-$K421)/$K421)&gt;0.15,"LỆCH GIÁ CŨ","OK")))),"OK")</x:f>
        <x:v>THIẾU GIÁ</x:v>
      </x:c>
      <x:c r="AC421" s="30" t="str">
        <x:v>ứng viên gần nhất=Giấm Táo; score=0.388</x:v>
      </x:c>
      <x:c r="AD421" s="37" t="str">
        <x:v>SRMMTA</x:v>
      </x:c>
      <x:c r="AE421" s="38" t="str">
        <x:v>SRMMTAT</x:v>
      </x:c>
      <x:c r="AF421" s="123" t="n">
        <x:v>1000</x:v>
      </x:c>
      <x:c r="AG421" s="112" t="str">
        <x:v>g</x:v>
      </x:c>
      <x:c r="AH421" s="112" t="str">
        <x:v>CHAI</x:v>
      </x:c>
      <x:c r="AI421" s="112" t="str">
        <x:v>1000 g / CHAI</x:v>
      </x:c>
      <x:c r="AJ421" s="120" t="n">
        <x:v>53000</x:v>
      </x:c>
      <x:c r="AK421" s="120"/>
      <x:c r="AL421" s="120" t="n">
        <x:v>53000</x:v>
      </x:c>
      <x:c r="AM421" s="112" t="str">
        <x:v>BỔ SUNG GIÁ</x:v>
      </x:c>
      <x:c r="AN421" s="126" t="n">
        <x:v>913</x:v>
      </x:c>
      <x:c r="AO421" s="126" t="n">
        <x:v>914</x:v>
      </x:c>
      <x:c r="AP421" s="113" t="str">
        <x:v>12 CHAI / THÙNG</x:v>
      </x:c>
    </x:row>
    <x:row r="422">
      <x:c r="A422" s="71" t="str">
        <x:v>SIRO MAMA SẦU RIÊNG</x:v>
      </x:c>
      <x:c r="B422" s="30" t="str">
        <x:v>SIRO MAMA SẦU RIÊNG - THÙNG</x:v>
      </x:c>
      <x:c r="C422" s="37" t="str">
        <x:v>SRMMSR</x:v>
      </x:c>
      <x:c r="D422" s="37" t="str">
        <x:v>SRMMSRT</x:v>
      </x:c>
      <x:c r="E422" s="37" t="str">
        <x:v>SRMMSRT</x:v>
      </x:c>
      <x:c r="F422" s="37" t="n">
        <x:v>12</x:v>
      </x:c>
      <x:c r="G422" s="37" t="n">
        <x:v>13000</x:v>
      </x:c>
      <x:c r="H422" s="37" t="str">
        <x:v>g</x:v>
      </x:c>
      <x:c r="I422" s="37" t="str">
        <x:v>THÙNG</x:v>
      </x:c>
      <x:c r="J422" s="59" t="n">
        <x:v>610000</x:v>
      </x:c>
      <x:c r="K422" s="59" t="n">
        <x:v>624000</x:v>
      </x:c>
      <x:c r="L422" s="59" t="n">
        <x:v>0</x:v>
      </x:c>
      <x:c r="M422" s="37" t="str">
        <x:v>Siro</x:v>
      </x:c>
      <x:c r="N422" s="37" t="str">
        <x:v>CHƯA CÓ GIÁ LẺ</x:v>
      </x:c>
      <x:c r="O422" s="61" t="n">
        <x:v>0.062</x:v>
      </x:c>
      <x:c r="P422" s="37"/>
      <x:c r="Q422" s="30"/>
      <x:c r="R422" s="30"/>
      <x:c r="S422" s="30"/>
      <x:c r="T422" s="37"/>
      <x:c r="U422" s="59"/>
      <x:c r="V422" s="59"/>
      <x:c r="W422" s="117" t="n">
        <x:v>53000</x:v>
      </x:c>
      <x:c r="X422" s="59" t="str">
        <x:f>IFERROR(IF(OR($N422="ĐÃ GHÉP - AUTO",$N422="ĐÃ GHÉP - QUY TẮC"),IF($V422="","",IF($T422="THÙNG",$V422/$F422,$V422)),""),"")</x:f>
      </x:c>
      <x:c r="Y422" s="117" t="n">
        <x:f>IF(OR(W422="",F422=""),"",W422*F422)</x:f>
        <x:v>636000</x:v>
      </x:c>
      <x:c r="Z422" s="59" t="str">
        <x:f>IFERROR(IF(OR($N422="ĐÃ GHÉP - AUTO",$N422="ĐÃ GHÉP - QUY TẮC"),IF($V422="","",IF($T422="THÙNG",$V422,$V422*$F422)),""),"")</x:f>
      </x:c>
      <x:c r="AA422" s="28" t="n">
        <x:f>IFERROR(IF(OR($K422="",$K422=0,$Y422=""),"",($Y422-$K422)/$K422),"")</x:f>
        <x:v>0.019230769230769232</x:v>
      </x:c>
      <x:c r="AB422" s="37" t="str">
        <x:f>IFERROR(IF($N422="CẦN DUYỆT","DUYỆT MAP",IF($N422="CHƯA CÓ GIÁ LẺ","THIẾU GIÁ",IF(OR($K422="",$K422=0,$Y422=""),"OK",IF(ABS(($Y422-$K422)/$K422)&gt;0.15,"LỆCH GIÁ CŨ","OK")))),"OK")</x:f>
        <x:v>THIẾU GIÁ</x:v>
      </x:c>
      <x:c r="AC422" s="30" t="str">
        <x:v>ứng viên gần nhất=Siro Changthai; score=0.062</x:v>
      </x:c>
      <x:c r="AD422" s="37" t="str">
        <x:v>SRMMSR</x:v>
      </x:c>
      <x:c r="AE422" s="38" t="str">
        <x:v>SRMMSRT</x:v>
      </x:c>
      <x:c r="AF422" s="123" t="n">
        <x:v>1000</x:v>
      </x:c>
      <x:c r="AG422" s="112" t="str">
        <x:v>g</x:v>
      </x:c>
      <x:c r="AH422" s="112" t="str">
        <x:v>CHAI</x:v>
      </x:c>
      <x:c r="AI422" s="112" t="str">
        <x:v>1000 g / CHAI</x:v>
      </x:c>
      <x:c r="AJ422" s="120" t="n">
        <x:v>53000</x:v>
      </x:c>
      <x:c r="AK422" s="120"/>
      <x:c r="AL422" s="120" t="n">
        <x:v>53000</x:v>
      </x:c>
      <x:c r="AM422" s="112" t="str">
        <x:v>BỔ SUNG GIÁ</x:v>
      </x:c>
      <x:c r="AN422" s="126" t="n">
        <x:v>915</x:v>
      </x:c>
      <x:c r="AO422" s="126" t="n">
        <x:v>916</x:v>
      </x:c>
      <x:c r="AP422" s="113" t="str">
        <x:v>12 CHAI / THÙNG</x:v>
      </x:c>
    </x:row>
    <x:row r="423">
      <x:c r="A423" s="71" t="str">
        <x:v>SIRO MAMA SÂM DỨA</x:v>
      </x:c>
      <x:c r="B423" s="30" t="str">
        <x:v>SIRO MAMA SÂM DỨA - THÙNG</x:v>
      </x:c>
      <x:c r="C423" s="37" t="str">
        <x:v>SRMMSD</x:v>
      </x:c>
      <x:c r="D423" s="37" t="str">
        <x:v>SRMMSDT</x:v>
      </x:c>
      <x:c r="E423" s="37" t="str">
        <x:v>SRMMSDT</x:v>
      </x:c>
      <x:c r="F423" s="37" t="n">
        <x:v>12</x:v>
      </x:c>
      <x:c r="G423" s="37" t="n">
        <x:v>13000</x:v>
      </x:c>
      <x:c r="H423" s="37" t="str">
        <x:v>g</x:v>
      </x:c>
      <x:c r="I423" s="37" t="str">
        <x:v>THÙNG</x:v>
      </x:c>
      <x:c r="J423" s="59" t="n">
        <x:v>610000</x:v>
      </x:c>
      <x:c r="K423" s="59" t="n">
        <x:v>624000</x:v>
      </x:c>
      <x:c r="L423" s="59" t="n">
        <x:v>0</x:v>
      </x:c>
      <x:c r="M423" s="37" t="str">
        <x:v>Siro</x:v>
      </x:c>
      <x:c r="N423" s="37" t="str">
        <x:v>CẦN DUYỆT</x:v>
      </x:c>
      <x:c r="O423" s="61" t="n">
        <x:v>0.673</x:v>
      </x:c>
      <x:c r="P423" s="37" t="n">
        <x:v>13</x:v>
      </x:c>
      <x:c r="Q423" s="30" t="str">
        <x:v>Siro Sâm Dứa Vina</x:v>
      </x:c>
      <x:c r="R423" s="30" t="str">
        <x:v>Thùng 12 chai</x:v>
      </x:c>
      <x:c r="S423" s="30" t="str">
        <x:v>Chai</x:v>
      </x:c>
      <x:c r="T423" s="37" t="str">
        <x:v>ĐƠN VỊ</x:v>
      </x:c>
      <x:c r="U423" s="59" t="n">
        <x:v>25000</x:v>
      </x:c>
      <x:c r="V423" s="59"/>
      <x:c r="W423" s="117" t="n">
        <x:v>53000</x:v>
      </x:c>
      <x:c r="X423" s="59" t="str">
        <x:f>IFERROR(IF(OR($N423="ĐÃ GHÉP - AUTO",$N423="ĐÃ GHÉP - QUY TẮC"),IF($V423="","",IF($T423="THÙNG",$V423/$F423,$V423)),""),"")</x:f>
      </x:c>
      <x:c r="Y423" s="117" t="n">
        <x:f>IF(OR(W423="",F423=""),"",W423*F423)</x:f>
        <x:v>636000</x:v>
      </x:c>
      <x:c r="Z423" s="59" t="str">
        <x:f>IFERROR(IF(OR($N423="ĐÃ GHÉP - AUTO",$N423="ĐÃ GHÉP - QUY TẮC"),IF($V423="","",IF($T423="THÙNG",$V423,$V423*$F423)),""),"")</x:f>
      </x:c>
      <x:c r="AA423" s="28" t="n">
        <x:f>IFERROR(IF(OR($K423="",$K423=0,$Y423=""),"",($Y423-$K423)/$K423),"")</x:f>
        <x:v>0.019230769230769232</x:v>
      </x:c>
      <x:c r="AB423" s="37" t="str">
        <x:f>IFERROR(IF($N423="CẦN DUYỆT","DUYỆT MAP",IF($N423="CHƯA CÓ GIÁ LẺ","THIẾU GIÁ",IF(OR($K423="",$K423=0,$Y423=""),"OK",IF(ABS(($Y423-$K423)/$K423)&gt;0.15,"LỆCH GIÁ CŨ","OK")))),"OK")</x:f>
        <x:v>DUYỆT MAP</x:v>
      </x:c>
      <x:c r="AC423" s="30" t="str">
        <x:v>score=0.673; gap=0.623; phương án 2=Siro Gold 700ml</x:v>
      </x:c>
      <x:c r="AD423" s="37" t="str">
        <x:v>SRMMSD</x:v>
      </x:c>
      <x:c r="AE423" s="38" t="str">
        <x:v>SRMMSDT</x:v>
      </x:c>
      <x:c r="AF423" s="123" t="n">
        <x:v>1000</x:v>
      </x:c>
      <x:c r="AG423" s="112" t="str">
        <x:v>g</x:v>
      </x:c>
      <x:c r="AH423" s="112" t="str">
        <x:v>CHAI</x:v>
      </x:c>
      <x:c r="AI423" s="112" t="str">
        <x:v>1000 g / CHAI</x:v>
      </x:c>
      <x:c r="AJ423" s="120" t="n">
        <x:v>53000</x:v>
      </x:c>
      <x:c r="AK423" s="120"/>
      <x:c r="AL423" s="120" t="n">
        <x:v>53000</x:v>
      </x:c>
      <x:c r="AM423" s="112" t="str">
        <x:v>BỔ SUNG GIÁ</x:v>
      </x:c>
      <x:c r="AN423" s="126" t="n">
        <x:v>917</x:v>
      </x:c>
      <x:c r="AO423" s="126" t="n">
        <x:v>918</x:v>
      </x:c>
      <x:c r="AP423" s="113" t="str">
        <x:v>12 CHAI / THÙNG</x:v>
      </x:c>
    </x:row>
    <x:row r="424">
      <x:c r="A424" s="71" t="str">
        <x:v>SIRO MAMA ỔI</x:v>
      </x:c>
      <x:c r="B424" s="30" t="str">
        <x:v>SIRO MAMA ỔI - THÙNG</x:v>
      </x:c>
      <x:c r="C424" s="37" t="str">
        <x:v>SRMMOI</x:v>
      </x:c>
      <x:c r="D424" s="37" t="str">
        <x:v>SRMMOIT</x:v>
      </x:c>
      <x:c r="E424" s="37" t="str">
        <x:v>SRMMOIT</x:v>
      </x:c>
      <x:c r="F424" s="37" t="n">
        <x:v>12</x:v>
      </x:c>
      <x:c r="G424" s="37" t="n">
        <x:v>13000</x:v>
      </x:c>
      <x:c r="H424" s="37" t="str">
        <x:v>g</x:v>
      </x:c>
      <x:c r="I424" s="37" t="str">
        <x:v>THÙNG</x:v>
      </x:c>
      <x:c r="J424" s="59" t="n">
        <x:v>610000</x:v>
      </x:c>
      <x:c r="K424" s="59" t="n">
        <x:v>624000</x:v>
      </x:c>
      <x:c r="L424" s="59" t="n">
        <x:v>0</x:v>
      </x:c>
      <x:c r="M424" s="37" t="str">
        <x:v>Siro</x:v>
      </x:c>
      <x:c r="N424" s="37" t="str">
        <x:v>CHƯA CÓ GIÁ LẺ</x:v>
      </x:c>
      <x:c r="O424" s="61" t="n">
        <x:v>0.065</x:v>
      </x:c>
      <x:c r="P424" s="37"/>
      <x:c r="Q424" s="30"/>
      <x:c r="R424" s="30"/>
      <x:c r="S424" s="30"/>
      <x:c r="T424" s="37"/>
      <x:c r="U424" s="59"/>
      <x:c r="V424" s="59"/>
      <x:c r="W424" s="117" t="n">
        <x:v>53000</x:v>
      </x:c>
      <x:c r="X424" s="59" t="str">
        <x:f>IFERROR(IF(OR($N424="ĐÃ GHÉP - AUTO",$N424="ĐÃ GHÉP - QUY TẮC"),IF($V424="","",IF($T424="THÙNG",$V424/$F424,$V424)),""),"")</x:f>
      </x:c>
      <x:c r="Y424" s="117" t="n">
        <x:f>IF(OR(W424="",F424=""),"",W424*F424)</x:f>
        <x:v>636000</x:v>
      </x:c>
      <x:c r="Z424" s="59" t="str">
        <x:f>IFERROR(IF(OR($N424="ĐÃ GHÉP - AUTO",$N424="ĐÃ GHÉP - QUY TẮC"),IF($V424="","",IF($T424="THÙNG",$V424,$V424*$F424)),""),"")</x:f>
      </x:c>
      <x:c r="AA424" s="28" t="n">
        <x:f>IFERROR(IF(OR($K424="",$K424=0,$Y424=""),"",($Y424-$K424)/$K424),"")</x:f>
        <x:v>0.019230769230769232</x:v>
      </x:c>
      <x:c r="AB424" s="37" t="str">
        <x:f>IFERROR(IF($N424="CẦN DUYỆT","DUYỆT MAP",IF($N424="CHƯA CÓ GIÁ LẺ","THIẾU GIÁ",IF(OR($K424="",$K424=0,$Y424=""),"OK",IF(ABS(($Y424-$K424)/$K424)&gt;0.15,"LỆCH GIÁ CŨ","OK")))),"OK")</x:f>
        <x:v>THIẾU GIÁ</x:v>
      </x:c>
      <x:c r="AC424" s="30" t="str">
        <x:v>ứng viên gần nhất=Siro Changthai; score=0.065</x:v>
      </x:c>
      <x:c r="AD424" s="37" t="str">
        <x:v>SRMMOI</x:v>
      </x:c>
      <x:c r="AE424" s="38" t="str">
        <x:v>SRMMOIT</x:v>
      </x:c>
      <x:c r="AF424" s="123" t="n">
        <x:v>1000</x:v>
      </x:c>
      <x:c r="AG424" s="112" t="str">
        <x:v>g</x:v>
      </x:c>
      <x:c r="AH424" s="112" t="str">
        <x:v>CHAI</x:v>
      </x:c>
      <x:c r="AI424" s="112" t="str">
        <x:v>1000 g / CHAI</x:v>
      </x:c>
      <x:c r="AJ424" s="120" t="n">
        <x:v>53000</x:v>
      </x:c>
      <x:c r="AK424" s="120"/>
      <x:c r="AL424" s="120" t="n">
        <x:v>53000</x:v>
      </x:c>
      <x:c r="AM424" s="112" t="str">
        <x:v>BỔ SUNG GIÁ</x:v>
      </x:c>
      <x:c r="AN424" s="126" t="n">
        <x:v>919</x:v>
      </x:c>
      <x:c r="AO424" s="126" t="n">
        <x:v>920</x:v>
      </x:c>
      <x:c r="AP424" s="113" t="str">
        <x:v>12 CHAI / THÙNG</x:v>
      </x:c>
    </x:row>
    <x:row r="425">
      <x:c r="A425" s="71" t="str">
        <x:v>SIRO MAMA NHO</x:v>
      </x:c>
      <x:c r="B425" s="30" t="str">
        <x:v>SIRO MAMA NHO - THÙNG</x:v>
      </x:c>
      <x:c r="C425" s="37" t="str">
        <x:v>SRMMNO</x:v>
      </x:c>
      <x:c r="D425" s="37" t="str">
        <x:v>SRMMNOT</x:v>
      </x:c>
      <x:c r="E425" s="37" t="str">
        <x:v>SRMMNOT</x:v>
      </x:c>
      <x:c r="F425" s="37" t="n">
        <x:v>12</x:v>
      </x:c>
      <x:c r="G425" s="37" t="n">
        <x:v>13000</x:v>
      </x:c>
      <x:c r="H425" s="37" t="str">
        <x:v>g</x:v>
      </x:c>
      <x:c r="I425" s="37" t="str">
        <x:v>THÙNG</x:v>
      </x:c>
      <x:c r="J425" s="59" t="n">
        <x:v>610000</x:v>
      </x:c>
      <x:c r="K425" s="59" t="n">
        <x:v>624000</x:v>
      </x:c>
      <x:c r="L425" s="59" t="n">
        <x:v>0</x:v>
      </x:c>
      <x:c r="M425" s="37" t="str">
        <x:v>Siro</x:v>
      </x:c>
      <x:c r="N425" s="37" t="str">
        <x:v>CHƯA CÓ GIÁ LẺ</x:v>
      </x:c>
      <x:c r="O425" s="61" t="n">
        <x:v>0.063</x:v>
      </x:c>
      <x:c r="P425" s="37"/>
      <x:c r="Q425" s="30"/>
      <x:c r="R425" s="30"/>
      <x:c r="S425" s="30"/>
      <x:c r="T425" s="37"/>
      <x:c r="U425" s="59"/>
      <x:c r="V425" s="59"/>
      <x:c r="W425" s="117" t="n">
        <x:v>53000</x:v>
      </x:c>
      <x:c r="X425" s="59" t="str">
        <x:f>IFERROR(IF(OR($N425="ĐÃ GHÉP - AUTO",$N425="ĐÃ GHÉP - QUY TẮC"),IF($V425="","",IF($T425="THÙNG",$V425/$F425,$V425)),""),"")</x:f>
      </x:c>
      <x:c r="Y425" s="117" t="n">
        <x:f>IF(OR(W425="",F425=""),"",W425*F425)</x:f>
        <x:v>636000</x:v>
      </x:c>
      <x:c r="Z425" s="59" t="str">
        <x:f>IFERROR(IF(OR($N425="ĐÃ GHÉP - AUTO",$N425="ĐÃ GHÉP - QUY TẮC"),IF($V425="","",IF($T425="THÙNG",$V425,$V425*$F425)),""),"")</x:f>
      </x:c>
      <x:c r="AA425" s="28" t="n">
        <x:f>IFERROR(IF(OR($K425="",$K425=0,$Y425=""),"",($Y425-$K425)/$K425),"")</x:f>
        <x:v>0.019230769230769232</x:v>
      </x:c>
      <x:c r="AB425" s="37" t="str">
        <x:f>IFERROR(IF($N425="CẦN DUYỆT","DUYỆT MAP",IF($N425="CHƯA CÓ GIÁ LẺ","THIẾU GIÁ",IF(OR($K425="",$K425=0,$Y425=""),"OK",IF(ABS(($Y425-$K425)/$K425)&gt;0.15,"LỆCH GIÁ CŨ","OK")))),"OK")</x:f>
        <x:v>THIẾU GIÁ</x:v>
      </x:c>
      <x:c r="AC425" s="30" t="str">
        <x:v>ứng viên gần nhất=Siro Gold 700ml; score=0.063</x:v>
      </x:c>
      <x:c r="AD425" s="37" t="str">
        <x:v>SRMMNO</x:v>
      </x:c>
      <x:c r="AE425" s="38" t="str">
        <x:v>SRMMNOT</x:v>
      </x:c>
      <x:c r="AF425" s="123" t="n">
        <x:v>1000</x:v>
      </x:c>
      <x:c r="AG425" s="112" t="str">
        <x:v>g</x:v>
      </x:c>
      <x:c r="AH425" s="112" t="str">
        <x:v>CHAI</x:v>
      </x:c>
      <x:c r="AI425" s="112" t="str">
        <x:v>1000 g / CHAI</x:v>
      </x:c>
      <x:c r="AJ425" s="120" t="n">
        <x:v>53000</x:v>
      </x:c>
      <x:c r="AK425" s="120"/>
      <x:c r="AL425" s="120" t="n">
        <x:v>53000</x:v>
      </x:c>
      <x:c r="AM425" s="112" t="str">
        <x:v>BỔ SUNG GIÁ</x:v>
      </x:c>
      <x:c r="AN425" s="126" t="n">
        <x:v>921</x:v>
      </x:c>
      <x:c r="AO425" s="126" t="n">
        <x:v>922</x:v>
      </x:c>
      <x:c r="AP425" s="113" t="str">
        <x:v>12 CHAI / THÙNG</x:v>
      </x:c>
    </x:row>
    <x:row r="426">
      <x:c r="A426" s="71" t="str">
        <x:v>SIRO MAMA NHÃN</x:v>
      </x:c>
      <x:c r="B426" s="30" t="str">
        <x:v>SIRO MAMA NHÃN - THÙNG</x:v>
      </x:c>
      <x:c r="C426" s="37" t="str">
        <x:v>SRMMNA</x:v>
      </x:c>
      <x:c r="D426" s="37" t="str">
        <x:v>SRMMNAT</x:v>
      </x:c>
      <x:c r="E426" s="37" t="str">
        <x:v>SRMMNAT</x:v>
      </x:c>
      <x:c r="F426" s="37" t="n">
        <x:v>12</x:v>
      </x:c>
      <x:c r="G426" s="37" t="n">
        <x:v>13000</x:v>
      </x:c>
      <x:c r="H426" s="37" t="str">
        <x:v>g</x:v>
      </x:c>
      <x:c r="I426" s="37" t="str">
        <x:v>THÙNG</x:v>
      </x:c>
      <x:c r="J426" s="59" t="n">
        <x:v>610000</x:v>
      </x:c>
      <x:c r="K426" s="59" t="n">
        <x:v>624000</x:v>
      </x:c>
      <x:c r="L426" s="59" t="n">
        <x:v>0</x:v>
      </x:c>
      <x:c r="M426" s="37" t="str">
        <x:v>Siro</x:v>
      </x:c>
      <x:c r="N426" s="37" t="str">
        <x:v>CHƯA CÓ GIÁ LẺ</x:v>
      </x:c>
      <x:c r="O426" s="61" t="n">
        <x:v>0.071</x:v>
      </x:c>
      <x:c r="P426" s="37"/>
      <x:c r="Q426" s="30"/>
      <x:c r="R426" s="30"/>
      <x:c r="S426" s="30"/>
      <x:c r="T426" s="37"/>
      <x:c r="U426" s="59"/>
      <x:c r="V426" s="59"/>
      <x:c r="W426" s="117" t="n">
        <x:v>53000</x:v>
      </x:c>
      <x:c r="X426" s="59" t="str">
        <x:f>IFERROR(IF(OR($N426="ĐÃ GHÉP - AUTO",$N426="ĐÃ GHÉP - QUY TẮC"),IF($V426="","",IF($T426="THÙNG",$V426/$F426,$V426)),""),"")</x:f>
      </x:c>
      <x:c r="Y426" s="117" t="n">
        <x:f>IF(OR(W426="",F426=""),"",W426*F426)</x:f>
        <x:v>636000</x:v>
      </x:c>
      <x:c r="Z426" s="59" t="str">
        <x:f>IFERROR(IF(OR($N426="ĐÃ GHÉP - AUTO",$N426="ĐÃ GHÉP - QUY TẮC"),IF($V426="","",IF($T426="THÙNG",$V426,$V426*$F426)),""),"")</x:f>
      </x:c>
      <x:c r="AA426" s="28" t="n">
        <x:f>IFERROR(IF(OR($K426="",$K426=0,$Y426=""),"",($Y426-$K426)/$K426),"")</x:f>
        <x:v>0.019230769230769232</x:v>
      </x:c>
      <x:c r="AB426" s="37" t="str">
        <x:f>IFERROR(IF($N426="CẦN DUYỆT","DUYỆT MAP",IF($N426="CHƯA CÓ GIÁ LẺ","THIẾU GIÁ",IF(OR($K426="",$K426=0,$Y426=""),"OK",IF(ABS(($Y426-$K426)/$K426)&gt;0.15,"LỆCH GIÁ CŨ","OK")))),"OK")</x:f>
        <x:v>THIẾU GIÁ</x:v>
      </x:c>
      <x:c r="AC426" s="30" t="str">
        <x:v>ứng viên gần nhất=Siro Changthai; score=0.071</x:v>
      </x:c>
      <x:c r="AD426" s="37" t="str">
        <x:v>SRMMNA</x:v>
      </x:c>
      <x:c r="AE426" s="38" t="str">
        <x:v>SRMMNAT</x:v>
      </x:c>
      <x:c r="AF426" s="123" t="n">
        <x:v>1000</x:v>
      </x:c>
      <x:c r="AG426" s="112" t="str">
        <x:v>g</x:v>
      </x:c>
      <x:c r="AH426" s="112" t="str">
        <x:v>CHAI</x:v>
      </x:c>
      <x:c r="AI426" s="112" t="str">
        <x:v>1000 g / CHAI</x:v>
      </x:c>
      <x:c r="AJ426" s="120" t="n">
        <x:v>53000</x:v>
      </x:c>
      <x:c r="AK426" s="120"/>
      <x:c r="AL426" s="120" t="n">
        <x:v>53000</x:v>
      </x:c>
      <x:c r="AM426" s="112" t="str">
        <x:v>BỔ SUNG GIÁ</x:v>
      </x:c>
      <x:c r="AN426" s="126" t="n">
        <x:v>923</x:v>
      </x:c>
      <x:c r="AO426" s="126" t="n">
        <x:v>924</x:v>
      </x:c>
      <x:c r="AP426" s="113" t="str">
        <x:v>12 CHAI / THÙNG</x:v>
      </x:c>
    </x:row>
    <x:row r="427">
      <x:c r="A427" s="71" t="str">
        <x:v>SIRO MAMA MÔN</x:v>
      </x:c>
      <x:c r="B427" s="30" t="str">
        <x:v>SIRO MAMA MÔN - THÙNG</x:v>
      </x:c>
      <x:c r="C427" s="37" t="str">
        <x:v>SRMMMN</x:v>
      </x:c>
      <x:c r="D427" s="37" t="str">
        <x:v>SRMMMNT</x:v>
      </x:c>
      <x:c r="E427" s="37" t="str">
        <x:v>SRMMMNT</x:v>
      </x:c>
      <x:c r="F427" s="37" t="n">
        <x:v>12</x:v>
      </x:c>
      <x:c r="G427" s="37" t="n">
        <x:v>13000</x:v>
      </x:c>
      <x:c r="H427" s="37" t="str">
        <x:v>g</x:v>
      </x:c>
      <x:c r="I427" s="37" t="str">
        <x:v>THÙNG</x:v>
      </x:c>
      <x:c r="J427" s="59" t="n">
        <x:v>610000</x:v>
      </x:c>
      <x:c r="K427" s="59" t="n">
        <x:v>624000</x:v>
      </x:c>
      <x:c r="L427" s="59" t="n">
        <x:v>0</x:v>
      </x:c>
      <x:c r="M427" s="37" t="str">
        <x:v>Siro</x:v>
      </x:c>
      <x:c r="N427" s="37" t="str">
        <x:v>CHƯA CÓ GIÁ LẺ</x:v>
      </x:c>
      <x:c r="O427" s="61" t="n">
        <x:v>0.063</x:v>
      </x:c>
      <x:c r="P427" s="37"/>
      <x:c r="Q427" s="30"/>
      <x:c r="R427" s="30"/>
      <x:c r="S427" s="30"/>
      <x:c r="T427" s="37"/>
      <x:c r="U427" s="59"/>
      <x:c r="V427" s="59"/>
      <x:c r="W427" s="117" t="n">
        <x:v>53000</x:v>
      </x:c>
      <x:c r="X427" s="59" t="str">
        <x:f>IFERROR(IF(OR($N427="ĐÃ GHÉP - AUTO",$N427="ĐÃ GHÉP - QUY TẮC"),IF($V427="","",IF($T427="THÙNG",$V427/$F427,$V427)),""),"")</x:f>
      </x:c>
      <x:c r="Y427" s="117" t="n">
        <x:f>IF(OR(W427="",F427=""),"",W427*F427)</x:f>
        <x:v>636000</x:v>
      </x:c>
      <x:c r="Z427" s="59" t="str">
        <x:f>IFERROR(IF(OR($N427="ĐÃ GHÉP - AUTO",$N427="ĐÃ GHÉP - QUY TẮC"),IF($V427="","",IF($T427="THÙNG",$V427,$V427*$F427)),""),"")</x:f>
      </x:c>
      <x:c r="AA427" s="28" t="n">
        <x:f>IFERROR(IF(OR($K427="",$K427=0,$Y427=""),"",($Y427-$K427)/$K427),"")</x:f>
        <x:v>0.019230769230769232</x:v>
      </x:c>
      <x:c r="AB427" s="37" t="str">
        <x:f>IFERROR(IF($N427="CẦN DUYỆT","DUYỆT MAP",IF($N427="CHƯA CÓ GIÁ LẺ","THIẾU GIÁ",IF(OR($K427="",$K427=0,$Y427=""),"OK",IF(ABS(($Y427-$K427)/$K427)&gt;0.15,"LỆCH GIÁ CŨ","OK")))),"OK")</x:f>
        <x:v>THIẾU GIÁ</x:v>
      </x:c>
      <x:c r="AC427" s="30" t="str">
        <x:v>ứng viên gần nhất=Siro Gold 700ml; score=0.063</x:v>
      </x:c>
      <x:c r="AD427" s="37" t="str">
        <x:v>SRMMMN</x:v>
      </x:c>
      <x:c r="AE427" s="38" t="str">
        <x:v>SRMMMNT</x:v>
      </x:c>
      <x:c r="AF427" s="123" t="n">
        <x:v>0</x:v>
      </x:c>
      <x:c r="AG427" s="112" t="str">
        <x:v>g</x:v>
      </x:c>
      <x:c r="AH427" s="112" t="str">
        <x:v>CHAI</x:v>
      </x:c>
      <x:c r="AI427" s="112" t="str">
        <x:v>0 g / CHAI</x:v>
      </x:c>
      <x:c r="AJ427" s="120" t="n">
        <x:v>53000</x:v>
      </x:c>
      <x:c r="AK427" s="120"/>
      <x:c r="AL427" s="120" t="n">
        <x:v>53000</x:v>
      </x:c>
      <x:c r="AM427" s="112" t="str">
        <x:v>BỔ SUNG GIÁ</x:v>
      </x:c>
      <x:c r="AN427" s="126" t="n">
        <x:v>925</x:v>
      </x:c>
      <x:c r="AO427" s="126" t="n">
        <x:v>926</x:v>
      </x:c>
      <x:c r="AP427" s="113" t="str">
        <x:v>12 CHAI / THÙNG</x:v>
      </x:c>
    </x:row>
    <x:row r="428">
      <x:c r="A428" s="71" t="str">
        <x:v>SIRO MAMA ĐÀO</x:v>
      </x:c>
      <x:c r="B428" s="30" t="str">
        <x:v>SIRO MAMA ĐÀO - THÙNG</x:v>
      </x:c>
      <x:c r="C428" s="37" t="str">
        <x:v>SRMMDO</x:v>
      </x:c>
      <x:c r="D428" s="37" t="str">
        <x:v>SRMMDOT</x:v>
      </x:c>
      <x:c r="E428" s="37" t="str">
        <x:v>SRMMDOT</x:v>
      </x:c>
      <x:c r="F428" s="37" t="n">
        <x:v>12</x:v>
      </x:c>
      <x:c r="G428" s="37" t="n">
        <x:v>13000</x:v>
      </x:c>
      <x:c r="H428" s="37" t="str">
        <x:v>g</x:v>
      </x:c>
      <x:c r="I428" s="37" t="str">
        <x:v>THÙNG</x:v>
      </x:c>
      <x:c r="J428" s="59" t="n">
        <x:v>610000</x:v>
      </x:c>
      <x:c r="K428" s="59" t="n">
        <x:v>624000</x:v>
      </x:c>
      <x:c r="L428" s="59" t="n">
        <x:v>0</x:v>
      </x:c>
      <x:c r="M428" s="37" t="str">
        <x:v>Siro</x:v>
      </x:c>
      <x:c r="N428" s="37" t="str">
        <x:v>CHƯA CÓ GIÁ LẺ</x:v>
      </x:c>
      <x:c r="O428" s="61" t="n">
        <x:v>0.252</x:v>
      </x:c>
      <x:c r="P428" s="37"/>
      <x:c r="Q428" s="30"/>
      <x:c r="R428" s="30"/>
      <x:c r="S428" s="30"/>
      <x:c r="T428" s="37"/>
      <x:c r="U428" s="59"/>
      <x:c r="V428" s="59"/>
      <x:c r="W428" s="117" t="n">
        <x:v>53000</x:v>
      </x:c>
      <x:c r="X428" s="59" t="str">
        <x:f>IFERROR(IF(OR($N428="ĐÃ GHÉP - AUTO",$N428="ĐÃ GHÉP - QUY TẮC"),IF($V428="","",IF($T428="THÙNG",$V428/$F428,$V428)),""),"")</x:f>
      </x:c>
      <x:c r="Y428" s="117" t="n">
        <x:f>IF(OR(W428="",F428=""),"",W428*F428)</x:f>
        <x:v>636000</x:v>
      </x:c>
      <x:c r="Z428" s="59" t="str">
        <x:f>IFERROR(IF(OR($N428="ĐÃ GHÉP - AUTO",$N428="ĐÃ GHÉP - QUY TẮC"),IF($V428="","",IF($T428="THÙNG",$V428,$V428*$F428)),""),"")</x:f>
      </x:c>
      <x:c r="AA428" s="28" t="n">
        <x:f>IFERROR(IF(OR($K428="",$K428=0,$Y428=""),"",($Y428-$K428)/$K428),"")</x:f>
        <x:v>0.019230769230769232</x:v>
      </x:c>
      <x:c r="AB428" s="37" t="str">
        <x:f>IFERROR(IF($N428="CẦN DUYỆT","DUYỆT MAP",IF($N428="CHƯA CÓ GIÁ LẺ","THIẾU GIÁ",IF(OR($K428="",$K428=0,$Y428=""),"OK",IF(ABS(($Y428-$K428)/$K428)&gt;0.15,"LỆCH GIÁ CŨ","OK")))),"OK")</x:f>
        <x:v>THIẾU GIÁ</x:v>
      </x:c>
      <x:c r="AC428" s="30" t="str">
        <x:v>ứng viên gần nhất=CỐT bí đao wonderfull; score=0.252</x:v>
      </x:c>
      <x:c r="AD428" s="37" t="str">
        <x:v>SRMMDO</x:v>
      </x:c>
      <x:c r="AE428" s="38" t="str">
        <x:v>SRMMDOT</x:v>
      </x:c>
      <x:c r="AF428" s="123" t="n">
        <x:v>1000</x:v>
      </x:c>
      <x:c r="AG428" s="112" t="str">
        <x:v>g</x:v>
      </x:c>
      <x:c r="AH428" s="112" t="str">
        <x:v>CHAI</x:v>
      </x:c>
      <x:c r="AI428" s="112" t="str">
        <x:v>1000 g / CHAI</x:v>
      </x:c>
      <x:c r="AJ428" s="120" t="n">
        <x:v>53000</x:v>
      </x:c>
      <x:c r="AK428" s="120"/>
      <x:c r="AL428" s="120" t="n">
        <x:v>53000</x:v>
      </x:c>
      <x:c r="AM428" s="112" t="str">
        <x:v>BỔ SUNG GIÁ</x:v>
      </x:c>
      <x:c r="AN428" s="126" t="n">
        <x:v>927</x:v>
      </x:c>
      <x:c r="AO428" s="126" t="n">
        <x:v>928</x:v>
      </x:c>
      <x:c r="AP428" s="113" t="str">
        <x:v>12 CHAI / THÙNG</x:v>
      </x:c>
    </x:row>
    <x:row r="429">
      <x:c r="A429" s="71" t="str">
        <x:v>SIRO MAMA DƯA LƯỚI</x:v>
      </x:c>
      <x:c r="B429" s="30" t="str">
        <x:v>SIRO MAMA DƯA LƯỚI - THÙNG</x:v>
      </x:c>
      <x:c r="C429" s="37" t="str">
        <x:v>SRMMDL</x:v>
      </x:c>
      <x:c r="D429" s="37" t="str">
        <x:v>SRMMDLT</x:v>
      </x:c>
      <x:c r="E429" s="37" t="str">
        <x:v>SRMMDLT</x:v>
      </x:c>
      <x:c r="F429" s="37" t="n">
        <x:v>12</x:v>
      </x:c>
      <x:c r="G429" s="37" t="n">
        <x:v>13000</x:v>
      </x:c>
      <x:c r="H429" s="37" t="str">
        <x:v>g</x:v>
      </x:c>
      <x:c r="I429" s="37" t="str">
        <x:v>THÙNG</x:v>
      </x:c>
      <x:c r="J429" s="59" t="n">
        <x:v>610000</x:v>
      </x:c>
      <x:c r="K429" s="59" t="n">
        <x:v>624000</x:v>
      </x:c>
      <x:c r="L429" s="59" t="n">
        <x:v>0</x:v>
      </x:c>
      <x:c r="M429" s="37" t="str">
        <x:v>Siro</x:v>
      </x:c>
      <x:c r="N429" s="37" t="str">
        <x:v>CHƯA CÓ GIÁ LẺ</x:v>
      </x:c>
      <x:c r="O429" s="61" t="n">
        <x:v>0.417</x:v>
      </x:c>
      <x:c r="P429" s="37"/>
      <x:c r="Q429" s="30"/>
      <x:c r="R429" s="30"/>
      <x:c r="S429" s="30"/>
      <x:c r="T429" s="37"/>
      <x:c r="U429" s="59"/>
      <x:c r="V429" s="59"/>
      <x:c r="W429" s="117" t="n">
        <x:v>53000</x:v>
      </x:c>
      <x:c r="X429" s="59" t="str">
        <x:f>IFERROR(IF(OR($N429="ĐÃ GHÉP - AUTO",$N429="ĐÃ GHÉP - QUY TẮC"),IF($V429="","",IF($T429="THÙNG",$V429/$F429,$V429)),""),"")</x:f>
      </x:c>
      <x:c r="Y429" s="117" t="n">
        <x:f>IF(OR(W429="",F429=""),"",W429*F429)</x:f>
        <x:v>636000</x:v>
      </x:c>
      <x:c r="Z429" s="59" t="str">
        <x:f>IFERROR(IF(OR($N429="ĐÃ GHÉP - AUTO",$N429="ĐÃ GHÉP - QUY TẮC"),IF($V429="","",IF($T429="THÙNG",$V429,$V429*$F429)),""),"")</x:f>
      </x:c>
      <x:c r="AA429" s="28" t="n">
        <x:f>IFERROR(IF(OR($K429="",$K429=0,$Y429=""),"",($Y429-$K429)/$K429),"")</x:f>
        <x:v>0.019230769230769232</x:v>
      </x:c>
      <x:c r="AB429" s="37" t="str">
        <x:f>IFERROR(IF($N429="CẦN DUYỆT","DUYỆT MAP",IF($N429="CHƯA CÓ GIÁ LẺ","THIẾU GIÁ",IF(OR($K429="",$K429=0,$Y429=""),"OK",IF(ABS(($Y429-$K429)/$K429)&gt;0.15,"LỆCH GIÁ CŨ","OK")))),"OK")</x:f>
        <x:v>THIẾU GIÁ</x:v>
      </x:c>
      <x:c r="AC429" s="30" t="str">
        <x:v>ứng viên gần nhất=Siro Sâm Dứa Vina; score=0.417</x:v>
      </x:c>
      <x:c r="AD429" s="37" t="str">
        <x:v>SRMMDL</x:v>
      </x:c>
      <x:c r="AE429" s="38" t="str">
        <x:v>SRMMDLT</x:v>
      </x:c>
      <x:c r="AF429" s="123" t="n">
        <x:v>1000</x:v>
      </x:c>
      <x:c r="AG429" s="112" t="str">
        <x:v>g</x:v>
      </x:c>
      <x:c r="AH429" s="112" t="str">
        <x:v>CHAI</x:v>
      </x:c>
      <x:c r="AI429" s="112" t="str">
        <x:v>1000 g / CHAI</x:v>
      </x:c>
      <x:c r="AJ429" s="120" t="n">
        <x:v>53000</x:v>
      </x:c>
      <x:c r="AK429" s="120"/>
      <x:c r="AL429" s="120" t="n">
        <x:v>53000</x:v>
      </x:c>
      <x:c r="AM429" s="112" t="str">
        <x:v>BỔ SUNG GIÁ</x:v>
      </x:c>
      <x:c r="AN429" s="126" t="n">
        <x:v>929</x:v>
      </x:c>
      <x:c r="AO429" s="126" t="n">
        <x:v>930</x:v>
      </x:c>
      <x:c r="AP429" s="113" t="str">
        <x:v>12 CHAI / THÙNG</x:v>
      </x:c>
    </x:row>
    <x:row r="430">
      <x:c r="A430" s="71" t="str">
        <x:v>SIRO MAMA DÂU</x:v>
      </x:c>
      <x:c r="B430" s="30" t="str">
        <x:v>SIRO MAMA DÂU - THÙNG</x:v>
      </x:c>
      <x:c r="C430" s="37" t="str">
        <x:v>SRMMDA</x:v>
      </x:c>
      <x:c r="D430" s="37" t="str">
        <x:v>SRMMDAT</x:v>
      </x:c>
      <x:c r="E430" s="37" t="str">
        <x:v>SRMMDAT</x:v>
      </x:c>
      <x:c r="F430" s="37" t="n">
        <x:v>12</x:v>
      </x:c>
      <x:c r="G430" s="37" t="n">
        <x:v>13000</x:v>
      </x:c>
      <x:c r="H430" s="37" t="str">
        <x:v>g</x:v>
      </x:c>
      <x:c r="I430" s="37" t="str">
        <x:v>THÙNG</x:v>
      </x:c>
      <x:c r="J430" s="59" t="n">
        <x:v>610000</x:v>
      </x:c>
      <x:c r="K430" s="59" t="n">
        <x:v>624000</x:v>
      </x:c>
      <x:c r="L430" s="59" t="n">
        <x:v>0</x:v>
      </x:c>
      <x:c r="M430" s="37" t="str">
        <x:v>Siro</x:v>
      </x:c>
      <x:c r="N430" s="37" t="str">
        <x:v>CHƯA CÓ GIÁ LẺ</x:v>
      </x:c>
      <x:c r="O430" s="61" t="n">
        <x:v>0.345</x:v>
      </x:c>
      <x:c r="P430" s="37"/>
      <x:c r="Q430" s="30"/>
      <x:c r="R430" s="30"/>
      <x:c r="S430" s="30"/>
      <x:c r="T430" s="37"/>
      <x:c r="U430" s="59"/>
      <x:c r="V430" s="59"/>
      <x:c r="W430" s="117" t="n">
        <x:v>53000</x:v>
      </x:c>
      <x:c r="X430" s="59" t="str">
        <x:f>IFERROR(IF(OR($N430="ĐÃ GHÉP - AUTO",$N430="ĐÃ GHÉP - QUY TẮC"),IF($V430="","",IF($T430="THÙNG",$V430/$F430,$V430)),""),"")</x:f>
      </x:c>
      <x:c r="Y430" s="117" t="n">
        <x:f>IF(OR(W430="",F430=""),"",W430*F430)</x:f>
        <x:v>636000</x:v>
      </x:c>
      <x:c r="Z430" s="59" t="str">
        <x:f>IFERROR(IF(OR($N430="ĐÃ GHÉP - AUTO",$N430="ĐÃ GHÉP - QUY TẮC"),IF($V430="","",IF($T430="THÙNG",$V430,$V430*$F430)),""),"")</x:f>
      </x:c>
      <x:c r="AA430" s="28" t="n">
        <x:f>IFERROR(IF(OR($K430="",$K430=0,$Y430=""),"",($Y430-$K430)/$K430),"")</x:f>
        <x:v>0.019230769230769232</x:v>
      </x:c>
      <x:c r="AB430" s="37" t="str">
        <x:f>IFERROR(IF($N430="CẦN DUYỆT","DUYỆT MAP",IF($N430="CHƯA CÓ GIÁ LẺ","THIẾU GIÁ",IF(OR($K430="",$K430=0,$Y430=""),"OK",IF(ABS(($Y430-$K430)/$K430)&gt;0.15,"LỆCH GIÁ CŨ","OK")))),"OK")</x:f>
        <x:v>THIẾU GIÁ</x:v>
      </x:c>
      <x:c r="AC430" s="30" t="str">
        <x:v>ứng viên gần nhất=Siro GTP dâu , duong den; score=0.345</x:v>
      </x:c>
      <x:c r="AD430" s="37" t="str">
        <x:v>SRMMDA</x:v>
      </x:c>
      <x:c r="AE430" s="38" t="str">
        <x:v>SRMMDAT</x:v>
      </x:c>
      <x:c r="AF430" s="123" t="n">
        <x:v>1000</x:v>
      </x:c>
      <x:c r="AG430" s="112" t="str">
        <x:v>g</x:v>
      </x:c>
      <x:c r="AH430" s="112" t="str">
        <x:v>CHAI</x:v>
      </x:c>
      <x:c r="AI430" s="112" t="str">
        <x:v>1000 g / CHAI</x:v>
      </x:c>
      <x:c r="AJ430" s="120" t="n">
        <x:v>53000</x:v>
      </x:c>
      <x:c r="AK430" s="120"/>
      <x:c r="AL430" s="120" t="n">
        <x:v>53000</x:v>
      </x:c>
      <x:c r="AM430" s="112" t="str">
        <x:v>BỔ SUNG GIÁ</x:v>
      </x:c>
      <x:c r="AN430" s="126" t="n">
        <x:v>931</x:v>
      </x:c>
      <x:c r="AO430" s="126" t="n">
        <x:v>932</x:v>
      </x:c>
      <x:c r="AP430" s="113" t="str">
        <x:v>12 CHAI / THÙNG</x:v>
      </x:c>
    </x:row>
    <x:row r="431">
      <x:c r="A431" s="71" t="str">
        <x:v>SIRO MAMA BẠC HÀ</x:v>
      </x:c>
      <x:c r="B431" s="30" t="str">
        <x:v>SIRO MAMA BẠC HÀ - THÙNG</x:v>
      </x:c>
      <x:c r="C431" s="37" t="str">
        <x:v>SRMMBH</x:v>
      </x:c>
      <x:c r="D431" s="37" t="str">
        <x:v>SRMMBHT</x:v>
      </x:c>
      <x:c r="E431" s="37" t="str">
        <x:v>SRMMBHT</x:v>
      </x:c>
      <x:c r="F431" s="37" t="n">
        <x:v>12</x:v>
      </x:c>
      <x:c r="G431" s="37" t="n">
        <x:v>13000</x:v>
      </x:c>
      <x:c r="H431" s="37" t="str">
        <x:v>g</x:v>
      </x:c>
      <x:c r="I431" s="37" t="str">
        <x:v>THÙNG</x:v>
      </x:c>
      <x:c r="J431" s="59" t="n">
        <x:v>610000</x:v>
      </x:c>
      <x:c r="K431" s="59" t="n">
        <x:v>624000</x:v>
      </x:c>
      <x:c r="L431" s="59" t="n">
        <x:v>0</x:v>
      </x:c>
      <x:c r="M431" s="37" t="str">
        <x:v>Siro</x:v>
      </x:c>
      <x:c r="N431" s="37" t="str">
        <x:v>CHƯA CÓ GIÁ LẺ</x:v>
      </x:c>
      <x:c r="O431" s="61" t="n">
        <x:v>0.066</x:v>
      </x:c>
      <x:c r="P431" s="37"/>
      <x:c r="Q431" s="30"/>
      <x:c r="R431" s="30"/>
      <x:c r="S431" s="30"/>
      <x:c r="T431" s="37"/>
      <x:c r="U431" s="59"/>
      <x:c r="V431" s="59"/>
      <x:c r="W431" s="117" t="n">
        <x:v>53000</x:v>
      </x:c>
      <x:c r="X431" s="59" t="str">
        <x:f>IFERROR(IF(OR($N431="ĐÃ GHÉP - AUTO",$N431="ĐÃ GHÉP - QUY TẮC"),IF($V431="","",IF($T431="THÙNG",$V431/$F431,$V431)),""),"")</x:f>
      </x:c>
      <x:c r="Y431" s="117" t="n">
        <x:f>IF(OR(W431="",F431=""),"",W431*F431)</x:f>
        <x:v>636000</x:v>
      </x:c>
      <x:c r="Z431" s="59" t="str">
        <x:f>IFERROR(IF(OR($N431="ĐÃ GHÉP - AUTO",$N431="ĐÃ GHÉP - QUY TẮC"),IF($V431="","",IF($T431="THÙNG",$V431,$V431*$F431)),""),"")</x:f>
      </x:c>
      <x:c r="AA431" s="28" t="n">
        <x:f>IFERROR(IF(OR($K431="",$K431=0,$Y431=""),"",($Y431-$K431)/$K431),"")</x:f>
        <x:v>0.019230769230769232</x:v>
      </x:c>
      <x:c r="AB431" s="37" t="str">
        <x:f>IFERROR(IF($N431="CẦN DUYỆT","DUYỆT MAP",IF($N431="CHƯA CÓ GIÁ LẺ","THIẾU GIÁ",IF(OR($K431="",$K431=0,$Y431=""),"OK",IF(ABS(($Y431-$K431)/$K431)&gt;0.15,"LỆCH GIÁ CŨ","OK")))),"OK")</x:f>
        <x:v>THIẾU GIÁ</x:v>
      </x:c>
      <x:c r="AC431" s="30" t="str">
        <x:v>ứng viên gần nhất=Siro Changthai; score=0.066</x:v>
      </x:c>
      <x:c r="AD431" s="37" t="str">
        <x:v>SRMMBH</x:v>
      </x:c>
      <x:c r="AE431" s="38" t="str">
        <x:v>SRMMBHT</x:v>
      </x:c>
      <x:c r="AF431" s="123" t="n">
        <x:v>1000</x:v>
      </x:c>
      <x:c r="AG431" s="112" t="str">
        <x:v>g</x:v>
      </x:c>
      <x:c r="AH431" s="112" t="str">
        <x:v>CHAI</x:v>
      </x:c>
      <x:c r="AI431" s="112" t="str">
        <x:v>1000 g / CHAI</x:v>
      </x:c>
      <x:c r="AJ431" s="120" t="n">
        <x:v>53000</x:v>
      </x:c>
      <x:c r="AK431" s="120"/>
      <x:c r="AL431" s="120" t="n">
        <x:v>53000</x:v>
      </x:c>
      <x:c r="AM431" s="112" t="str">
        <x:v>BỔ SUNG GIÁ</x:v>
      </x:c>
      <x:c r="AN431" s="126" t="n">
        <x:v>933</x:v>
      </x:c>
      <x:c r="AO431" s="126" t="n">
        <x:v>934</x:v>
      </x:c>
      <x:c r="AP431" s="113" t="str">
        <x:v>12 CHAI / THÙNG</x:v>
      </x:c>
    </x:row>
    <x:row r="432">
      <x:c r="A432" s="71" t="str">
        <x:v>LY 700 IN</x:v>
      </x:c>
      <x:c r="B432" s="30" t="str">
        <x:v>LY 700 IN - THÙNG</x:v>
      </x:c>
      <x:c r="C432" s="37" t="str">
        <x:v>LYI700</x:v>
      </x:c>
      <x:c r="D432" s="37" t="str">
        <x:v>LYI700T</x:v>
      </x:c>
      <x:c r="E432" s="37" t="str">
        <x:v>LYI700T</x:v>
      </x:c>
      <x:c r="F432" s="37" t="n">
        <x:v>20</x:v>
      </x:c>
      <x:c r="G432" s="37" t="n">
        <x:v>0</x:v>
      </x:c>
      <x:c r="H432" s="37" t="str">
        <x:v>g</x:v>
      </x:c>
      <x:c r="I432" s="37" t="str">
        <x:v>THÙNG</x:v>
      </x:c>
      <x:c r="J432" s="59" t="n">
        <x:v>0</x:v>
      </x:c>
      <x:c r="K432" s="59" t="n">
        <x:v>0</x:v>
      </x:c>
      <x:c r="L432" s="59" t="n">
        <x:v>0</x:v>
      </x:c>
      <x:c r="M432" s="37" t="str">
        <x:v>Khác</x:v>
      </x:c>
      <x:c r="N432" s="37" t="str">
        <x:v>CHƯA CÓ GIÁ LẺ</x:v>
      </x:c>
      <x:c r="O432" s="61" t="n">
        <x:v>0.064</x:v>
      </x:c>
      <x:c r="P432" s="37"/>
      <x:c r="Q432" s="30"/>
      <x:c r="R432" s="30"/>
      <x:c r="S432" s="30"/>
      <x:c r="T432" s="37"/>
      <x:c r="U432" s="59"/>
      <x:c r="V432" s="59"/>
      <x:c r="W432" s="117"/>
      <x:c r="X432" s="59" t="str">
        <x:f>IFERROR(IF(OR($N432="ĐÃ GHÉP - AUTO",$N432="ĐÃ GHÉP - QUY TẮC"),IF($V432="","",IF($T432="THÙNG",$V432/$F432,$V432)),""),"")</x:f>
      </x:c>
      <x:c r="Y432" s="117" t="str">
        <x:f>IF(OR(W432="",F432=""),"",W432*F432)</x:f>
      </x:c>
      <x:c r="Z432" s="59" t="str">
        <x:f>IFERROR(IF(OR($N432="ĐÃ GHÉP - AUTO",$N432="ĐÃ GHÉP - QUY TẮC"),IF($V432="","",IF($T432="THÙNG",$V432,$V432*$F432)),""),"")</x:f>
      </x:c>
      <x:c r="AA432" s="28" t="str">
        <x:f>IFERROR(IF(OR($K432="",$K432=0,$Y432=""),"",($Y432-$K432)/$K432),"")</x:f>
      </x:c>
      <x:c r="AB432" s="37" t="str">
        <x:f>IFERROR(IF($N432="CẦN DUYỆT","DUYỆT MAP",IF($N432="CHƯA CÓ GIÁ LẺ","THIẾU GIÁ",IF(OR($K432="",$K432=0,$Y432=""),"OK",IF(ABS(($Y432-$K432)/$K432)&gt;0.15,"LỆCH GIÁ CŨ","OK")))),"OK")</x:f>
        <x:v>THIẾU GIÁ</x:v>
      </x:c>
      <x:c r="AC432" s="30" t="str">
        <x:v>ứng viên gần nhất=Lá Rong Biển; score=0.064</x:v>
      </x:c>
      <x:c r="AD432" s="37" t="str">
        <x:v>LYI700</x:v>
      </x:c>
      <x:c r="AE432" s="38" t="str">
        <x:v>LYI700T</x:v>
      </x:c>
      <x:c r="AF432" s="123" t="n">
        <x:v>0</x:v>
      </x:c>
      <x:c r="AG432" s="112" t="str">
        <x:v>g</x:v>
      </x:c>
      <x:c r="AH432" s="112" t="str">
        <x:v>CÂY</x:v>
      </x:c>
      <x:c r="AI432" s="112" t="str">
        <x:v>0 g / CÂY</x:v>
      </x:c>
      <x:c r="AJ432" s="120" t="n">
        <x:v>0</x:v>
      </x:c>
      <x:c r="AK432" s="120"/>
      <x:c r="AL432" s="120"/>
      <x:c r="AM432" s="112" t="str">
        <x:v>DS SP GIÁ 0 - VẪN THIẾU GIÁ</x:v>
      </x:c>
      <x:c r="AN432" s="126" t="n">
        <x:v>939</x:v>
      </x:c>
      <x:c r="AO432" s="126" t="n">
        <x:v>940</x:v>
      </x:c>
      <x:c r="AP432" s="113" t="str">
        <x:v>20 CÂY / THÙNG</x:v>
      </x:c>
    </x:row>
    <x:row r="433">
      <x:c r="A433" s="71" t="str">
        <x:v>LY 650 UKP</x:v>
      </x:c>
      <x:c r="B433" s="30" t="str">
        <x:v>LY 650 UKP - THÙNG</x:v>
      </x:c>
      <x:c r="C433" s="37" t="str">
        <x:v>LYU650</x:v>
      </x:c>
      <x:c r="D433" s="37" t="str">
        <x:v>LYU650T</x:v>
      </x:c>
      <x:c r="E433" s="37" t="str">
        <x:v>LYU650T</x:v>
      </x:c>
      <x:c r="F433" s="37" t="n">
        <x:v>20</x:v>
      </x:c>
      <x:c r="G433" s="37" t="n">
        <x:v>0</x:v>
      </x:c>
      <x:c r="H433" s="37" t="str">
        <x:v>g</x:v>
      </x:c>
      <x:c r="I433" s="37" t="str">
        <x:v>THÙNG</x:v>
      </x:c>
      <x:c r="J433" s="59" t="n">
        <x:v>0</x:v>
      </x:c>
      <x:c r="K433" s="59" t="n">
        <x:v>0</x:v>
      </x:c>
      <x:c r="L433" s="59" t="n">
        <x:v>0</x:v>
      </x:c>
      <x:c r="M433" s="37" t="str">
        <x:v>Khác</x:v>
      </x:c>
      <x:c r="N433" s="37" t="str">
        <x:v>CHƯA CÓ GIÁ LẺ</x:v>
      </x:c>
      <x:c r="O433" s="61" t="n">
        <x:v>0.768</x:v>
      </x:c>
      <x:c r="P433" s="37"/>
      <x:c r="Q433" s="30"/>
      <x:c r="R433" s="30"/>
      <x:c r="S433" s="30"/>
      <x:c r="T433" s="37"/>
      <x:c r="U433" s="59"/>
      <x:c r="V433" s="59"/>
      <x:c r="W433" s="117"/>
      <x:c r="X433" s="59" t="str">
        <x:f>IFERROR(IF(OR($N433="ĐÃ GHÉP - AUTO",$N433="ĐÃ GHÉP - QUY TẮC"),IF($V433="","",IF($T433="THÙNG",$V433/$F433,$V433)),""),"")</x:f>
      </x:c>
      <x:c r="Y433" s="117" t="str">
        <x:f>IF(OR(W433="",F433=""),"",W433*F433)</x:f>
      </x:c>
      <x:c r="Z433" s="59" t="str">
        <x:f>IFERROR(IF(OR($N433="ĐÃ GHÉP - AUTO",$N433="ĐÃ GHÉP - QUY TẮC"),IF($V433="","",IF($T433="THÙNG",$V433,$V433*$F433)),""),"")</x:f>
      </x:c>
      <x:c r="AA433" s="28" t="str">
        <x:f>IFERROR(IF(OR($K433="",$K433=0,$Y433=""),"",($Y433-$K433)/$K433),"")</x:f>
      </x:c>
      <x:c r="AB433" s="37" t="str">
        <x:f>IFERROR(IF($N433="CẦN DUYỆT","DUYỆT MAP",IF($N433="CHƯA CÓ GIÁ LẺ","THIẾU GIÁ",IF(OR($K433="",$K433=0,$Y433=""),"OK",IF(ABS(($Y433-$K433)/$K433)&gt;0.15,"LỆCH GIÁ CŨ","OK")))),"OK")</x:f>
        <x:v>THIẾU GIÁ</x:v>
      </x:c>
      <x:c r="AC433" s="30" t="str">
        <x:v>Không dùng giá Muỗng UKP cho Ly UKP</x:v>
      </x:c>
      <x:c r="AD433" s="37" t="str">
        <x:v>LYU650</x:v>
      </x:c>
      <x:c r="AE433" s="38" t="str">
        <x:v>LYU650T</x:v>
      </x:c>
      <x:c r="AF433" s="123" t="n">
        <x:v>0</x:v>
      </x:c>
      <x:c r="AG433" s="112" t="str">
        <x:v>g</x:v>
      </x:c>
      <x:c r="AH433" s="112" t="str">
        <x:v>CÂY</x:v>
      </x:c>
      <x:c r="AI433" s="112" t="str">
        <x:v>0 g / CÂY</x:v>
      </x:c>
      <x:c r="AJ433" s="120" t="n">
        <x:v>0</x:v>
      </x:c>
      <x:c r="AK433" s="120"/>
      <x:c r="AL433" s="120"/>
      <x:c r="AM433" s="112" t="str">
        <x:v>DS SP GIÁ 0 - VẪN THIẾU GIÁ</x:v>
      </x:c>
      <x:c r="AN433" s="126" t="n">
        <x:v>941</x:v>
      </x:c>
      <x:c r="AO433" s="126" t="n">
        <x:v>942</x:v>
      </x:c>
      <x:c r="AP433" s="113" t="str">
        <x:v>20 CÂY / THÙNG</x:v>
      </x:c>
    </x:row>
    <x:row r="434">
      <x:c r="A434" s="71" t="str">
        <x:v>LY 500 IN</x:v>
      </x:c>
      <x:c r="B434" s="30" t="str">
        <x:v>LY 500 IN - THÙNG</x:v>
      </x:c>
      <x:c r="C434" s="37" t="str">
        <x:v>LYI500</x:v>
      </x:c>
      <x:c r="D434" s="37" t="str">
        <x:v>LYI500T</x:v>
      </x:c>
      <x:c r="E434" s="37" t="str">
        <x:v>LYI500T</x:v>
      </x:c>
      <x:c r="F434" s="37" t="n">
        <x:v>20</x:v>
      </x:c>
      <x:c r="G434" s="37" t="n">
        <x:v>0</x:v>
      </x:c>
      <x:c r="H434" s="37" t="str">
        <x:v>g</x:v>
      </x:c>
      <x:c r="I434" s="37" t="str">
        <x:v>THÙNG</x:v>
      </x:c>
      <x:c r="J434" s="59" t="n">
        <x:v>0</x:v>
      </x:c>
      <x:c r="K434" s="59" t="n">
        <x:v>0</x:v>
      </x:c>
      <x:c r="L434" s="59" t="n">
        <x:v>0</x:v>
      </x:c>
      <x:c r="M434" s="37" t="str">
        <x:v>Khác</x:v>
      </x:c>
      <x:c r="N434" s="37" t="str">
        <x:v>CHƯA CÓ GIÁ LẺ</x:v>
      </x:c>
      <x:c r="O434" s="61" t="n">
        <x:v>0.064</x:v>
      </x:c>
      <x:c r="P434" s="37"/>
      <x:c r="Q434" s="30"/>
      <x:c r="R434" s="30"/>
      <x:c r="S434" s="30"/>
      <x:c r="T434" s="37"/>
      <x:c r="U434" s="59"/>
      <x:c r="V434" s="59"/>
      <x:c r="W434" s="117"/>
      <x:c r="X434" s="59" t="str">
        <x:f>IFERROR(IF(OR($N434="ĐÃ GHÉP - AUTO",$N434="ĐÃ GHÉP - QUY TẮC"),IF($V434="","",IF($T434="THÙNG",$V434/$F434,$V434)),""),"")</x:f>
      </x:c>
      <x:c r="Y434" s="117" t="str">
        <x:f>IF(OR(W434="",F434=""),"",W434*F434)</x:f>
      </x:c>
      <x:c r="Z434" s="59" t="str">
        <x:f>IFERROR(IF(OR($N434="ĐÃ GHÉP - AUTO",$N434="ĐÃ GHÉP - QUY TẮC"),IF($V434="","",IF($T434="THÙNG",$V434,$V434*$F434)),""),"")</x:f>
      </x:c>
      <x:c r="AA434" s="28" t="str">
        <x:f>IFERROR(IF(OR($K434="",$K434=0,$Y434=""),"",($Y434-$K434)/$K434),"")</x:f>
      </x:c>
      <x:c r="AB434" s="37" t="str">
        <x:f>IFERROR(IF($N434="CẦN DUYỆT","DUYỆT MAP",IF($N434="CHƯA CÓ GIÁ LẺ","THIẾU GIÁ",IF(OR($K434="",$K434=0,$Y434=""),"OK",IF(ABS(($Y434-$K434)/$K434)&gt;0.15,"LỆCH GIÁ CŨ","OK")))),"OK")</x:f>
        <x:v>THIẾU GIÁ</x:v>
      </x:c>
      <x:c r="AC434" s="30" t="str">
        <x:v>ứng viên gần nhất=Lá Rong Biển; score=0.064</x:v>
      </x:c>
      <x:c r="AD434" s="37" t="str">
        <x:v>LYI500</x:v>
      </x:c>
      <x:c r="AE434" s="38" t="str">
        <x:v>LYI500T</x:v>
      </x:c>
      <x:c r="AF434" s="123" t="n">
        <x:v>0</x:v>
      </x:c>
      <x:c r="AG434" s="112" t="str">
        <x:v>g</x:v>
      </x:c>
      <x:c r="AH434" s="112" t="str">
        <x:v>CÂY</x:v>
      </x:c>
      <x:c r="AI434" s="112" t="str">
        <x:v>0 g / CÂY</x:v>
      </x:c>
      <x:c r="AJ434" s="120" t="n">
        <x:v>0</x:v>
      </x:c>
      <x:c r="AK434" s="120"/>
      <x:c r="AL434" s="120"/>
      <x:c r="AM434" s="112" t="str">
        <x:v>DS SP GIÁ 0 - VẪN THIẾU GIÁ</x:v>
      </x:c>
      <x:c r="AN434" s="126" t="n">
        <x:v>943</x:v>
      </x:c>
      <x:c r="AO434" s="126" t="n">
        <x:v>944</x:v>
      </x:c>
      <x:c r="AP434" s="113" t="str">
        <x:v>20 CÂY / THÙNG</x:v>
      </x:c>
    </x:row>
    <x:row r="435">
      <x:c r="A435" s="71" t="str">
        <x:v>LY 500 UKP</x:v>
      </x:c>
      <x:c r="B435" s="30" t="str">
        <x:v>LY 500 UKP - THÙNG</x:v>
      </x:c>
      <x:c r="C435" s="37" t="str">
        <x:v>LYU500</x:v>
      </x:c>
      <x:c r="D435" s="37" t="str">
        <x:v>LYU500T</x:v>
      </x:c>
      <x:c r="E435" s="37" t="str">
        <x:v>LYU500T</x:v>
      </x:c>
      <x:c r="F435" s="37" t="n">
        <x:v>20</x:v>
      </x:c>
      <x:c r="G435" s="37" t="n">
        <x:v>0</x:v>
      </x:c>
      <x:c r="H435" s="37" t="str">
        <x:v>g</x:v>
      </x:c>
      <x:c r="I435" s="37" t="str">
        <x:v>THÙNG</x:v>
      </x:c>
      <x:c r="J435" s="59" t="n">
        <x:v>0</x:v>
      </x:c>
      <x:c r="K435" s="59" t="n">
        <x:v>0</x:v>
      </x:c>
      <x:c r="L435" s="59" t="n">
        <x:v>0</x:v>
      </x:c>
      <x:c r="M435" s="37" t="str">
        <x:v>Khác</x:v>
      </x:c>
      <x:c r="N435" s="37" t="str">
        <x:v>CHƯA CÓ GIÁ LẺ</x:v>
      </x:c>
      <x:c r="O435" s="61" t="n">
        <x:v>0.768</x:v>
      </x:c>
      <x:c r="P435" s="37"/>
      <x:c r="Q435" s="30"/>
      <x:c r="R435" s="30"/>
      <x:c r="S435" s="30"/>
      <x:c r="T435" s="37"/>
      <x:c r="U435" s="59"/>
      <x:c r="V435" s="59"/>
      <x:c r="W435" s="117" t="n">
        <x:v>23000</x:v>
      </x:c>
      <x:c r="X435" s="59" t="str">
        <x:f>IFERROR(IF(OR($N435="ĐÃ GHÉP - AUTO",$N435="ĐÃ GHÉP - QUY TẮC"),IF($V435="","",IF($T435="THÙNG",$V435/$F435,$V435)),""),"")</x:f>
      </x:c>
      <x:c r="Y435" s="117" t="n">
        <x:f>IF(OR(W435="",F435=""),"",W435*F435)</x:f>
        <x:v>460000</x:v>
      </x:c>
      <x:c r="Z435" s="59" t="str">
        <x:f>IFERROR(IF(OR($N435="ĐÃ GHÉP - AUTO",$N435="ĐÃ GHÉP - QUY TẮC"),IF($V435="","",IF($T435="THÙNG",$V435,$V435*$F435)),""),"")</x:f>
      </x:c>
      <x:c r="AA435" s="28" t="str">
        <x:f>IFERROR(IF(OR($K435="",$K435=0,$Y435=""),"",($Y435-$K435)/$K435),"")</x:f>
      </x:c>
      <x:c r="AB435" s="37" t="str">
        <x:f>IFERROR(IF($N435="CẦN DUYỆT","DUYỆT MAP",IF($N435="CHƯA CÓ GIÁ LẺ","THIẾU GIÁ",IF(OR($K435="",$K435=0,$Y435=""),"OK",IF(ABS(($Y435-$K435)/$K435)&gt;0.15,"LỆCH GIÁ CŨ","OK")))),"OK")</x:f>
        <x:v>THIẾU GIÁ</x:v>
      </x:c>
      <x:c r="AC435" s="30" t="str">
        <x:v>Không dùng giá Muỗng UKP cho Ly UKP</x:v>
      </x:c>
      <x:c r="AD435" s="37" t="str">
        <x:v>LYU500</x:v>
      </x:c>
      <x:c r="AE435" s="38" t="str">
        <x:v>LYU500T</x:v>
      </x:c>
      <x:c r="AF435" s="123" t="n">
        <x:v>0</x:v>
      </x:c>
      <x:c r="AG435" s="112" t="str">
        <x:v>g</x:v>
      </x:c>
      <x:c r="AH435" s="112" t="str">
        <x:v>CÂY</x:v>
      </x:c>
      <x:c r="AI435" s="112" t="str">
        <x:v>0 g / CÂY</x:v>
      </x:c>
      <x:c r="AJ435" s="120" t="n">
        <x:v>23000</x:v>
      </x:c>
      <x:c r="AK435" s="120"/>
      <x:c r="AL435" s="120" t="n">
        <x:v>23000</x:v>
      </x:c>
      <x:c r="AM435" s="112" t="str">
        <x:v>BỔ SUNG GIÁ</x:v>
      </x:c>
      <x:c r="AN435" s="126" t="n">
        <x:v>945</x:v>
      </x:c>
      <x:c r="AO435" s="126" t="n">
        <x:v>946</x:v>
      </x:c>
      <x:c r="AP435" s="113" t="str">
        <x:v>20 CÂY / THÙNG</x:v>
      </x:c>
    </x:row>
    <x:row r="436">
      <x:c r="A436" s="71" t="str">
        <x:v>COZY LIPTON</x:v>
      </x:c>
      <x:c r="B436" s="30" t="str">
        <x:v>COZY LIPTON - THÙNG</x:v>
      </x:c>
      <x:c r="C436" s="37" t="str">
        <x:v>LIPTON</x:v>
      </x:c>
      <x:c r="D436" s="37" t="str">
        <x:v>LIPTONT</x:v>
      </x:c>
      <x:c r="E436" s="37" t="str">
        <x:v>LIPTONT</x:v>
      </x:c>
      <x:c r="F436" s="37" t="n">
        <x:v>28</x:v>
      </x:c>
      <x:c r="G436" s="37" t="n">
        <x:v>6.5</x:v>
      </x:c>
      <x:c r="H436" s="37" t="str">
        <x:v>kg</x:v>
      </x:c>
      <x:c r="I436" s="37" t="str">
        <x:v>THÙNG</x:v>
      </x:c>
      <x:c r="J436" s="59" t="n">
        <x:v>0</x:v>
      </x:c>
      <x:c r="K436" s="59" t="n">
        <x:v>0</x:v>
      </x:c>
      <x:c r="L436" s="59" t="n">
        <x:v>0</x:v>
      </x:c>
      <x:c r="M436" s="37" t="str">
        <x:v>Trà</x:v>
      </x:c>
      <x:c r="N436" s="37" t="str">
        <x:v>ĐÃ GHÉP - AUTO</x:v>
      </x:c>
      <x:c r="O436" s="61" t="n">
        <x:v>0.896</x:v>
      </x:c>
      <x:c r="P436" s="37" t="n">
        <x:v>185</x:v>
      </x:c>
      <x:c r="Q436" s="30" t="str">
        <x:v>Lipton COZY</x:v>
      </x:c>
      <x:c r="R436" s="30" t="str">
        <x:v>Thùng 36 hộp</x:v>
      </x:c>
      <x:c r="S436" s="30" t="str">
        <x:v>hộp</x:v>
      </x:c>
      <x:c r="T436" s="37" t="str">
        <x:v>ĐƠN VỊ</x:v>
      </x:c>
      <x:c r="U436" s="59" t="n">
        <x:v>79000</x:v>
      </x:c>
      <x:c r="V436" s="59"/>
      <x:c r="W436" s="117" t="n">
        <x:v>79000</x:v>
      </x:c>
      <x:c r="X436" s="59" t="str">
        <x:f>IFERROR(IF(OR($N436="ĐÃ GHÉP - AUTO",$N436="ĐÃ GHÉP - QUY TẮC"),IF($V436="","",IF($T436="THÙNG",$V436/$F436,$V436)),""),"")</x:f>
      </x:c>
      <x:c r="Y436" s="117" t="n">
        <x:f>IF(OR(W436="",F436=""),"",W436*F436)</x:f>
        <x:v>2212000</x:v>
      </x:c>
      <x:c r="Z436" s="59" t="str">
        <x:f>IFERROR(IF(OR($N436="ĐÃ GHÉP - AUTO",$N436="ĐÃ GHÉP - QUY TẮC"),IF($V436="","",IF($T436="THÙNG",$V436,$V436*$F436)),""),"")</x:f>
      </x:c>
      <x:c r="AA436" s="28" t="str">
        <x:f>IFERROR(IF(OR($K436="",$K436=0,$Y436=""),"",($Y436-$K436)/$K436),"")</x:f>
      </x:c>
      <x:c r="AB436" s="37" t="str">
        <x:f>IFERROR(IF($N436="CẦN DUYỆT","DUYỆT MAP",IF($N436="CHƯA CÓ GIÁ LẺ","THIẾU GIÁ",IF(OR($K436="",$K436=0,$Y436=""),"OK",IF(ABS(($Y436-$K436)/$K436)&gt;0.15,"LỆCH GIÁ CŨ","OK")))),"OK")</x:f>
        <x:v>OK</x:v>
      </x:c>
      <x:c r="AC436" s="30" t="str">
        <x:v>score=0.896; gap=0.105</x:v>
      </x:c>
      <x:c r="AD436" s="37" t="str">
        <x:v>LIPTON</x:v>
      </x:c>
      <x:c r="AE436" s="38" t="str">
        <x:v>LIPTONT</x:v>
      </x:c>
      <x:c r="AF436" s="123" t="n">
        <x:v>200</x:v>
      </x:c>
      <x:c r="AG436" s="112" t="str">
        <x:v>g</x:v>
      </x:c>
      <x:c r="AH436" s="112" t="str">
        <x:v>HỘP</x:v>
      </x:c>
      <x:c r="AI436" s="112" t="str">
        <x:v>200 g / HỘP</x:v>
      </x:c>
      <x:c r="AJ436" s="120" t="n">
        <x:v>79000</x:v>
      </x:c>
      <x:c r="AK436" s="120" t="n">
        <x:v>79000</x:v>
      </x:c>
      <x:c r="AL436" s="120" t="n">
        <x:v>79000</x:v>
      </x:c>
      <x:c r="AM436" s="112" t="str">
        <x:v>GIỮ NGUYÊN - ĐÃ KHỚP</x:v>
      </x:c>
      <x:c r="AN436" s="126" t="n">
        <x:v>950</x:v>
      </x:c>
      <x:c r="AO436" s="126" t="n">
        <x:v>951</x:v>
      </x:c>
      <x:c r="AP436" s="113" t="str">
        <x:v>28 HỘP / THÙNG</x:v>
      </x:c>
    </x:row>
    <x:row r="437">
      <x:c r="A437" s="71" t="str">
        <x:v>KHOAI TÂY 2KG</x:v>
      </x:c>
      <x:c r="B437" s="30" t="str">
        <x:v>KHOAI TÂY 2KG - THÙNG</x:v>
      </x:c>
      <x:c r="C437" s="37" t="str">
        <x:v>KTAY2K</x:v>
      </x:c>
      <x:c r="D437" s="37" t="str">
        <x:v>KTAY2KT</x:v>
      </x:c>
      <x:c r="E437" s="37" t="str">
        <x:v>KTAY2KT</x:v>
      </x:c>
      <x:c r="F437" s="37" t="n">
        <x:v>6</x:v>
      </x:c>
      <x:c r="G437" s="37" t="n">
        <x:v>12</x:v>
      </x:c>
      <x:c r="H437" s="37" t="str">
        <x:v>kg</x:v>
      </x:c>
      <x:c r="I437" s="37" t="str">
        <x:v>THÙNG</x:v>
      </x:c>
      <x:c r="J437" s="59" t="n">
        <x:v>0</x:v>
      </x:c>
      <x:c r="K437" s="59" t="n">
        <x:v>0</x:v>
      </x:c>
      <x:c r="L437" s="59" t="n">
        <x:v>0</x:v>
      </x:c>
      <x:c r="M437" s="37" t="str">
        <x:v>Thực phẩm đông lạnh</x:v>
      </x:c>
      <x:c r="N437" s="37" t="str">
        <x:v>ĐÃ GHÉP - AUTO</x:v>
      </x:c>
      <x:c r="O437" s="61" t="n">
        <x:v>0.93</x:v>
      </x:c>
      <x:c r="P437" s="37" t="n">
        <x:v>263</x:v>
      </x:c>
      <x:c r="Q437" s="30" t="str">
        <x:v>Khoai tây 2kg</x:v>
      </x:c>
      <x:c r="R437" s="30" t="str"/>
      <x:c r="S437" s="30" t="str">
        <x:v>bịch</x:v>
      </x:c>
      <x:c r="T437" s="37" t="str">
        <x:v>ĐƠN VỊ</x:v>
      </x:c>
      <x:c r="U437" s="59" t="n">
        <x:v>130000</x:v>
      </x:c>
      <x:c r="V437" s="59"/>
      <x:c r="W437" s="117" t="n">
        <x:v>130000</x:v>
      </x:c>
      <x:c r="X437" s="59" t="str">
        <x:f>IFERROR(IF(OR($N437="ĐÃ GHÉP - AUTO",$N437="ĐÃ GHÉP - QUY TẮC"),IF($V437="","",IF($T437="THÙNG",$V437/$F437,$V437)),""),"")</x:f>
      </x:c>
      <x:c r="Y437" s="117" t="n">
        <x:f>IF(OR(W437="",F437=""),"",W437*F437)</x:f>
        <x:v>780000</x:v>
      </x:c>
      <x:c r="Z437" s="59" t="str">
        <x:f>IFERROR(IF(OR($N437="ĐÃ GHÉP - AUTO",$N437="ĐÃ GHÉP - QUY TẮC"),IF($V437="","",IF($T437="THÙNG",$V437,$V437*$F437)),""),"")</x:f>
      </x:c>
      <x:c r="AA437" s="28" t="str">
        <x:f>IFERROR(IF(OR($K437="",$K437=0,$Y437=""),"",($Y437-$K437)/$K437),"")</x:f>
      </x:c>
      <x:c r="AB437" s="37" t="str">
        <x:f>IFERROR(IF($N437="CẦN DUYỆT","DUYỆT MAP",IF($N437="CHƯA CÓ GIÁ LẺ","THIẾU GIÁ",IF(OR($K437="",$K437=0,$Y437=""),"OK",IF(ABS(($Y437-$K437)/$K437)&gt;0.15,"LỆCH GIÁ CŨ","OK")))),"OK")</x:f>
        <x:v>OK</x:v>
      </x:c>
      <x:c r="AC437" s="30" t="str">
        <x:v>score=0.930; gap=0.236</x:v>
      </x:c>
      <x:c r="AD437" s="37" t="str">
        <x:v>KTAY2K</x:v>
      </x:c>
      <x:c r="AE437" s="38" t="str">
        <x:v>KTAY2KT</x:v>
      </x:c>
      <x:c r="AF437" s="123" t="n">
        <x:v>2</x:v>
      </x:c>
      <x:c r="AG437" s="112" t="str">
        <x:v>kg</x:v>
      </x:c>
      <x:c r="AH437" s="112" t="str">
        <x:v>BỊCH</x:v>
      </x:c>
      <x:c r="AI437" s="112" t="str">
        <x:v>2 kg / BỊCH</x:v>
      </x:c>
      <x:c r="AJ437" s="120" t="n">
        <x:v>130000</x:v>
      </x:c>
      <x:c r="AK437" s="120" t="n">
        <x:v>130000</x:v>
      </x:c>
      <x:c r="AL437" s="120" t="n">
        <x:v>130000</x:v>
      </x:c>
      <x:c r="AM437" s="112" t="str">
        <x:v>GIỮ NGUYÊN - ĐÃ KHỚP</x:v>
      </x:c>
      <x:c r="AN437" s="126" t="n">
        <x:v>958</x:v>
      </x:c>
      <x:c r="AO437" s="126" t="n">
        <x:v>959</x:v>
      </x:c>
      <x:c r="AP437" s="113" t="str">
        <x:v>6 BỊCH / THÙNG</x:v>
      </x:c>
    </x:row>
    <x:row r="438">
      <x:c r="A438" s="71" t="str">
        <x:v>ICEHOT KEM BÉO TRÀ SỮA</x:v>
      </x:c>
      <x:c r="B438" s="30" t="str">
        <x:v>ICEHOT KEM BÉO TRÀ SỮA - THÙNG</x:v>
      </x:c>
      <x:c r="C438" s="37" t="str">
        <x:v>KBTSIH</x:v>
      </x:c>
      <x:c r="D438" s="37" t="str">
        <x:v>KBTSIHT</x:v>
      </x:c>
      <x:c r="E438" s="37" t="str">
        <x:v>KBTSIHT</x:v>
      </x:c>
      <x:c r="F438" s="37" t="n">
        <x:v>12</x:v>
      </x:c>
      <x:c r="G438" s="37" t="n">
        <x:v>13000</x:v>
      </x:c>
      <x:c r="H438" s="37" t="str">
        <x:v>g</x:v>
      </x:c>
      <x:c r="I438" s="37" t="str">
        <x:v>THÙNG</x:v>
      </x:c>
      <x:c r="J438" s="59" t="n">
        <x:v>0</x:v>
      </x:c>
      <x:c r="K438" s="59" t="n">
        <x:v>610000</x:v>
      </x:c>
      <x:c r="L438" s="59" t="n">
        <x:v>0</x:v>
      </x:c>
      <x:c r="M438" s="37" t="str">
        <x:v>Trà</x:v>
      </x:c>
      <x:c r="N438" s="37" t="str">
        <x:v>CHƯA CÓ GIÁ LẺ</x:v>
      </x:c>
      <x:c r="O438" s="61" t="n">
        <x:v>0.283</x:v>
      </x:c>
      <x:c r="P438" s="37"/>
      <x:c r="Q438" s="30"/>
      <x:c r="R438" s="30"/>
      <x:c r="S438" s="30"/>
      <x:c r="T438" s="37"/>
      <x:c r="U438" s="59"/>
      <x:c r="V438" s="59"/>
      <x:c r="W438" s="117" t="n">
        <x:v>52000</x:v>
      </x:c>
      <x:c r="X438" s="59" t="str">
        <x:f>IFERROR(IF(OR($N438="ĐÃ GHÉP - AUTO",$N438="ĐÃ GHÉP - QUY TẮC"),IF($V438="","",IF($T438="THÙNG",$V438/$F438,$V438)),""),"")</x:f>
      </x:c>
      <x:c r="Y438" s="117" t="n">
        <x:f>IF(OR(W438="",F438=""),"",W438*F438)</x:f>
        <x:v>624000</x:v>
      </x:c>
      <x:c r="Z438" s="59" t="str">
        <x:f>IFERROR(IF(OR($N438="ĐÃ GHÉP - AUTO",$N438="ĐÃ GHÉP - QUY TẮC"),IF($V438="","",IF($T438="THÙNG",$V438,$V438*$F438)),""),"")</x:f>
      </x:c>
      <x:c r="AA438" s="28" t="n">
        <x:f>IFERROR(IF(OR($K438="",$K438=0,$Y438=""),"",($Y438-$K438)/$K438),"")</x:f>
        <x:v>0.022950819672131147</x:v>
      </x:c>
      <x:c r="AB438" s="37" t="str">
        <x:f>IFERROR(IF($N438="CẦN DUYỆT","DUYỆT MAP",IF($N438="CHƯA CÓ GIÁ LẺ","THIẾU GIÁ",IF(OR($K438="",$K438=0,$Y438=""),"OK",IF(ABS(($Y438-$K438)/$K438)&gt;0.15,"LỆCH GIÁ CŨ","OK")))),"OK")</x:f>
        <x:v>THIẾU GIÁ</x:v>
      </x:c>
      <x:c r="AC438" s="30" t="str">
        <x:v>ứng viên gần nhất=Gas kem Mosa; score=0.283</x:v>
      </x:c>
      <x:c r="AD438" s="37" t="str">
        <x:v>KBTSIH</x:v>
      </x:c>
      <x:c r="AE438" s="38" t="str">
        <x:v>KBTSIHT</x:v>
      </x:c>
      <x:c r="AF438" s="123" t="n">
        <x:v>1100</x:v>
      </x:c>
      <x:c r="AG438" s="112" t="str">
        <x:v>g</x:v>
      </x:c>
      <x:c r="AH438" s="112" t="str">
        <x:v>HỘP 1KG</x:v>
      </x:c>
      <x:c r="AI438" s="112" t="str">
        <x:v>1100 g / HỘP 1KG</x:v>
      </x:c>
      <x:c r="AJ438" s="120" t="n">
        <x:v>52000</x:v>
      </x:c>
      <x:c r="AK438" s="120"/>
      <x:c r="AL438" s="120" t="n">
        <x:v>52000</x:v>
      </x:c>
      <x:c r="AM438" s="112" t="str">
        <x:v>BỔ SUNG GIÁ</x:v>
      </x:c>
      <x:c r="AN438" s="126" t="n">
        <x:v>963</x:v>
      </x:c>
      <x:c r="AO438" s="126" t="n">
        <x:v>964</x:v>
      </x:c>
      <x:c r="AP438" s="113" t="str">
        <x:v>12 HỘP 1KG / THÙNG</x:v>
      </x:c>
    </x:row>
    <x:row r="439">
      <x:c r="A439" s="71" t="str">
        <x:v>HÚT XANH PHI 12</x:v>
      </x:c>
      <x:c r="B439" s="30" t="str">
        <x:v>HÚT XANH PHI 12 - CÂY</x:v>
      </x:c>
      <x:c r="C439" s="37" t="str">
        <x:v>HXANH12</x:v>
      </x:c>
      <x:c r="D439" s="37" t="str">
        <x:v>HXANH12T</x:v>
      </x:c>
      <x:c r="E439" s="37" t="str">
        <x:v>HXANH12T</x:v>
      </x:c>
      <x:c r="F439" s="37" t="n">
        <x:v>10</x:v>
      </x:c>
      <x:c r="G439" s="37" t="n">
        <x:v>0</x:v>
      </x:c>
      <x:c r="H439" s="37" t="str">
        <x:v>g</x:v>
      </x:c>
      <x:c r="I439" s="37" t="str">
        <x:v>CÂY</x:v>
      </x:c>
      <x:c r="J439" s="59" t="n">
        <x:v>0</x:v>
      </x:c>
      <x:c r="K439" s="59" t="n">
        <x:v>240000</x:v>
      </x:c>
      <x:c r="L439" s="59" t="n">
        <x:v>0</x:v>
      </x:c>
      <x:c r="M439" s="37" t="str">
        <x:v>Ống hút</x:v>
      </x:c>
      <x:c r="N439" s="37" t="str">
        <x:v>CHƯA CÓ GIÁ LẺ</x:v>
      </x:c>
      <x:c r="O439" s="61" t="n">
        <x:v>0.564</x:v>
      </x:c>
      <x:c r="P439" s="37"/>
      <x:c r="Q439" s="30"/>
      <x:c r="R439" s="30"/>
      <x:c r="S439" s="30"/>
      <x:c r="T439" s="37"/>
      <x:c r="U439" s="59"/>
      <x:c r="V439" s="59"/>
      <x:c r="W439" s="117" t="n">
        <x:v>25000</x:v>
      </x:c>
      <x:c r="X439" s="59" t="str">
        <x:f>IFERROR(IF(OR($N439="ĐÃ GHÉP - AUTO",$N439="ĐÃ GHÉP - QUY TẮC"),IF($V439="","",IF($T439="THÙNG",$V439/$F439,$V439)),""),"")</x:f>
      </x:c>
      <x:c r="Y439" s="117" t="n">
        <x:f>IF(OR(W439="",F439=""),"",W439*F439)</x:f>
        <x:v>250000</x:v>
      </x:c>
      <x:c r="Z439" s="59" t="str">
        <x:f>IFERROR(IF(OR($N439="ĐÃ GHÉP - AUTO",$N439="ĐÃ GHÉP - QUY TẮC"),IF($V439="","",IF($T439="THÙNG",$V439,$V439*$F439)),""),"")</x:f>
      </x:c>
      <x:c r="AA439" s="28" t="n">
        <x:f>IFERROR(IF(OR($K439="",$K439=0,$Y439=""),"",($Y439-$K439)/$K439),"")</x:f>
        <x:v>0.041666666666666664</x:v>
      </x:c>
      <x:c r="AB439" s="37" t="str">
        <x:f>IFERROR(IF($N439="CẦN DUYỆT","DUYỆT MAP",IF($N439="CHƯA CÓ GIÁ LẺ","THIẾU GIÁ",IF(OR($K439="",$K439=0,$Y439=""),"OK",IF(ABS(($Y439-$K439)/$K439)&gt;0.15,"LỆCH GIÁ CŨ","OK")))),"OK")</x:f>
        <x:v>THIẾU GIÁ</x:v>
      </x:c>
      <x:c r="AC439" s="30" t="str">
        <x:v>ứng viên gần nhất=ong hut trang phi 6/8; score=0.564</x:v>
      </x:c>
      <x:c r="AD439" s="37" t="str">
        <x:v>HXANH12</x:v>
      </x:c>
      <x:c r="AE439" s="38" t="str">
        <x:v>HXANH12T</x:v>
      </x:c>
      <x:c r="AF439" s="123" t="n">
        <x:v>0</x:v>
      </x:c>
      <x:c r="AG439" s="112" t="str">
        <x:v>g</x:v>
      </x:c>
      <x:c r="AH439" s="112" t="str">
        <x:v>BỊCH</x:v>
      </x:c>
      <x:c r="AI439" s="112" t="str">
        <x:v>0 g / BỊCH</x:v>
      </x:c>
      <x:c r="AJ439" s="120" t="n">
        <x:v>25000</x:v>
      </x:c>
      <x:c r="AK439" s="120"/>
      <x:c r="AL439" s="120" t="n">
        <x:v>25000</x:v>
      </x:c>
      <x:c r="AM439" s="112" t="str">
        <x:v>BỔ SUNG GIÁ</x:v>
      </x:c>
      <x:c r="AN439" s="126" t="n">
        <x:v>971</x:v>
      </x:c>
      <x:c r="AO439" s="126" t="n">
        <x:v>972</x:v>
      </x:c>
      <x:c r="AP439" s="113" t="str">
        <x:v>10 BỊCH / CÂY</x:v>
      </x:c>
    </x:row>
    <x:row r="440">
      <x:c r="A440" s="71" t="str">
        <x:v>HÚT VÀNG PHI 12</x:v>
      </x:c>
      <x:c r="B440" s="30" t="str">
        <x:v>HÚT VÀNG PHI 12 - CÂY</x:v>
      </x:c>
      <x:c r="C440" s="37" t="str">
        <x:v>HVANG12</x:v>
      </x:c>
      <x:c r="D440" s="37" t="str">
        <x:v>HVANG12T</x:v>
      </x:c>
      <x:c r="E440" s="37" t="str">
        <x:v>HVANG12T</x:v>
      </x:c>
      <x:c r="F440" s="37" t="n">
        <x:v>10</x:v>
      </x:c>
      <x:c r="G440" s="37" t="n">
        <x:v>0</x:v>
      </x:c>
      <x:c r="H440" s="37" t="str">
        <x:v>g</x:v>
      </x:c>
      <x:c r="I440" s="37" t="str">
        <x:v>CÂY</x:v>
      </x:c>
      <x:c r="J440" s="59" t="n">
        <x:v>0</x:v>
      </x:c>
      <x:c r="K440" s="59" t="n">
        <x:v>240000</x:v>
      </x:c>
      <x:c r="L440" s="59" t="n">
        <x:v>0</x:v>
      </x:c>
      <x:c r="M440" s="37" t="str">
        <x:v>Ống hút</x:v>
      </x:c>
      <x:c r="N440" s="37" t="str">
        <x:v>CHƯA CÓ GIÁ LẺ</x:v>
      </x:c>
      <x:c r="O440" s="61" t="n">
        <x:v>0.604</x:v>
      </x:c>
      <x:c r="P440" s="37"/>
      <x:c r="Q440" s="30"/>
      <x:c r="R440" s="30"/>
      <x:c r="S440" s="30"/>
      <x:c r="T440" s="37"/>
      <x:c r="U440" s="59"/>
      <x:c r="V440" s="59"/>
      <x:c r="W440" s="117" t="n">
        <x:v>25000</x:v>
      </x:c>
      <x:c r="X440" s="59" t="str">
        <x:f>IFERROR(IF(OR($N440="ĐÃ GHÉP - AUTO",$N440="ĐÃ GHÉP - QUY TẮC"),IF($V440="","",IF($T440="THÙNG",$V440/$F440,$V440)),""),"")</x:f>
      </x:c>
      <x:c r="Y440" s="117" t="n">
        <x:f>IF(OR(W440="",F440=""),"",W440*F440)</x:f>
        <x:v>250000</x:v>
      </x:c>
      <x:c r="Z440" s="59" t="str">
        <x:f>IFERROR(IF(OR($N440="ĐÃ GHÉP - AUTO",$N440="ĐÃ GHÉP - QUY TẮC"),IF($V440="","",IF($T440="THÙNG",$V440,$V440*$F440)),""),"")</x:f>
      </x:c>
      <x:c r="AA440" s="28" t="n">
        <x:f>IFERROR(IF(OR($K440="",$K440=0,$Y440=""),"",($Y440-$K440)/$K440),"")</x:f>
        <x:v>0.041666666666666664</x:v>
      </x:c>
      <x:c r="AB440" s="37" t="str">
        <x:f>IFERROR(IF($N440="CẦN DUYỆT","DUYỆT MAP",IF($N440="CHƯA CÓ GIÁ LẺ","THIẾU GIÁ",IF(OR($K440="",$K440=0,$Y440=""),"OK",IF(ABS(($Y440-$K440)/$K440)&gt;0.15,"LỆCH GIÁ CŨ","OK")))),"OK")</x:f>
        <x:v>THIẾU GIÁ</x:v>
      </x:c>
      <x:c r="AC440" s="30" t="str">
        <x:v>ứng viên gần nhất=ong hut trang phi 6/8; score=0.604</x:v>
      </x:c>
      <x:c r="AD440" s="37" t="str">
        <x:v>HVANG12</x:v>
      </x:c>
      <x:c r="AE440" s="38" t="str">
        <x:v>HVANG12T</x:v>
      </x:c>
      <x:c r="AF440" s="123" t="n">
        <x:v>0</x:v>
      </x:c>
      <x:c r="AG440" s="112" t="str">
        <x:v>g</x:v>
      </x:c>
      <x:c r="AH440" s="112" t="str">
        <x:v>BỊCH</x:v>
      </x:c>
      <x:c r="AI440" s="112" t="str">
        <x:v>0 g / BỊCH</x:v>
      </x:c>
      <x:c r="AJ440" s="120" t="n">
        <x:v>25000</x:v>
      </x:c>
      <x:c r="AK440" s="120"/>
      <x:c r="AL440" s="120" t="n">
        <x:v>25000</x:v>
      </x:c>
      <x:c r="AM440" s="112" t="str">
        <x:v>BỔ SUNG GIÁ</x:v>
      </x:c>
      <x:c r="AN440" s="126" t="n">
        <x:v>973</x:v>
      </x:c>
      <x:c r="AO440" s="126" t="n">
        <x:v>974</x:v>
      </x:c>
      <x:c r="AP440" s="113" t="str">
        <x:v>10 BỊCH / CÂY</x:v>
      </x:c>
    </x:row>
    <x:row r="441">
      <x:c r="A441" s="71" t="str">
        <x:v>HÚT TRẮNG PHI 8</x:v>
      </x:c>
      <x:c r="B441" s="30" t="str">
        <x:v>HÚT TRẮNG PHI 8 - CÂY</x:v>
      </x:c>
      <x:c r="C441" s="37" t="str">
        <x:v>HTRGP8</x:v>
      </x:c>
      <x:c r="D441" s="37" t="str">
        <x:v>HTRGP8T</x:v>
      </x:c>
      <x:c r="E441" s="37" t="str">
        <x:v>HTRGP8T</x:v>
      </x:c>
      <x:c r="F441" s="37" t="n">
        <x:v>10</x:v>
      </x:c>
      <x:c r="G441" s="37" t="n">
        <x:v>5</x:v>
      </x:c>
      <x:c r="H441" s="37" t="str">
        <x:v>kg</x:v>
      </x:c>
      <x:c r="I441" s="37" t="str">
        <x:v>CÂY</x:v>
      </x:c>
      <x:c r="J441" s="59" t="n">
        <x:v>0</x:v>
      </x:c>
      <x:c r="K441" s="59" t="n">
        <x:v>240000</x:v>
      </x:c>
      <x:c r="L441" s="59" t="n">
        <x:v>0</x:v>
      </x:c>
      <x:c r="M441" s="37" t="str">
        <x:v>Ống hút</x:v>
      </x:c>
      <x:c r="N441" s="37" t="str">
        <x:v>ĐÃ GHÉP - QUY TẮC</x:v>
      </x:c>
      <x:c r="O441" s="61" t="n">
        <x:v>0.99</x:v>
      </x:c>
      <x:c r="P441" s="37" t="n">
        <x:v>227</x:v>
      </x:c>
      <x:c r="Q441" s="30" t="str">
        <x:v>ong hut trang phi 6/8</x:v>
      </x:c>
      <x:c r="R441" s="30" t="str">
        <x:v>cay 10 bich</x:v>
      </x:c>
      <x:c r="S441" s="30" t="str">
        <x:v>bich</x:v>
      </x:c>
      <x:c r="T441" s="37" t="str">
        <x:v>ĐƠN VỊ</x:v>
      </x:c>
      <x:c r="U441" s="59" t="n">
        <x:v>28000</x:v>
      </x:c>
      <x:c r="V441" s="59"/>
      <x:c r="W441" s="117" t="n">
        <x:v>25000</x:v>
      </x:c>
      <x:c r="X441" s="59" t="str">
        <x:f>IFERROR(IF(OR($N441="ĐÃ GHÉP - AUTO",$N441="ĐÃ GHÉP - QUY TẮC"),IF($V441="","",IF($T441="THÙNG",$V441/$F441,$V441)),""),"")</x:f>
      </x:c>
      <x:c r="Y441" s="117" t="n">
        <x:f>IF(OR(W441="",F441=""),"",W441*F441)</x:f>
        <x:v>250000</x:v>
      </x:c>
      <x:c r="Z441" s="59" t="str">
        <x:f>IFERROR(IF(OR($N441="ĐÃ GHÉP - AUTO",$N441="ĐÃ GHÉP - QUY TẮC"),IF($V441="","",IF($T441="THÙNG",$V441,$V441*$F441)),""),"")</x:f>
      </x:c>
      <x:c r="AA441" s="28" t="n">
        <x:f>IFERROR(IF(OR($K441="",$K441=0,$Y441=""),"",($Y441-$K441)/$K441),"")</x:f>
        <x:v>0.041666666666666664</x:v>
      </x:c>
      <x:c r="AB441" s="37" t="str">
        <x:f>IFERROR(IF($N441="CẦN DUYỆT","DUYỆT MAP",IF($N441="CHƯA CÓ GIÁ LẺ","THIẾU GIÁ",IF(OR($K441="",$K441=0,$Y441=""),"OK",IF(ABS(($Y441-$K441)/$K441)&gt;0.15,"LỆCH GIÁ CŨ","OK")))),"OK")</x:f>
        <x:v>OK</x:v>
      </x:c>
      <x:c r="AC441" s="30" t="str">
        <x:v>Ống hút trắng phi 6/8</x:v>
      </x:c>
      <x:c r="AD441" s="37" t="str">
        <x:v>HTRGP8</x:v>
      </x:c>
      <x:c r="AE441" s="38" t="str">
        <x:v>HTRGP8T</x:v>
      </x:c>
      <x:c r="AF441" s="123" t="n">
        <x:v>0</x:v>
      </x:c>
      <x:c r="AG441" s="112" t="str">
        <x:v>g</x:v>
      </x:c>
      <x:c r="AH441" s="112" t="str">
        <x:v>BỊCH</x:v>
      </x:c>
      <x:c r="AI441" s="112" t="str">
        <x:v>0 g / BỊCH</x:v>
      </x:c>
      <x:c r="AJ441" s="120" t="n">
        <x:v>25000</x:v>
      </x:c>
      <x:c r="AK441" s="120" t="n">
        <x:v>28000</x:v>
      </x:c>
      <x:c r="AL441" s="120" t="n">
        <x:v>25000</x:v>
      </x:c>
      <x:c r="AM441" s="112" t="str">
        <x:v>CẬP NHẬT GIÁ</x:v>
      </x:c>
      <x:c r="AN441" s="126" t="n">
        <x:v>975</x:v>
      </x:c>
      <x:c r="AO441" s="126" t="n">
        <x:v>976</x:v>
      </x:c>
      <x:c r="AP441" s="113" t="str">
        <x:v>10 BỊCH / CÂY</x:v>
      </x:c>
    </x:row>
    <x:row r="442">
      <x:c r="A442" s="71" t="str">
        <x:v>HÚT TRẮNG PHI 6</x:v>
      </x:c>
      <x:c r="B442" s="30" t="str">
        <x:v>HÚT TRẮNG PHI 6 - CÂY</x:v>
      </x:c>
      <x:c r="C442" s="37" t="str">
        <x:v>HTRGP6</x:v>
      </x:c>
      <x:c r="D442" s="37" t="str">
        <x:v>HTRGP6T</x:v>
      </x:c>
      <x:c r="E442" s="37" t="str">
        <x:v>HTRGP6T</x:v>
      </x:c>
      <x:c r="F442" s="37" t="n">
        <x:v>10</x:v>
      </x:c>
      <x:c r="G442" s="37" t="n">
        <x:v>5</x:v>
      </x:c>
      <x:c r="H442" s="37" t="str">
        <x:v>kg</x:v>
      </x:c>
      <x:c r="I442" s="37" t="str">
        <x:v>CÂY</x:v>
      </x:c>
      <x:c r="J442" s="59" t="n">
        <x:v>0</x:v>
      </x:c>
      <x:c r="K442" s="59" t="n">
        <x:v>240000</x:v>
      </x:c>
      <x:c r="L442" s="59" t="n">
        <x:v>0</x:v>
      </x:c>
      <x:c r="M442" s="37" t="str">
        <x:v>Ống hút</x:v>
      </x:c>
      <x:c r="N442" s="37" t="str">
        <x:v>ĐÃ GHÉP - QUY TẮC</x:v>
      </x:c>
      <x:c r="O442" s="61" t="n">
        <x:v>0.99</x:v>
      </x:c>
      <x:c r="P442" s="37" t="n">
        <x:v>227</x:v>
      </x:c>
      <x:c r="Q442" s="30" t="str">
        <x:v>ong hut trang phi 6/8</x:v>
      </x:c>
      <x:c r="R442" s="30" t="str">
        <x:v>cay 10 bich</x:v>
      </x:c>
      <x:c r="S442" s="30" t="str">
        <x:v>bich</x:v>
      </x:c>
      <x:c r="T442" s="37" t="str">
        <x:v>ĐƠN VỊ</x:v>
      </x:c>
      <x:c r="U442" s="59" t="n">
        <x:v>28000</x:v>
      </x:c>
      <x:c r="V442" s="59"/>
      <x:c r="W442" s="117" t="n">
        <x:v>25000</x:v>
      </x:c>
      <x:c r="X442" s="59" t="str">
        <x:f>IFERROR(IF(OR($N442="ĐÃ GHÉP - AUTO",$N442="ĐÃ GHÉP - QUY TẮC"),IF($V442="","",IF($T442="THÙNG",$V442/$F442,$V442)),""),"")</x:f>
      </x:c>
      <x:c r="Y442" s="117" t="n">
        <x:f>IF(OR(W442="",F442=""),"",W442*F442)</x:f>
        <x:v>250000</x:v>
      </x:c>
      <x:c r="Z442" s="59" t="str">
        <x:f>IFERROR(IF(OR($N442="ĐÃ GHÉP - AUTO",$N442="ĐÃ GHÉP - QUY TẮC"),IF($V442="","",IF($T442="THÙNG",$V442,$V442*$F442)),""),"")</x:f>
      </x:c>
      <x:c r="AA442" s="28" t="n">
        <x:f>IFERROR(IF(OR($K442="",$K442=0,$Y442=""),"",($Y442-$K442)/$K442),"")</x:f>
        <x:v>0.041666666666666664</x:v>
      </x:c>
      <x:c r="AB442" s="37" t="str">
        <x:f>IFERROR(IF($N442="CẦN DUYỆT","DUYỆT MAP",IF($N442="CHƯA CÓ GIÁ LẺ","THIẾU GIÁ",IF(OR($K442="",$K442=0,$Y442=""),"OK",IF(ABS(($Y442-$K442)/$K442)&gt;0.15,"LỆCH GIÁ CŨ","OK")))),"OK")</x:f>
        <x:v>OK</x:v>
      </x:c>
      <x:c r="AC442" s="30" t="str">
        <x:v>Ống hút trắng phi 6/8</x:v>
      </x:c>
      <x:c r="AD442" s="37" t="str">
        <x:v>HTRGP6</x:v>
      </x:c>
      <x:c r="AE442" s="38" t="str">
        <x:v>HTRGP6T</x:v>
      </x:c>
      <x:c r="AF442" s="123" t="n">
        <x:v>0</x:v>
      </x:c>
      <x:c r="AG442" s="112" t="str">
        <x:v>g</x:v>
      </x:c>
      <x:c r="AH442" s="112" t="str">
        <x:v>BỊCH</x:v>
      </x:c>
      <x:c r="AI442" s="112" t="str">
        <x:v>0 g / BỊCH</x:v>
      </x:c>
      <x:c r="AJ442" s="120" t="n">
        <x:v>25000</x:v>
      </x:c>
      <x:c r="AK442" s="120" t="n">
        <x:v>28000</x:v>
      </x:c>
      <x:c r="AL442" s="120" t="n">
        <x:v>25000</x:v>
      </x:c>
      <x:c r="AM442" s="112" t="str">
        <x:v>CẬP NHẬT GIÁ</x:v>
      </x:c>
      <x:c r="AN442" s="126" t="n">
        <x:v>977</x:v>
      </x:c>
      <x:c r="AO442" s="126" t="n">
        <x:v>978</x:v>
      </x:c>
      <x:c r="AP442" s="113" t="str">
        <x:v>10 BỊCH / CÂY</x:v>
      </x:c>
    </x:row>
    <x:row r="443">
      <x:c r="A443" s="71" t="str">
        <x:v>HÚT TRẮNG PHI 12</x:v>
      </x:c>
      <x:c r="B443" s="30" t="str">
        <x:v>HÚT TRẮNG PHI 12 - CÂY</x:v>
      </x:c>
      <x:c r="C443" s="37" t="str">
        <x:v>HTRP12</x:v>
      </x:c>
      <x:c r="D443" s="37" t="str">
        <x:v>HTRP12T</x:v>
      </x:c>
      <x:c r="E443" s="37" t="str">
        <x:v>HTRP12T</x:v>
      </x:c>
      <x:c r="F443" s="37" t="n">
        <x:v>10</x:v>
      </x:c>
      <x:c r="G443" s="37" t="n">
        <x:v>0</x:v>
      </x:c>
      <x:c r="H443" s="37" t="str">
        <x:v>g</x:v>
      </x:c>
      <x:c r="I443" s="37" t="str">
        <x:v>CÂY</x:v>
      </x:c>
      <x:c r="J443" s="59" t="n">
        <x:v>0</x:v>
      </x:c>
      <x:c r="K443" s="59" t="n">
        <x:v>240000</x:v>
      </x:c>
      <x:c r="L443" s="59" t="n">
        <x:v>0</x:v>
      </x:c>
      <x:c r="M443" s="37" t="str">
        <x:v>Ống hút</x:v>
      </x:c>
      <x:c r="N443" s="37" t="str">
        <x:v>ĐÃ GHÉP - QUY TẮC</x:v>
      </x:c>
      <x:c r="O443" s="61" t="n">
        <x:v>0.99</x:v>
      </x:c>
      <x:c r="P443" s="37" t="n">
        <x:v>225</x:v>
      </x:c>
      <x:c r="Q443" s="30" t="str">
        <x:v>Ống hút ts trang</x:v>
      </x:c>
      <x:c r="R443" s="30" t="str">
        <x:v>cay 10 bich</x:v>
      </x:c>
      <x:c r="S443" s="30" t="str">
        <x:v>bịch</x:v>
      </x:c>
      <x:c r="T443" s="37" t="str">
        <x:v>ĐƠN VỊ</x:v>
      </x:c>
      <x:c r="U443" s="59" t="n">
        <x:v>28000</x:v>
      </x:c>
      <x:c r="V443" s="59"/>
      <x:c r="W443" s="117" t="n">
        <x:v>25000</x:v>
      </x:c>
      <x:c r="X443" s="59" t="str">
        <x:f>IFERROR(IF(OR($N443="ĐÃ GHÉP - AUTO",$N443="ĐÃ GHÉP - QUY TẮC"),IF($V443="","",IF($T443="THÙNG",$V443/$F443,$V443)),""),"")</x:f>
      </x:c>
      <x:c r="Y443" s="117" t="n">
        <x:f>IF(OR(W443="",F443=""),"",W443*F443)</x:f>
        <x:v>250000</x:v>
      </x:c>
      <x:c r="Z443" s="59" t="str">
        <x:f>IFERROR(IF(OR($N443="ĐÃ GHÉP - AUTO",$N443="ĐÃ GHÉP - QUY TẮC"),IF($V443="","",IF($T443="THÙNG",$V443,$V443*$F443)),""),"")</x:f>
      </x:c>
      <x:c r="AA443" s="28" t="n">
        <x:f>IFERROR(IF(OR($K443="",$K443=0,$Y443=""),"",($Y443-$K443)/$K443),"")</x:f>
        <x:v>0.041666666666666664</x:v>
      </x:c>
      <x:c r="AB443" s="37" t="str">
        <x:f>IFERROR(IF($N443="CẦN DUYỆT","DUYỆT MAP",IF($N443="CHƯA CÓ GIÁ LẺ","THIẾU GIÁ",IF(OR($K443="",$K443=0,$Y443=""),"OK",IF(ABS(($Y443-$K443)/$K443)&gt;0.15,"LỆCH GIÁ CŨ","OK")))),"OK")</x:f>
        <x:v>OK</x:v>
      </x:c>
      <x:c r="AC443" s="30" t="str">
        <x:v>Ống hút trắng</x:v>
      </x:c>
      <x:c r="AD443" s="37" t="str">
        <x:v>HTRP12</x:v>
      </x:c>
      <x:c r="AE443" s="38" t="str">
        <x:v>HTRP12T</x:v>
      </x:c>
      <x:c r="AF443" s="123" t="n">
        <x:v>0</x:v>
      </x:c>
      <x:c r="AG443" s="112" t="str">
        <x:v>g</x:v>
      </x:c>
      <x:c r="AH443" s="112" t="str">
        <x:v>BỊCH</x:v>
      </x:c>
      <x:c r="AI443" s="112" t="str">
        <x:v>0 g / BỊCH</x:v>
      </x:c>
      <x:c r="AJ443" s="120" t="n">
        <x:v>25000</x:v>
      </x:c>
      <x:c r="AK443" s="120" t="n">
        <x:v>28000</x:v>
      </x:c>
      <x:c r="AL443" s="120" t="n">
        <x:v>25000</x:v>
      </x:c>
      <x:c r="AM443" s="112" t="str">
        <x:v>CẬP NHẬT GIÁ</x:v>
      </x:c>
      <x:c r="AN443" s="126" t="n">
        <x:v>979</x:v>
      </x:c>
      <x:c r="AO443" s="126" t="n">
        <x:v>980</x:v>
      </x:c>
      <x:c r="AP443" s="113" t="str">
        <x:v>10 BỊCH / CÂY</x:v>
      </x:c>
    </x:row>
    <x:row r="444">
      <x:c r="A444" s="71" t="str">
        <x:v>HÚT TRẮNG MÀNG 8</x:v>
      </x:c>
      <x:c r="B444" s="30" t="str">
        <x:v>HÚT TRẮNG MÀNG 8 - CÂY</x:v>
      </x:c>
      <x:c r="C444" s="37" t="str">
        <x:v>HTRGM8</x:v>
      </x:c>
      <x:c r="D444" s="37" t="str">
        <x:v>HTRGM8T</x:v>
      </x:c>
      <x:c r="E444" s="37" t="str">
        <x:v>HTRGM8T</x:v>
      </x:c>
      <x:c r="F444" s="37" t="n">
        <x:v>10</x:v>
      </x:c>
      <x:c r="G444" s="37" t="n">
        <x:v>0</x:v>
      </x:c>
      <x:c r="H444" s="37" t="str">
        <x:v>g</x:v>
      </x:c>
      <x:c r="I444" s="37" t="str">
        <x:v>CÂY</x:v>
      </x:c>
      <x:c r="J444" s="59" t="n">
        <x:v>0</x:v>
      </x:c>
      <x:c r="K444" s="59" t="n">
        <x:v>0</x:v>
      </x:c>
      <x:c r="L444" s="59" t="n">
        <x:v>0</x:v>
      </x:c>
      <x:c r="M444" s="37" t="str">
        <x:v>Ống hút</x:v>
      </x:c>
      <x:c r="N444" s="37" t="str">
        <x:v>ĐÃ GHÉP - QUY TẮC</x:v>
      </x:c>
      <x:c r="O444" s="61" t="n">
        <x:v>0.99</x:v>
      </x:c>
      <x:c r="P444" s="37" t="n">
        <x:v>226</x:v>
      </x:c>
      <x:c r="Q444" s="30" t="str">
        <x:v>ông hut ts trang boc mang</x:v>
      </x:c>
      <x:c r="R444" s="30" t="str">
        <x:v>cay 10 bich</x:v>
      </x:c>
      <x:c r="S444" s="30" t="str">
        <x:v>bich</x:v>
      </x:c>
      <x:c r="T444" s="37" t="str">
        <x:v>ĐƠN VỊ</x:v>
      </x:c>
      <x:c r="U444" s="59" t="n">
        <x:v>30000</x:v>
      </x:c>
      <x:c r="V444" s="59"/>
      <x:c r="W444" s="117" t="n">
        <x:v>30000</x:v>
      </x:c>
      <x:c r="X444" s="59" t="str">
        <x:f>IFERROR(IF(OR($N444="ĐÃ GHÉP - AUTO",$N444="ĐÃ GHÉP - QUY TẮC"),IF($V444="","",IF($T444="THÙNG",$V444/$F444,$V444)),""),"")</x:f>
      </x:c>
      <x:c r="Y444" s="117" t="n">
        <x:f>IF(OR(W444="",F444=""),"",W444*F444)</x:f>
        <x:v>300000</x:v>
      </x:c>
      <x:c r="Z444" s="59" t="str">
        <x:f>IFERROR(IF(OR($N444="ĐÃ GHÉP - AUTO",$N444="ĐÃ GHÉP - QUY TẮC"),IF($V444="","",IF($T444="THÙNG",$V444,$V444*$F444)),""),"")</x:f>
      </x:c>
      <x:c r="AA444" s="28" t="str">
        <x:f>IFERROR(IF(OR($K444="",$K444=0,$Y444=""),"",($Y444-$K444)/$K444),"")</x:f>
      </x:c>
      <x:c r="AB444" s="37" t="str">
        <x:f>IFERROR(IF($N444="CẦN DUYỆT","DUYỆT MAP",IF($N444="CHƯA CÓ GIÁ LẺ","THIẾU GIÁ",IF(OR($K444="",$K444=0,$Y444=""),"OK",IF(ABS(($Y444-$K444)/$K444)&gt;0.15,"LỆCH GIÁ CŨ","OK")))),"OK")</x:f>
        <x:v>OK</x:v>
      </x:c>
      <x:c r="AC444" s="30" t="str">
        <x:v>Ống hút trắng bọc màng</x:v>
      </x:c>
      <x:c r="AD444" s="37" t="str">
        <x:v>HTRGM8</x:v>
      </x:c>
      <x:c r="AE444" s="38" t="str">
        <x:v>HTRGM8T</x:v>
      </x:c>
      <x:c r="AF444" s="123" t="n">
        <x:v>0</x:v>
      </x:c>
      <x:c r="AG444" s="112" t="str">
        <x:v>g</x:v>
      </x:c>
      <x:c r="AH444" s="112" t="str">
        <x:v>BỊCH</x:v>
      </x:c>
      <x:c r="AI444" s="112" t="str">
        <x:v>0 g / BỊCH</x:v>
      </x:c>
      <x:c r="AJ444" s="120" t="n">
        <x:v>30000</x:v>
      </x:c>
      <x:c r="AK444" s="120" t="n">
        <x:v>30000</x:v>
      </x:c>
      <x:c r="AL444" s="120" t="n">
        <x:v>30000</x:v>
      </x:c>
      <x:c r="AM444" s="112" t="str">
        <x:v>GIỮ NGUYÊN - ĐÃ KHỚP</x:v>
      </x:c>
      <x:c r="AN444" s="126" t="n">
        <x:v>981</x:v>
      </x:c>
      <x:c r="AO444" s="126" t="n">
        <x:v>982</x:v>
      </x:c>
      <x:c r="AP444" s="113" t="str">
        <x:v>10 BỊCH / CÂY</x:v>
      </x:c>
    </x:row>
    <x:row r="445">
      <x:c r="A445" s="71" t="str">
        <x:v>HÚT TRẮNG MÀNG 6</x:v>
      </x:c>
      <x:c r="B445" s="30" t="str">
        <x:v>HÚT TRẮNG MÀNG 6 - CÂY</x:v>
      </x:c>
      <x:c r="C445" s="37" t="str">
        <x:v>HTRGM6</x:v>
      </x:c>
      <x:c r="D445" s="37" t="str">
        <x:v>HTRGM6T</x:v>
      </x:c>
      <x:c r="E445" s="37" t="str">
        <x:v>HTRGM6T</x:v>
      </x:c>
      <x:c r="F445" s="37" t="n">
        <x:v>10</x:v>
      </x:c>
      <x:c r="G445" s="37" t="n">
        <x:v>0</x:v>
      </x:c>
      <x:c r="H445" s="37" t="str">
        <x:v>g</x:v>
      </x:c>
      <x:c r="I445" s="37" t="str">
        <x:v>CÂY</x:v>
      </x:c>
      <x:c r="J445" s="59" t="n">
        <x:v>0</x:v>
      </x:c>
      <x:c r="K445" s="59" t="n">
        <x:v>0</x:v>
      </x:c>
      <x:c r="L445" s="59" t="n">
        <x:v>0</x:v>
      </x:c>
      <x:c r="M445" s="37" t="str">
        <x:v>Ống hút</x:v>
      </x:c>
      <x:c r="N445" s="37" t="str">
        <x:v>ĐÃ GHÉP - QUY TẮC</x:v>
      </x:c>
      <x:c r="O445" s="61" t="n">
        <x:v>0.99</x:v>
      </x:c>
      <x:c r="P445" s="37" t="n">
        <x:v>226</x:v>
      </x:c>
      <x:c r="Q445" s="30" t="str">
        <x:v>ông hut ts trang boc mang</x:v>
      </x:c>
      <x:c r="R445" s="30" t="str">
        <x:v>cay 10 bich</x:v>
      </x:c>
      <x:c r="S445" s="30" t="str">
        <x:v>bich</x:v>
      </x:c>
      <x:c r="T445" s="37" t="str">
        <x:v>ĐƠN VỊ</x:v>
      </x:c>
      <x:c r="U445" s="59" t="n">
        <x:v>30000</x:v>
      </x:c>
      <x:c r="V445" s="59"/>
      <x:c r="W445" s="117" t="n">
        <x:v>30000</x:v>
      </x:c>
      <x:c r="X445" s="59" t="str">
        <x:f>IFERROR(IF(OR($N445="ĐÃ GHÉP - AUTO",$N445="ĐÃ GHÉP - QUY TẮC"),IF($V445="","",IF($T445="THÙNG",$V445/$F445,$V445)),""),"")</x:f>
      </x:c>
      <x:c r="Y445" s="117" t="n">
        <x:f>IF(OR(W445="",F445=""),"",W445*F445)</x:f>
        <x:v>300000</x:v>
      </x:c>
      <x:c r="Z445" s="59" t="str">
        <x:f>IFERROR(IF(OR($N445="ĐÃ GHÉP - AUTO",$N445="ĐÃ GHÉP - QUY TẮC"),IF($V445="","",IF($T445="THÙNG",$V445,$V445*$F445)),""),"")</x:f>
      </x:c>
      <x:c r="AA445" s="28" t="str">
        <x:f>IFERROR(IF(OR($K445="",$K445=0,$Y445=""),"",($Y445-$K445)/$K445),"")</x:f>
      </x:c>
      <x:c r="AB445" s="37" t="str">
        <x:f>IFERROR(IF($N445="CẦN DUYỆT","DUYỆT MAP",IF($N445="CHƯA CÓ GIÁ LẺ","THIẾU GIÁ",IF(OR($K445="",$K445=0,$Y445=""),"OK",IF(ABS(($Y445-$K445)/$K445)&gt;0.15,"LỆCH GIÁ CŨ","OK")))),"OK")</x:f>
        <x:v>OK</x:v>
      </x:c>
      <x:c r="AC445" s="30" t="str">
        <x:v>Ống hút trắng bọc màng</x:v>
      </x:c>
      <x:c r="AD445" s="37" t="str">
        <x:v>HTRGM6</x:v>
      </x:c>
      <x:c r="AE445" s="38" t="str">
        <x:v>HTRGM6T</x:v>
      </x:c>
      <x:c r="AF445" s="123" t="n">
        <x:v>0</x:v>
      </x:c>
      <x:c r="AG445" s="112" t="str">
        <x:v>g</x:v>
      </x:c>
      <x:c r="AH445" s="112" t="str">
        <x:v>BỊCH</x:v>
      </x:c>
      <x:c r="AI445" s="112" t="str">
        <x:v>0 g / BỊCH</x:v>
      </x:c>
      <x:c r="AJ445" s="120" t="n">
        <x:v>30000</x:v>
      </x:c>
      <x:c r="AK445" s="120" t="n">
        <x:v>30000</x:v>
      </x:c>
      <x:c r="AL445" s="120" t="n">
        <x:v>30000</x:v>
      </x:c>
      <x:c r="AM445" s="112" t="str">
        <x:v>GIỮ NGUYÊN - ĐÃ KHỚP</x:v>
      </x:c>
      <x:c r="AN445" s="126" t="n">
        <x:v>983</x:v>
      </x:c>
      <x:c r="AO445" s="126" t="n">
        <x:v>984</x:v>
      </x:c>
      <x:c r="AP445" s="113" t="str">
        <x:v>10 BỊCH / CÂY</x:v>
      </x:c>
    </x:row>
    <x:row r="446">
      <x:c r="A446" s="71" t="str">
        <x:v>HÚT TRẮNG MÀNG 12</x:v>
      </x:c>
      <x:c r="B446" s="30" t="str">
        <x:v>HÚT TRẮNG MÀNG 12 - CÂY</x:v>
      </x:c>
      <x:c r="C446" s="37" t="str">
        <x:v>HTRM12</x:v>
      </x:c>
      <x:c r="D446" s="37" t="str">
        <x:v>HTRM12T</x:v>
      </x:c>
      <x:c r="E446" s="37" t="str">
        <x:v>HTRM12T</x:v>
      </x:c>
      <x:c r="F446" s="37" t="n">
        <x:v>10</x:v>
      </x:c>
      <x:c r="G446" s="37" t="n">
        <x:v>0</x:v>
      </x:c>
      <x:c r="H446" s="37" t="str">
        <x:v>g</x:v>
      </x:c>
      <x:c r="I446" s="37" t="str">
        <x:v>CÂY</x:v>
      </x:c>
      <x:c r="J446" s="59" t="n">
        <x:v>0</x:v>
      </x:c>
      <x:c r="K446" s="59" t="n">
        <x:v>0</x:v>
      </x:c>
      <x:c r="L446" s="59" t="n">
        <x:v>0</x:v>
      </x:c>
      <x:c r="M446" s="37" t="str">
        <x:v>Ống hút</x:v>
      </x:c>
      <x:c r="N446" s="37" t="str">
        <x:v>ĐÃ GHÉP - QUY TẮC</x:v>
      </x:c>
      <x:c r="O446" s="61" t="n">
        <x:v>0.99</x:v>
      </x:c>
      <x:c r="P446" s="37" t="n">
        <x:v>226</x:v>
      </x:c>
      <x:c r="Q446" s="30" t="str">
        <x:v>ông hut ts trang boc mang</x:v>
      </x:c>
      <x:c r="R446" s="30" t="str">
        <x:v>cay 10 bich</x:v>
      </x:c>
      <x:c r="S446" s="30" t="str">
        <x:v>bich</x:v>
      </x:c>
      <x:c r="T446" s="37" t="str">
        <x:v>ĐƠN VỊ</x:v>
      </x:c>
      <x:c r="U446" s="59" t="n">
        <x:v>30000</x:v>
      </x:c>
      <x:c r="V446" s="59"/>
      <x:c r="W446" s="117" t="n">
        <x:v>30000</x:v>
      </x:c>
      <x:c r="X446" s="59" t="str">
        <x:f>IFERROR(IF(OR($N446="ĐÃ GHÉP - AUTO",$N446="ĐÃ GHÉP - QUY TẮC"),IF($V446="","",IF($T446="THÙNG",$V446/$F446,$V446)),""),"")</x:f>
      </x:c>
      <x:c r="Y446" s="117" t="n">
        <x:f>IF(OR(W446="",F446=""),"",W446*F446)</x:f>
        <x:v>300000</x:v>
      </x:c>
      <x:c r="Z446" s="59" t="str">
        <x:f>IFERROR(IF(OR($N446="ĐÃ GHÉP - AUTO",$N446="ĐÃ GHÉP - QUY TẮC"),IF($V446="","",IF($T446="THÙNG",$V446,$V446*$F446)),""),"")</x:f>
      </x:c>
      <x:c r="AA446" s="28" t="str">
        <x:f>IFERROR(IF(OR($K446="",$K446=0,$Y446=""),"",($Y446-$K446)/$K446),"")</x:f>
      </x:c>
      <x:c r="AB446" s="37" t="str">
        <x:f>IFERROR(IF($N446="CẦN DUYỆT","DUYỆT MAP",IF($N446="CHƯA CÓ GIÁ LẺ","THIẾU GIÁ",IF(OR($K446="",$K446=0,$Y446=""),"OK",IF(ABS(($Y446-$K446)/$K446)&gt;0.15,"LỆCH GIÁ CŨ","OK")))),"OK")</x:f>
        <x:v>OK</x:v>
      </x:c>
      <x:c r="AC446" s="30" t="str">
        <x:v>Ống hút trắng bọc màng</x:v>
      </x:c>
      <x:c r="AD446" s="37" t="str">
        <x:v>HTRM12</x:v>
      </x:c>
      <x:c r="AE446" s="38" t="str">
        <x:v>HTRM12T</x:v>
      </x:c>
      <x:c r="AF446" s="123" t="n">
        <x:v>0</x:v>
      </x:c>
      <x:c r="AG446" s="112" t="str">
        <x:v>g</x:v>
      </x:c>
      <x:c r="AH446" s="112" t="str">
        <x:v>BỊCH</x:v>
      </x:c>
      <x:c r="AI446" s="112" t="str">
        <x:v>0 g / BỊCH</x:v>
      </x:c>
      <x:c r="AJ446" s="120" t="n">
        <x:v>30000</x:v>
      </x:c>
      <x:c r="AK446" s="120" t="n">
        <x:v>30000</x:v>
      </x:c>
      <x:c r="AL446" s="120" t="n">
        <x:v>30000</x:v>
      </x:c>
      <x:c r="AM446" s="112" t="str">
        <x:v>GIỮ NGUYÊN - ĐÃ KHỚP</x:v>
      </x:c>
      <x:c r="AN446" s="126" t="n">
        <x:v>985</x:v>
      </x:c>
      <x:c r="AO446" s="126" t="n">
        <x:v>986</x:v>
      </x:c>
      <x:c r="AP446" s="113" t="str">
        <x:v>10 BỊCH / CÂY</x:v>
      </x:c>
    </x:row>
    <x:row r="447">
      <x:c r="A447" s="71" t="str">
        <x:v>HÚT ĐEN PHI 8</x:v>
      </x:c>
      <x:c r="B447" s="30" t="str">
        <x:v>HÚT ĐEN PHI 8 - CÂY</x:v>
      </x:c>
      <x:c r="C447" s="37" t="str">
        <x:v>HDENP8</x:v>
      </x:c>
      <x:c r="D447" s="37" t="str">
        <x:v>HDENP8T</x:v>
      </x:c>
      <x:c r="E447" s="37" t="str">
        <x:v>HDENP8T</x:v>
      </x:c>
      <x:c r="F447" s="37" t="n">
        <x:v>10</x:v>
      </x:c>
      <x:c r="G447" s="37" t="n">
        <x:v>5000</x:v>
      </x:c>
      <x:c r="H447" s="37" t="str">
        <x:v>g</x:v>
      </x:c>
      <x:c r="I447" s="37" t="str">
        <x:v>CÂY</x:v>
      </x:c>
      <x:c r="J447" s="59" t="n">
        <x:v>0</x:v>
      </x:c>
      <x:c r="K447" s="59" t="n">
        <x:v>240000</x:v>
      </x:c>
      <x:c r="L447" s="59" t="n">
        <x:v>0</x:v>
      </x:c>
      <x:c r="M447" s="37" t="str">
        <x:v>Ống hút</x:v>
      </x:c>
      <x:c r="N447" s="37" t="str">
        <x:v>ĐÃ GHÉP - QUY TẮC</x:v>
      </x:c>
      <x:c r="O447" s="61" t="n">
        <x:v>0.99</x:v>
      </x:c>
      <x:c r="P447" s="37" t="n">
        <x:v>228</x:v>
      </x:c>
      <x:c r="Q447" s="30" t="str">
        <x:v>ong hut ts đen phi 6/8</x:v>
      </x:c>
      <x:c r="R447" s="30" t="str">
        <x:v>cay 10 bich</x:v>
      </x:c>
      <x:c r="S447" s="30" t="str">
        <x:v>bich</x:v>
      </x:c>
      <x:c r="T447" s="37" t="str">
        <x:v>ĐƠN VỊ</x:v>
      </x:c>
      <x:c r="U447" s="59" t="n">
        <x:v>25000</x:v>
      </x:c>
      <x:c r="V447" s="59"/>
      <x:c r="W447" s="117" t="n">
        <x:v>25000</x:v>
      </x:c>
      <x:c r="X447" s="59" t="str">
        <x:f>IFERROR(IF(OR($N447="ĐÃ GHÉP - AUTO",$N447="ĐÃ GHÉP - QUY TẮC"),IF($V447="","",IF($T447="THÙNG",$V447/$F447,$V447)),""),"")</x:f>
      </x:c>
      <x:c r="Y447" s="117" t="n">
        <x:f>IF(OR(W447="",F447=""),"",W447*F447)</x:f>
        <x:v>250000</x:v>
      </x:c>
      <x:c r="Z447" s="59" t="str">
        <x:f>IFERROR(IF(OR($N447="ĐÃ GHÉP - AUTO",$N447="ĐÃ GHÉP - QUY TẮC"),IF($V447="","",IF($T447="THÙNG",$V447,$V447*$F447)),""),"")</x:f>
      </x:c>
      <x:c r="AA447" s="28" t="n">
        <x:f>IFERROR(IF(OR($K447="",$K447=0,$Y447=""),"",($Y447-$K447)/$K447),"")</x:f>
        <x:v>0.041666666666666664</x:v>
      </x:c>
      <x:c r="AB447" s="37" t="str">
        <x:f>IFERROR(IF($N447="CẦN DUYỆT","DUYỆT MAP",IF($N447="CHƯA CÓ GIÁ LẺ","THIẾU GIÁ",IF(OR($K447="",$K447=0,$Y447=""),"OK",IF(ABS(($Y447-$K447)/$K447)&gt;0.15,"LỆCH GIÁ CŨ","OK")))),"OK")</x:f>
        <x:v>OK</x:v>
      </x:c>
      <x:c r="AC447" s="30" t="str">
        <x:v>Ống hút đen phi 6/8</x:v>
      </x:c>
      <x:c r="AD447" s="37" t="str">
        <x:v>HDENP8</x:v>
      </x:c>
      <x:c r="AE447" s="38" t="str">
        <x:v>HDENP8T</x:v>
      </x:c>
      <x:c r="AF447" s="123" t="n">
        <x:v>500</x:v>
      </x:c>
      <x:c r="AG447" s="112" t="str">
        <x:v>g</x:v>
      </x:c>
      <x:c r="AH447" s="112" t="str">
        <x:v>BỊCH</x:v>
      </x:c>
      <x:c r="AI447" s="112" t="str">
        <x:v>500 g / BỊCH</x:v>
      </x:c>
      <x:c r="AJ447" s="120" t="n">
        <x:v>25000</x:v>
      </x:c>
      <x:c r="AK447" s="120" t="n">
        <x:v>25000</x:v>
      </x:c>
      <x:c r="AL447" s="120" t="n">
        <x:v>25000</x:v>
      </x:c>
      <x:c r="AM447" s="112" t="str">
        <x:v>GIỮ NGUYÊN - ĐÃ KHỚP</x:v>
      </x:c>
      <x:c r="AN447" s="126" t="n">
        <x:v>987</x:v>
      </x:c>
      <x:c r="AO447" s="126" t="n">
        <x:v>988</x:v>
      </x:c>
      <x:c r="AP447" s="113" t="str">
        <x:v>10 BỊCH / CÂY</x:v>
      </x:c>
    </x:row>
    <x:row r="448">
      <x:c r="A448" s="71" t="str">
        <x:v>HÚT ĐEN PHI 6</x:v>
      </x:c>
      <x:c r="B448" s="30" t="str">
        <x:v>HÚT ĐEN PHI 6 - CÂY</x:v>
      </x:c>
      <x:c r="C448" s="37" t="str">
        <x:v>HDENP6</x:v>
      </x:c>
      <x:c r="D448" s="37" t="str">
        <x:v>HDENP6T</x:v>
      </x:c>
      <x:c r="E448" s="37" t="str">
        <x:v>HDENP6T</x:v>
      </x:c>
      <x:c r="F448" s="37" t="n">
        <x:v>10</x:v>
      </x:c>
      <x:c r="G448" s="37" t="n">
        <x:v>5</x:v>
      </x:c>
      <x:c r="H448" s="37" t="str">
        <x:v>kg</x:v>
      </x:c>
      <x:c r="I448" s="37" t="str">
        <x:v>CÂY</x:v>
      </x:c>
      <x:c r="J448" s="59" t="n">
        <x:v>0</x:v>
      </x:c>
      <x:c r="K448" s="59" t="n">
        <x:v>240000</x:v>
      </x:c>
      <x:c r="L448" s="59" t="n">
        <x:v>0</x:v>
      </x:c>
      <x:c r="M448" s="37" t="str">
        <x:v>Ống hút</x:v>
      </x:c>
      <x:c r="N448" s="37" t="str">
        <x:v>ĐÃ GHÉP - QUY TẮC</x:v>
      </x:c>
      <x:c r="O448" s="61" t="n">
        <x:v>0.99</x:v>
      </x:c>
      <x:c r="P448" s="37" t="n">
        <x:v>228</x:v>
      </x:c>
      <x:c r="Q448" s="30" t="str">
        <x:v>ong hut ts đen phi 6/8</x:v>
      </x:c>
      <x:c r="R448" s="30" t="str">
        <x:v>cay 10 bich</x:v>
      </x:c>
      <x:c r="S448" s="30" t="str">
        <x:v>bich</x:v>
      </x:c>
      <x:c r="T448" s="37" t="str">
        <x:v>ĐƠN VỊ</x:v>
      </x:c>
      <x:c r="U448" s="59" t="n">
        <x:v>25000</x:v>
      </x:c>
      <x:c r="V448" s="59"/>
      <x:c r="W448" s="117" t="n">
        <x:v>25000</x:v>
      </x:c>
      <x:c r="X448" s="59" t="str">
        <x:f>IFERROR(IF(OR($N448="ĐÃ GHÉP - AUTO",$N448="ĐÃ GHÉP - QUY TẮC"),IF($V448="","",IF($T448="THÙNG",$V448/$F448,$V448)),""),"")</x:f>
      </x:c>
      <x:c r="Y448" s="117" t="n">
        <x:f>IF(OR(W448="",F448=""),"",W448*F448)</x:f>
        <x:v>250000</x:v>
      </x:c>
      <x:c r="Z448" s="59" t="str">
        <x:f>IFERROR(IF(OR($N448="ĐÃ GHÉP - AUTO",$N448="ĐÃ GHÉP - QUY TẮC"),IF($V448="","",IF($T448="THÙNG",$V448,$V448*$F448)),""),"")</x:f>
      </x:c>
      <x:c r="AA448" s="28" t="n">
        <x:f>IFERROR(IF(OR($K448="",$K448=0,$Y448=""),"",($Y448-$K448)/$K448),"")</x:f>
        <x:v>0.041666666666666664</x:v>
      </x:c>
      <x:c r="AB448" s="37" t="str">
        <x:f>IFERROR(IF($N448="CẦN DUYỆT","DUYỆT MAP",IF($N448="CHƯA CÓ GIÁ LẺ","THIẾU GIÁ",IF(OR($K448="",$K448=0,$Y448=""),"OK",IF(ABS(($Y448-$K448)/$K448)&gt;0.15,"LỆCH GIÁ CŨ","OK")))),"OK")</x:f>
        <x:v>OK</x:v>
      </x:c>
      <x:c r="AC448" s="30" t="str">
        <x:v>Ống hút đen phi 6/8</x:v>
      </x:c>
      <x:c r="AD448" s="37" t="str">
        <x:v>HDENP6</x:v>
      </x:c>
      <x:c r="AE448" s="38" t="str">
        <x:v>HDENP6T</x:v>
      </x:c>
      <x:c r="AF448" s="123" t="n">
        <x:v>500</x:v>
      </x:c>
      <x:c r="AG448" s="112" t="str">
        <x:v>g</x:v>
      </x:c>
      <x:c r="AH448" s="112" t="str">
        <x:v>BỊCH</x:v>
      </x:c>
      <x:c r="AI448" s="112" t="str">
        <x:v>500 g / BỊCH</x:v>
      </x:c>
      <x:c r="AJ448" s="120" t="n">
        <x:v>25000</x:v>
      </x:c>
      <x:c r="AK448" s="120" t="n">
        <x:v>25000</x:v>
      </x:c>
      <x:c r="AL448" s="120" t="n">
        <x:v>25000</x:v>
      </x:c>
      <x:c r="AM448" s="112" t="str">
        <x:v>GIỮ NGUYÊN - ĐÃ KHỚP</x:v>
      </x:c>
      <x:c r="AN448" s="126" t="n">
        <x:v>989</x:v>
      </x:c>
      <x:c r="AO448" s="126" t="n">
        <x:v>990</x:v>
      </x:c>
      <x:c r="AP448" s="113" t="str">
        <x:v>10 BỊCH / CÂY</x:v>
      </x:c>
    </x:row>
    <x:row r="449">
      <x:c r="A449" s="71" t="str">
        <x:v>HÚT ĐEN PHI 12</x:v>
      </x:c>
      <x:c r="B449" s="30" t="str">
        <x:v>HÚT ĐEN PHI 12 - CÂY</x:v>
      </x:c>
      <x:c r="C449" s="37" t="str">
        <x:v>HDEP12</x:v>
      </x:c>
      <x:c r="D449" s="37" t="str">
        <x:v>HDEP12T</x:v>
      </x:c>
      <x:c r="E449" s="37" t="str">
        <x:v>HDEP12T</x:v>
      </x:c>
      <x:c r="F449" s="37" t="n">
        <x:v>10</x:v>
      </x:c>
      <x:c r="G449" s="37" t="n">
        <x:v>1</x:v>
      </x:c>
      <x:c r="H449" s="37" t="str">
        <x:v>kg</x:v>
      </x:c>
      <x:c r="I449" s="37" t="str">
        <x:v>CÂY</x:v>
      </x:c>
      <x:c r="J449" s="59" t="n">
        <x:v>0</x:v>
      </x:c>
      <x:c r="K449" s="59" t="n">
        <x:v>240000</x:v>
      </x:c>
      <x:c r="L449" s="59" t="n">
        <x:v>0</x:v>
      </x:c>
      <x:c r="M449" s="37" t="str">
        <x:v>Ống hút</x:v>
      </x:c>
      <x:c r="N449" s="37" t="str">
        <x:v>CHƯA CÓ GIÁ LẺ</x:v>
      </x:c>
      <x:c r="O449" s="61" t="n">
        <x:v>0.763</x:v>
      </x:c>
      <x:c r="P449" s="37"/>
      <x:c r="Q449" s="30"/>
      <x:c r="R449" s="30"/>
      <x:c r="S449" s="30"/>
      <x:c r="T449" s="37"/>
      <x:c r="U449" s="59"/>
      <x:c r="V449" s="59"/>
      <x:c r="W449" s="117" t="n">
        <x:v>25000</x:v>
      </x:c>
      <x:c r="X449" s="59" t="str">
        <x:f>IFERROR(IF(OR($N449="ĐÃ GHÉP - AUTO",$N449="ĐÃ GHÉP - QUY TẮC"),IF($V449="","",IF($T449="THÙNG",$V449/$F449,$V449)),""),"")</x:f>
      </x:c>
      <x:c r="Y449" s="117" t="n">
        <x:f>IF(OR(W449="",F449=""),"",W449*F449)</x:f>
        <x:v>250000</x:v>
      </x:c>
      <x:c r="Z449" s="59" t="str">
        <x:f>IFERROR(IF(OR($N449="ĐÃ GHÉP - AUTO",$N449="ĐÃ GHÉP - QUY TẮC"),IF($V449="","",IF($T449="THÙNG",$V449,$V449*$F449)),""),"")</x:f>
      </x:c>
      <x:c r="AA449" s="28" t="n">
        <x:f>IFERROR(IF(OR($K449="",$K449=0,$Y449=""),"",($Y449-$K449)/$K449),"")</x:f>
        <x:v>0.041666666666666664</x:v>
      </x:c>
      <x:c r="AB449" s="37" t="str">
        <x:f>IFERROR(IF($N449="CẦN DUYỆT","DUYỆT MAP",IF($N449="CHƯA CÓ GIÁ LẺ","THIẾU GIÁ",IF(OR($K449="",$K449=0,$Y449=""),"OK",IF(ABS(($Y449-$K449)/$K449)&gt;0.15,"LỆCH GIÁ CŨ","OK")))),"OK")</x:f>
        <x:v>THIẾU GIÁ</x:v>
      </x:c>
      <x:c r="AC449" s="30" t="str">
        <x:v>Nguồn chỉ có ống hút đen phi 6/8</x:v>
      </x:c>
      <x:c r="AD449" s="37" t="str">
        <x:v>HDEP12</x:v>
      </x:c>
      <x:c r="AE449" s="38" t="str">
        <x:v>HDEP12T</x:v>
      </x:c>
      <x:c r="AF449" s="123" t="n">
        <x:v>500</x:v>
      </x:c>
      <x:c r="AG449" s="112" t="str">
        <x:v>g</x:v>
      </x:c>
      <x:c r="AH449" s="112" t="str">
        <x:v>BỊCH</x:v>
      </x:c>
      <x:c r="AI449" s="112" t="str">
        <x:v>500 g / BỊCH</x:v>
      </x:c>
      <x:c r="AJ449" s="120" t="n">
        <x:v>25000</x:v>
      </x:c>
      <x:c r="AK449" s="120"/>
      <x:c r="AL449" s="120" t="n">
        <x:v>25000</x:v>
      </x:c>
      <x:c r="AM449" s="112" t="str">
        <x:v>BỔ SUNG GIÁ</x:v>
      </x:c>
      <x:c r="AN449" s="126" t="n">
        <x:v>991</x:v>
      </x:c>
      <x:c r="AO449" s="126" t="n">
        <x:v>992</x:v>
      </x:c>
      <x:c r="AP449" s="113" t="str">
        <x:v>10 BỊCH / CÂY</x:v>
      </x:c>
    </x:row>
    <x:row r="450">
      <x:c r="A450" s="71" t="str">
        <x:v>HÚT ĐEN MÀNG PHI 12</x:v>
      </x:c>
      <x:c r="B450" s="30" t="str">
        <x:v>HÚT ĐEN MÀNG PHI 12 - CÂY</x:v>
      </x:c>
      <x:c r="C450" s="37" t="str">
        <x:v>HDEM12</x:v>
      </x:c>
      <x:c r="D450" s="37" t="str">
        <x:v>HDEM12T</x:v>
      </x:c>
      <x:c r="E450" s="37" t="str">
        <x:v>HDEM12T</x:v>
      </x:c>
      <x:c r="F450" s="37" t="n">
        <x:v>10</x:v>
      </x:c>
      <x:c r="G450" s="37" t="n">
        <x:v>5</x:v>
      </x:c>
      <x:c r="H450" s="37" t="str">
        <x:v>kg</x:v>
      </x:c>
      <x:c r="I450" s="37" t="str">
        <x:v>CÂY</x:v>
      </x:c>
      <x:c r="J450" s="59" t="n">
        <x:v>0</x:v>
      </x:c>
      <x:c r="K450" s="59" t="n">
        <x:v>0</x:v>
      </x:c>
      <x:c r="L450" s="59" t="n">
        <x:v>0</x:v>
      </x:c>
      <x:c r="M450" s="37" t="str">
        <x:v>Ống hút</x:v>
      </x:c>
      <x:c r="N450" s="37" t="str">
        <x:v>CHƯA CÓ GIÁ LẺ</x:v>
      </x:c>
      <x:c r="O450" s="61" t="n">
        <x:v>0.66</x:v>
      </x:c>
      <x:c r="P450" s="37"/>
      <x:c r="Q450" s="30"/>
      <x:c r="R450" s="30"/>
      <x:c r="S450" s="30"/>
      <x:c r="T450" s="37"/>
      <x:c r="U450" s="59"/>
      <x:c r="V450" s="59"/>
      <x:c r="W450" s="117" t="n">
        <x:v>30000</x:v>
      </x:c>
      <x:c r="X450" s="59" t="str">
        <x:f>IFERROR(IF(OR($N450="ĐÃ GHÉP - AUTO",$N450="ĐÃ GHÉP - QUY TẮC"),IF($V450="","",IF($T450="THÙNG",$V450/$F450,$V450)),""),"")</x:f>
      </x:c>
      <x:c r="Y450" s="117" t="n">
        <x:f>IF(OR(W450="",F450=""),"",W450*F450)</x:f>
        <x:v>300000</x:v>
      </x:c>
      <x:c r="Z450" s="59" t="str">
        <x:f>IFERROR(IF(OR($N450="ĐÃ GHÉP - AUTO",$N450="ĐÃ GHÉP - QUY TẮC"),IF($V450="","",IF($T450="THÙNG",$V450,$V450*$F450)),""),"")</x:f>
      </x:c>
      <x:c r="AA450" s="28" t="str">
        <x:f>IFERROR(IF(OR($K450="",$K450=0,$Y450=""),"",($Y450-$K450)/$K450),"")</x:f>
      </x:c>
      <x:c r="AB450" s="37" t="str">
        <x:f>IFERROR(IF($N450="CẦN DUYỆT","DUYỆT MAP",IF($N450="CHƯA CÓ GIÁ LẺ","THIẾU GIÁ",IF(OR($K450="",$K450=0,$Y450=""),"OK",IF(ABS(($Y450-$K450)/$K450)&gt;0.15,"LỆCH GIÁ CŨ","OK")))),"OK")</x:f>
        <x:v>THIẾU GIÁ</x:v>
      </x:c>
      <x:c r="AC450" s="30" t="str">
        <x:v>ứng viên gần nhất=ong hut ts đen phi 6/8; score=0.660</x:v>
      </x:c>
      <x:c r="AD450" s="37" t="str">
        <x:v>HDEM12</x:v>
      </x:c>
      <x:c r="AE450" s="38" t="str">
        <x:v>HDEM12T</x:v>
      </x:c>
      <x:c r="AF450" s="123" t="n">
        <x:v>500</x:v>
      </x:c>
      <x:c r="AG450" s="112" t="str">
        <x:v>g</x:v>
      </x:c>
      <x:c r="AH450" s="112" t="str">
        <x:v>BỊCH</x:v>
      </x:c>
      <x:c r="AI450" s="112" t="str">
        <x:v>500 g / BỊCH</x:v>
      </x:c>
      <x:c r="AJ450" s="120" t="n">
        <x:v>30000</x:v>
      </x:c>
      <x:c r="AK450" s="120"/>
      <x:c r="AL450" s="120" t="n">
        <x:v>30000</x:v>
      </x:c>
      <x:c r="AM450" s="112" t="str">
        <x:v>BỔ SUNG GIÁ</x:v>
      </x:c>
      <x:c r="AN450" s="126" t="n">
        <x:v>993</x:v>
      </x:c>
      <x:c r="AO450" s="126" t="n">
        <x:v>994</x:v>
      </x:c>
      <x:c r="AP450" s="113" t="str">
        <x:v>10 BỊCH / CÂY</x:v>
      </x:c>
    </x:row>
    <x:row r="451">
      <x:c r="A451" s="71" t="str">
        <x:v>HÚT ĐEN MÀNG 8</x:v>
      </x:c>
      <x:c r="B451" s="30" t="str">
        <x:v>HÚT ĐEN MÀNG 8 - CÂY</x:v>
      </x:c>
      <x:c r="C451" s="37" t="str">
        <x:v>HDENM8</x:v>
      </x:c>
      <x:c r="D451" s="37" t="str">
        <x:v>HDENM8T</x:v>
      </x:c>
      <x:c r="E451" s="37" t="str">
        <x:v>HDENM8T</x:v>
      </x:c>
      <x:c r="F451" s="37" t="n">
        <x:v>10</x:v>
      </x:c>
      <x:c r="G451" s="37" t="n">
        <x:v>0</x:v>
      </x:c>
      <x:c r="H451" s="37" t="str">
        <x:v>g</x:v>
      </x:c>
      <x:c r="I451" s="37" t="str">
        <x:v>CÂY</x:v>
      </x:c>
      <x:c r="J451" s="59" t="n">
        <x:v>0</x:v>
      </x:c>
      <x:c r="K451" s="59" t="n">
        <x:v>0</x:v>
      </x:c>
      <x:c r="L451" s="59" t="n">
        <x:v>0</x:v>
      </x:c>
      <x:c r="M451" s="37" t="str">
        <x:v>Ống hút</x:v>
      </x:c>
      <x:c r="N451" s="37" t="str">
        <x:v>CHƯA CÓ GIÁ LẺ</x:v>
      </x:c>
      <x:c r="O451" s="61" t="n">
        <x:v>0.463</x:v>
      </x:c>
      <x:c r="P451" s="37"/>
      <x:c r="Q451" s="30"/>
      <x:c r="R451" s="30"/>
      <x:c r="S451" s="30"/>
      <x:c r="T451" s="37"/>
      <x:c r="U451" s="59"/>
      <x:c r="V451" s="59"/>
      <x:c r="W451" s="117" t="n">
        <x:v>30000</x:v>
      </x:c>
      <x:c r="X451" s="59" t="str">
        <x:f>IFERROR(IF(OR($N451="ĐÃ GHÉP - AUTO",$N451="ĐÃ GHÉP - QUY TẮC"),IF($V451="","",IF($T451="THÙNG",$V451/$F451,$V451)),""),"")</x:f>
      </x:c>
      <x:c r="Y451" s="117" t="n">
        <x:f>IF(OR(W451="",F451=""),"",W451*F451)</x:f>
        <x:v>300000</x:v>
      </x:c>
      <x:c r="Z451" s="59" t="str">
        <x:f>IFERROR(IF(OR($N451="ĐÃ GHÉP - AUTO",$N451="ĐÃ GHÉP - QUY TẮC"),IF($V451="","",IF($T451="THÙNG",$V451,$V451*$F451)),""),"")</x:f>
      </x:c>
      <x:c r="AA451" s="28" t="str">
        <x:f>IFERROR(IF(OR($K451="",$K451=0,$Y451=""),"",($Y451-$K451)/$K451),"")</x:f>
      </x:c>
      <x:c r="AB451" s="37" t="str">
        <x:f>IFERROR(IF($N451="CẦN DUYỆT","DUYỆT MAP",IF($N451="CHƯA CÓ GIÁ LẺ","THIẾU GIÁ",IF(OR($K451="",$K451=0,$Y451=""),"OK",IF(ABS(($Y451-$K451)/$K451)&gt;0.15,"LỆCH GIÁ CŨ","OK")))),"OK")</x:f>
        <x:v>THIẾU GIÁ</x:v>
      </x:c>
      <x:c r="AC451" s="30" t="str">
        <x:v>ứng viên gần nhất=ông hut ts trang boc mang; score=0.463</x:v>
      </x:c>
      <x:c r="AD451" s="37" t="str">
        <x:v>HDENM8</x:v>
      </x:c>
      <x:c r="AE451" s="38" t="str">
        <x:v>HDENM8T</x:v>
      </x:c>
      <x:c r="AF451" s="123" t="n">
        <x:v>0</x:v>
      </x:c>
      <x:c r="AG451" s="112" t="str">
        <x:v>g</x:v>
      </x:c>
      <x:c r="AH451" s="112" t="str">
        <x:v>BỊCH</x:v>
      </x:c>
      <x:c r="AI451" s="112" t="str">
        <x:v>0 g / BỊCH</x:v>
      </x:c>
      <x:c r="AJ451" s="120" t="n">
        <x:v>30000</x:v>
      </x:c>
      <x:c r="AK451" s="120"/>
      <x:c r="AL451" s="120" t="n">
        <x:v>30000</x:v>
      </x:c>
      <x:c r="AM451" s="112" t="str">
        <x:v>BỔ SUNG GIÁ</x:v>
      </x:c>
      <x:c r="AN451" s="126" t="n">
        <x:v>995</x:v>
      </x:c>
      <x:c r="AO451" s="126" t="n">
        <x:v>996</x:v>
      </x:c>
      <x:c r="AP451" s="113" t="str">
        <x:v>10 BỊCH / CÂY</x:v>
      </x:c>
    </x:row>
    <x:row r="452">
      <x:c r="A452" s="71" t="str">
        <x:v>HỒNG TRÀ TÂN NAM BẮC</x:v>
      </x:c>
      <x:c r="B452" s="30" t="str">
        <x:v>HỒNG TRÀ TÂN NAM BẮC - THÙNG</x:v>
      </x:c>
      <x:c r="C452" s="37" t="str">
        <x:v>HTRTNB</x:v>
      </x:c>
      <x:c r="D452" s="37" t="str">
        <x:v>HTRTNBT</x:v>
      </x:c>
      <x:c r="E452" s="37" t="str">
        <x:v>HTRTNBT</x:v>
      </x:c>
      <x:c r="F452" s="37" t="n">
        <x:v>50</x:v>
      </x:c>
      <x:c r="G452" s="37" t="n">
        <x:v>20000</x:v>
      </x:c>
      <x:c r="H452" s="37" t="str">
        <x:v>g</x:v>
      </x:c>
      <x:c r="I452" s="37" t="str">
        <x:v>THÙNG</x:v>
      </x:c>
      <x:c r="J452" s="59" t="n">
        <x:v>1330000</x:v>
      </x:c>
      <x:c r="K452" s="59" t="n">
        <x:v>0</x:v>
      </x:c>
      <x:c r="L452" s="59" t="n">
        <x:v>0</x:v>
      </x:c>
      <x:c r="M452" s="37" t="str">
        <x:v>Trà</x:v>
      </x:c>
      <x:c r="N452" s="37" t="str">
        <x:v>ĐÃ GHÉP - AUTO</x:v>
      </x:c>
      <x:c r="O452" s="61" t="n">
        <x:v>0.97</x:v>
      </x:c>
      <x:c r="P452" s="37" t="n">
        <x:v>178</x:v>
      </x:c>
      <x:c r="Q452" s="30" t="str">
        <x:v>Hồng trà túi lọc TNB</x:v>
      </x:c>
      <x:c r="R452" s="30" t="str">
        <x:v>Thùng 50 gói</x:v>
      </x:c>
      <x:c r="S452" s="30" t="str">
        <x:v>gói</x:v>
      </x:c>
      <x:c r="T452" s="37" t="str">
        <x:v>ĐƠN VỊ</x:v>
      </x:c>
      <x:c r="U452" s="59" t="n">
        <x:v>30000</x:v>
      </x:c>
      <x:c r="V452" s="59"/>
      <x:c r="W452" s="117" t="n">
        <x:v>29000</x:v>
      </x:c>
      <x:c r="X452" s="59" t="str">
        <x:f>IFERROR(IF(OR($N452="ĐÃ GHÉP - AUTO",$N452="ĐÃ GHÉP - QUY TẮC"),IF($V452="","",IF($T452="THÙNG",$V452/$F452,$V452)),""),"")</x:f>
      </x:c>
      <x:c r="Y452" s="117" t="n">
        <x:f>IF(OR(W452="",F452=""),"",W452*F452)</x:f>
        <x:v>1450000</x:v>
      </x:c>
      <x:c r="Z452" s="59" t="str">
        <x:f>IFERROR(IF(OR($N452="ĐÃ GHÉP - AUTO",$N452="ĐÃ GHÉP - QUY TẮC"),IF($V452="","",IF($T452="THÙNG",$V452,$V452*$F452)),""),"")</x:f>
      </x:c>
      <x:c r="AA452" s="28" t="str">
        <x:f>IFERROR(IF(OR($K452="",$K452=0,$Y452=""),"",($Y452-$K452)/$K452),"")</x:f>
      </x:c>
      <x:c r="AB452" s="37" t="str">
        <x:f>IFERROR(IF($N452="CẦN DUYỆT","DUYỆT MAP",IF($N452="CHƯA CÓ GIÁ LẺ","THIẾU GIÁ",IF(OR($K452="",$K452=0,$Y452=""),"OK",IF(ABS(($Y452-$K452)/$K452)&gt;0.15,"LỆCH GIÁ CŨ","OK")))),"OK")</x:f>
        <x:v>OK</x:v>
      </x:c>
      <x:c r="AC452" s="30" t="str">
        <x:v>score=0.970; gap=0.112</x:v>
      </x:c>
      <x:c r="AD452" s="37" t="str">
        <x:v>HTRTNB</x:v>
      </x:c>
      <x:c r="AE452" s="38" t="str">
        <x:v>HTRTNBT</x:v>
      </x:c>
      <x:c r="AF452" s="123" t="n">
        <x:v>300</x:v>
      </x:c>
      <x:c r="AG452" s="112" t="str">
        <x:v>g</x:v>
      </x:c>
      <x:c r="AH452" s="112" t="str">
        <x:v>BỊCH</x:v>
      </x:c>
      <x:c r="AI452" s="112" t="str">
        <x:v>300 g / BỊCH</x:v>
      </x:c>
      <x:c r="AJ452" s="120" t="n">
        <x:v>29000</x:v>
      </x:c>
      <x:c r="AK452" s="120" t="n">
        <x:v>30000</x:v>
      </x:c>
      <x:c r="AL452" s="120" t="n">
        <x:v>29000</x:v>
      </x:c>
      <x:c r="AM452" s="112" t="str">
        <x:v>CẬP NHẬT GIÁ</x:v>
      </x:c>
      <x:c r="AN452" s="126" t="n">
        <x:v>997</x:v>
      </x:c>
      <x:c r="AO452" s="126" t="n">
        <x:v>998</x:v>
      </x:c>
      <x:c r="AP452" s="113" t="str">
        <x:v>50 BỊCH / THÙNG</x:v>
      </x:c>
    </x:row>
    <x:row r="453">
      <x:c r="A453" s="71" t="str">
        <x:v>HỒNG TRÀ LỘC PHÁT</x:v>
      </x:c>
      <x:c r="B453" s="30" t="str">
        <x:v>HỒNG TRÀ LỘC PHÁT - THÙNG</x:v>
      </x:c>
      <x:c r="C453" s="37" t="str">
        <x:v>HTRLPH</x:v>
      </x:c>
      <x:c r="D453" s="37" t="str">
        <x:v>HTRLPHT</x:v>
      </x:c>
      <x:c r="E453" s="37" t="str">
        <x:v>HTRLPHT</x:v>
      </x:c>
      <x:c r="F453" s="37" t="n">
        <x:v>12</x:v>
      </x:c>
      <x:c r="G453" s="37" t="n">
        <x:v>13000</x:v>
      </x:c>
      <x:c r="H453" s="37" t="str">
        <x:v>g</x:v>
      </x:c>
      <x:c r="I453" s="37" t="str">
        <x:v>THÙNG</x:v>
      </x:c>
      <x:c r="J453" s="59" t="n">
        <x:v>0</x:v>
      </x:c>
      <x:c r="K453" s="59" t="n">
        <x:v>0</x:v>
      </x:c>
      <x:c r="L453" s="59" t="n">
        <x:v>0</x:v>
      </x:c>
      <x:c r="M453" s="37" t="str">
        <x:v>Trà</x:v>
      </x:c>
      <x:c r="N453" s="37" t="str">
        <x:v>CẦN DUYỆT</x:v>
      </x:c>
      <x:c r="O453" s="61" t="n">
        <x:v>0.733</x:v>
      </x:c>
      <x:c r="P453" s="37" t="n">
        <x:v>168</x:v>
      </x:c>
      <x:c r="Q453" s="30" t="str">
        <x:v>Trà lài Lộc Phát</x:v>
      </x:c>
      <x:c r="R453" s="30" t="str">
        <x:v>Thùng 12 gói</x:v>
      </x:c>
      <x:c r="S453" s="30" t="str">
        <x:v>gói 1kg</x:v>
      </x:c>
      <x:c r="T453" s="37" t="str">
        <x:v>ĐƠN VỊ</x:v>
      </x:c>
      <x:c r="U453" s="59" t="n">
        <x:v>155000</x:v>
      </x:c>
      <x:c r="V453" s="59"/>
      <x:c r="W453" s="117" t="n">
        <x:v>155000</x:v>
      </x:c>
      <x:c r="X453" s="59" t="str">
        <x:f>IFERROR(IF(OR($N453="ĐÃ GHÉP - AUTO",$N453="ĐÃ GHÉP - QUY TẮC"),IF($V453="","",IF($T453="THÙNG",$V453/$F453,$V453)),""),"")</x:f>
      </x:c>
      <x:c r="Y453" s="117" t="n">
        <x:f>IF(OR(W453="",F453=""),"",W453*F453)</x:f>
        <x:v>1860000</x:v>
      </x:c>
      <x:c r="Z453" s="59" t="str">
        <x:f>IFERROR(IF(OR($N453="ĐÃ GHÉP - AUTO",$N453="ĐÃ GHÉP - QUY TẮC"),IF($V453="","",IF($T453="THÙNG",$V453,$V453*$F453)),""),"")</x:f>
      </x:c>
      <x:c r="AA453" s="28" t="str">
        <x:f>IFERROR(IF(OR($K453="",$K453=0,$Y453=""),"",($Y453-$K453)/$K453),"")</x:f>
      </x:c>
      <x:c r="AB453" s="37" t="str">
        <x:f>IFERROR(IF($N453="CẦN DUYỆT","DUYỆT MAP",IF($N453="CHƯA CÓ GIÁ LẺ","THIẾU GIÁ",IF(OR($K453="",$K453=0,$Y453=""),"OK",IF(ABS(($Y453-$K453)/$K453)&gt;0.15,"LỆCH GIÁ CŨ","OK")))),"OK")</x:f>
        <x:v>DUYỆT MAP</x:v>
      </x:c>
      <x:c r="AC453" s="30" t="str">
        <x:v>score=0.733; gap=0.016; phương án 2=Trà đen Lộc Phát</x:v>
      </x:c>
      <x:c r="AD453" s="37" t="str">
        <x:v>HTRLPH</x:v>
      </x:c>
      <x:c r="AE453" s="38" t="str">
        <x:v>HTRLPHT</x:v>
      </x:c>
      <x:c r="AF453" s="123" t="n">
        <x:v>1000</x:v>
      </x:c>
      <x:c r="AG453" s="112" t="str">
        <x:v>g</x:v>
      </x:c>
      <x:c r="AH453" s="112" t="str">
        <x:v>BỊCH</x:v>
      </x:c>
      <x:c r="AI453" s="112" t="str">
        <x:v>1000 g / BỊCH</x:v>
      </x:c>
      <x:c r="AJ453" s="120" t="n">
        <x:v>155000</x:v>
      </x:c>
      <x:c r="AK453" s="120"/>
      <x:c r="AL453" s="120" t="n">
        <x:v>155000</x:v>
      </x:c>
      <x:c r="AM453" s="112" t="str">
        <x:v>BỔ SUNG GIÁ</x:v>
      </x:c>
      <x:c r="AN453" s="126" t="n">
        <x:v>999</x:v>
      </x:c>
      <x:c r="AO453" s="126" t="n">
        <x:v>1000</x:v>
      </x:c>
      <x:c r="AP453" s="113" t="str">
        <x:v>12 BỊCH / THÙNG</x:v>
      </x:c>
    </x:row>
    <x:row r="454">
      <x:c r="A454" s="71" t="str">
        <x:v>HỒNG TRÀ KING</x:v>
      </x:c>
      <x:c r="B454" s="30" t="str">
        <x:v>HỒNG TRÀ KING - BAO</x:v>
      </x:c>
      <x:c r="C454" s="37" t="str">
        <x:v>HTRKIG</x:v>
      </x:c>
      <x:c r="D454" s="37" t="str">
        <x:v>HTRKIGT</x:v>
      </x:c>
      <x:c r="E454" s="37" t="str">
        <x:v>HTRKIGT</x:v>
      </x:c>
      <x:c r="F454" s="37" t="n">
        <x:v>30</x:v>
      </x:c>
      <x:c r="G454" s="37" t="n">
        <x:v>30</x:v>
      </x:c>
      <x:c r="H454" s="37" t="str">
        <x:v>kg</x:v>
      </x:c>
      <x:c r="I454" s="37" t="str">
        <x:v>BAO</x:v>
      </x:c>
      <x:c r="J454" s="59" t="n">
        <x:v>0</x:v>
      </x:c>
      <x:c r="K454" s="59" t="n">
        <x:v>0</x:v>
      </x:c>
      <x:c r="L454" s="59" t="n">
        <x:v>0</x:v>
      </x:c>
      <x:c r="M454" s="37" t="str">
        <x:v>Trà</x:v>
      </x:c>
      <x:c r="N454" s="37" t="str">
        <x:v>ĐÃ GHÉP - AUTO</x:v>
      </x:c>
      <x:c r="O454" s="61" t="n">
        <x:v>0.93</x:v>
      </x:c>
      <x:c r="P454" s="37" t="n">
        <x:v>165</x:v>
      </x:c>
      <x:c r="Q454" s="30" t="str">
        <x:v>Hồng Trà King</x:v>
      </x:c>
      <x:c r="R454" s="30" t="str"/>
      <x:c r="S454" s="30" t="str">
        <x:v>gói 1kg</x:v>
      </x:c>
      <x:c r="T454" s="37" t="str">
        <x:v>ĐƠN VỊ</x:v>
      </x:c>
      <x:c r="U454" s="59" t="n">
        <x:v>118000</x:v>
      </x:c>
      <x:c r="V454" s="59"/>
      <x:c r="W454" s="117" t="n">
        <x:v>120000</x:v>
      </x:c>
      <x:c r="X454" s="59" t="str">
        <x:f>IFERROR(IF(OR($N454="ĐÃ GHÉP - AUTO",$N454="ĐÃ GHÉP - QUY TẮC"),IF($V454="","",IF($T454="THÙNG",$V454/$F454,$V454)),""),"")</x:f>
      </x:c>
      <x:c r="Y454" s="117" t="n">
        <x:f>IF(OR(W454="",F454=""),"",W454*F454)</x:f>
        <x:v>3600000</x:v>
      </x:c>
      <x:c r="Z454" s="59" t="str">
        <x:f>IFERROR(IF(OR($N454="ĐÃ GHÉP - AUTO",$N454="ĐÃ GHÉP - QUY TẮC"),IF($V454="","",IF($T454="THÙNG",$V454,$V454*$F454)),""),"")</x:f>
      </x:c>
      <x:c r="AA454" s="28" t="str">
        <x:f>IFERROR(IF(OR($K454="",$K454=0,$Y454=""),"",($Y454-$K454)/$K454),"")</x:f>
      </x:c>
      <x:c r="AB454" s="37" t="str">
        <x:f>IFERROR(IF($N454="CẦN DUYỆT","DUYỆT MAP",IF($N454="CHƯA CÓ GIÁ LẺ","THIẾU GIÁ",IF(OR($K454="",$K454=0,$Y454=""),"OK",IF(ABS(($Y454-$K454)/$K454)&gt;0.15,"LỆCH GIÁ CŨ","OK")))),"OK")</x:f>
        <x:v>OK</x:v>
      </x:c>
      <x:c r="AC454" s="30" t="str">
        <x:v>score=0.930; gap=0.223</x:v>
      </x:c>
      <x:c r="AD454" s="37" t="str">
        <x:v>HTRKIG</x:v>
      </x:c>
      <x:c r="AE454" s="38" t="str">
        <x:v>HTRKIGT</x:v>
      </x:c>
      <x:c r="AF454" s="123" t="n">
        <x:v>0</x:v>
      </x:c>
      <x:c r="AG454" s="112" t="str">
        <x:v>kg</x:v>
      </x:c>
      <x:c r="AH454" s="112" t="str">
        <x:v>BỊCH</x:v>
      </x:c>
      <x:c r="AI454" s="112" t="str">
        <x:v>0 kg / BỊCH</x:v>
      </x:c>
      <x:c r="AJ454" s="120" t="n">
        <x:v>120000</x:v>
      </x:c>
      <x:c r="AK454" s="120" t="n">
        <x:v>118000</x:v>
      </x:c>
      <x:c r="AL454" s="120" t="n">
        <x:v>120000</x:v>
      </x:c>
      <x:c r="AM454" s="112" t="str">
        <x:v>CẬP NHẬT GIÁ</x:v>
      </x:c>
      <x:c r="AN454" s="126" t="n">
        <x:v>1001</x:v>
      </x:c>
      <x:c r="AO454" s="126" t="n">
        <x:v>1002</x:v>
      </x:c>
      <x:c r="AP454" s="113" t="str">
        <x:v>30 BỊCH / BAO</x:v>
      </x:c>
    </x:row>
    <x:row r="455">
      <x:c r="A455" s="71" t="str">
        <x:v>COZY TÚI LỌC DÂU</x:v>
      </x:c>
      <x:c r="B455" s="30" t="str">
        <x:v>COZY TÚI LỌC DÂU - THÙNG</x:v>
      </x:c>
      <x:c r="C455" s="37" t="str">
        <x:v>COTLDA</x:v>
      </x:c>
      <x:c r="D455" s="37" t="str">
        <x:v>COTLDAT</x:v>
      </x:c>
      <x:c r="E455" s="37" t="str">
        <x:v>COTLDAT</x:v>
      </x:c>
      <x:c r="F455" s="37" t="n">
        <x:v>36</x:v>
      </x:c>
      <x:c r="G455" s="37" t="n">
        <x:v>5000</x:v>
      </x:c>
      <x:c r="H455" s="37" t="str">
        <x:v>g</x:v>
      </x:c>
      <x:c r="I455" s="37" t="str">
        <x:v>THÙNG</x:v>
      </x:c>
      <x:c r="J455" s="59" t="n">
        <x:v>0</x:v>
      </x:c>
      <x:c r="K455" s="59" t="n">
        <x:v>0</x:v>
      </x:c>
      <x:c r="L455" s="59" t="n">
        <x:v>0</x:v>
      </x:c>
      <x:c r="M455" s="37" t="str">
        <x:v>Trà</x:v>
      </x:c>
      <x:c r="N455" s="37" t="str">
        <x:v>ĐÃ GHÉP - AUTO</x:v>
      </x:c>
      <x:c r="O455" s="61" t="n">
        <x:v>0.859</x:v>
      </x:c>
      <x:c r="P455" s="37" t="n">
        <x:v>187</x:v>
      </x:c>
      <x:c r="Q455" s="30" t="str">
        <x:v>Trà Cozy túi lọc</x:v>
      </x:c>
      <x:c r="R455" s="30" t="str">
        <x:v>Thùng 36 hộp</x:v>
      </x:c>
      <x:c r="S455" s="30" t="str">
        <x:v>hộp</x:v>
      </x:c>
      <x:c r="T455" s="37" t="str">
        <x:v>ĐƠN VỊ</x:v>
      </x:c>
      <x:c r="U455" s="59" t="n">
        <x:v>38000</x:v>
      </x:c>
      <x:c r="V455" s="59"/>
      <x:c r="W455" s="117" t="n">
        <x:v>39000</x:v>
      </x:c>
      <x:c r="X455" s="59" t="str">
        <x:f>IFERROR(IF(OR($N455="ĐÃ GHÉP - AUTO",$N455="ĐÃ GHÉP - QUY TẮC"),IF($V455="","",IF($T455="THÙNG",$V455/$F455,$V455)),""),"")</x:f>
      </x:c>
      <x:c r="Y455" s="117" t="n">
        <x:f>IF(OR(W455="",F455=""),"",W455*F455)</x:f>
        <x:v>1404000</x:v>
      </x:c>
      <x:c r="Z455" s="59" t="str">
        <x:f>IFERROR(IF(OR($N455="ĐÃ GHÉP - AUTO",$N455="ĐÃ GHÉP - QUY TẮC"),IF($V455="","",IF($T455="THÙNG",$V455,$V455*$F455)),""),"")</x:f>
      </x:c>
      <x:c r="AA455" s="28" t="str">
        <x:f>IFERROR(IF(OR($K455="",$K455=0,$Y455=""),"",($Y455-$K455)/$K455),"")</x:f>
      </x:c>
      <x:c r="AB455" s="37" t="str">
        <x:f>IFERROR(IF($N455="CẦN DUYỆT","DUYỆT MAP",IF($N455="CHƯA CÓ GIÁ LẺ","THIẾU GIÁ",IF(OR($K455="",$K455=0,$Y455=""),"OK",IF(ABS(($Y455-$K455)/$K455)&gt;0.15,"LỆCH GIÁ CŨ","OK")))),"OK")</x:f>
        <x:v>OK</x:v>
      </x:c>
      <x:c r="AC455" s="30" t="str">
        <x:v>score=0.859; gap=0.352</x:v>
      </x:c>
      <x:c r="AD455" s="37" t="str">
        <x:v>COTLDA</x:v>
      </x:c>
      <x:c r="AE455" s="38" t="str">
        <x:v>COTLDAT</x:v>
      </x:c>
      <x:c r="AF455" s="123" t="n">
        <x:v>10</x:v>
      </x:c>
      <x:c r="AG455" s="112" t="str">
        <x:v>g</x:v>
      </x:c>
      <x:c r="AH455" s="112" t="str">
        <x:v>HỘP</x:v>
      </x:c>
      <x:c r="AI455" s="112" t="str">
        <x:v>10 g / HỘP</x:v>
      </x:c>
      <x:c r="AJ455" s="120" t="n">
        <x:v>39000</x:v>
      </x:c>
      <x:c r="AK455" s="120" t="n">
        <x:v>38000</x:v>
      </x:c>
      <x:c r="AL455" s="120" t="n">
        <x:v>39000</x:v>
      </x:c>
      <x:c r="AM455" s="112" t="str">
        <x:v>CẬP NHẬT GIÁ</x:v>
      </x:c>
      <x:c r="AN455" s="126" t="n">
        <x:v>1005</x:v>
      </x:c>
      <x:c r="AO455" s="126" t="n">
        <x:v>1006</x:v>
      </x:c>
      <x:c r="AP455" s="113" t="str">
        <x:v>36 HỘP / THÙNG</x:v>
      </x:c>
    </x:row>
    <x:row r="456">
      <x:c r="A456" s="71" t="str">
        <x:v>HẠT THỦY TINH YAUOT</x:v>
      </x:c>
      <x:c r="B456" s="30" t="str">
        <x:v>HẠT THỦY TINH YAUOT - THÙNG</x:v>
      </x:c>
      <x:c r="C456" s="37" t="str">
        <x:v>HTTYAU</x:v>
      </x:c>
      <x:c r="D456" s="37" t="str">
        <x:v>HTTYAUT</x:v>
      </x:c>
      <x:c r="E456" s="37" t="str">
        <x:v>HTTYAUT</x:v>
      </x:c>
      <x:c r="F456" s="37" t="n">
        <x:v>4</x:v>
      </x:c>
      <x:c r="G456" s="37" t="n">
        <x:v>16</x:v>
      </x:c>
      <x:c r="H456" s="37" t="str">
        <x:v>kg</x:v>
      </x:c>
      <x:c r="I456" s="37" t="str">
        <x:v>THÙNG</x:v>
      </x:c>
      <x:c r="J456" s="59" t="n">
        <x:v>0</x:v>
      </x:c>
      <x:c r="K456" s="59" t="n">
        <x:v>0</x:v>
      </x:c>
      <x:c r="L456" s="59" t="n">
        <x:v>0</x:v>
      </x:c>
      <x:c r="M456" s="37" t="str">
        <x:v>Khác</x:v>
      </x:c>
      <x:c r="N456" s="37" t="str">
        <x:v>CHƯA CÓ GIÁ LẺ</x:v>
      </x:c>
      <x:c r="O456" s="61" t="n">
        <x:v>0.512</x:v>
      </x:c>
      <x:c r="P456" s="37"/>
      <x:c r="Q456" s="30"/>
      <x:c r="R456" s="30"/>
      <x:c r="S456" s="30"/>
      <x:c r="T456" s="37"/>
      <x:c r="U456" s="59"/>
      <x:c r="V456" s="59"/>
      <x:c r="W456" s="117" t="n">
        <x:v>200000</x:v>
      </x:c>
      <x:c r="X456" s="59" t="str">
        <x:f>IFERROR(IF(OR($N456="ĐÃ GHÉP - AUTO",$N456="ĐÃ GHÉP - QUY TẮC"),IF($V456="","",IF($T456="THÙNG",$V456/$F456,$V456)),""),"")</x:f>
      </x:c>
      <x:c r="Y456" s="117" t="n">
        <x:f>IF(OR(W456="",F456=""),"",W456*F456)</x:f>
        <x:v>800000</x:v>
      </x:c>
      <x:c r="Z456" s="59" t="str">
        <x:f>IFERROR(IF(OR($N456="ĐÃ GHÉP - AUTO",$N456="ĐÃ GHÉP - QUY TẮC"),IF($V456="","",IF($T456="THÙNG",$V456,$V456*$F456)),""),"")</x:f>
      </x:c>
      <x:c r="AA456" s="28" t="str">
        <x:f>IFERROR(IF(OR($K456="",$K456=0,$Y456=""),"",($Y456-$K456)/$K456),"")</x:f>
      </x:c>
      <x:c r="AB456" s="37" t="str">
        <x:f>IFERROR(IF($N456="CẦN DUYỆT","DUYỆT MAP",IF($N456="CHƯA CÓ GIÁ LẺ","THIẾU GIÁ",IF(OR($K456="",$K456=0,$Y456=""),"OK",IF(ABS(($Y456-$K456)/$K456)&gt;0.15,"LỆCH GIÁ CŨ","OK")))),"OK")</x:f>
        <x:v>THIẾU GIÁ</x:v>
      </x:c>
      <x:c r="AC456" s="30" t="str">
        <x:v>ứng viên gần nhất=Thủy Tinh Hùng Chương; score=0.512</x:v>
      </x:c>
      <x:c r="AD456" s="37" t="str">
        <x:v>HTTYAU</x:v>
      </x:c>
      <x:c r="AE456" s="38" t="str">
        <x:v>HTTYAUT</x:v>
      </x:c>
      <x:c r="AF456" s="123" t="n">
        <x:v>3</x:v>
      </x:c>
      <x:c r="AG456" s="112" t="str">
        <x:v>kg</x:v>
      </x:c>
      <x:c r="AH456" s="112" t="str">
        <x:v>HỦ</x:v>
      </x:c>
      <x:c r="AI456" s="112" t="str">
        <x:v>3 kg / HỦ</x:v>
      </x:c>
      <x:c r="AJ456" s="120" t="n">
        <x:v>200000</x:v>
      </x:c>
      <x:c r="AK456" s="120"/>
      <x:c r="AL456" s="120" t="n">
        <x:v>200000</x:v>
      </x:c>
      <x:c r="AM456" s="112" t="str">
        <x:v>BỔ SUNG GIÁ</x:v>
      </x:c>
      <x:c r="AN456" s="126" t="n">
        <x:v>1009</x:v>
      </x:c>
      <x:c r="AO456" s="126" t="n">
        <x:v>1010</x:v>
      </x:c>
      <x:c r="AP456" s="113" t="str">
        <x:v>4 HỦ / THÙNG</x:v>
      </x:c>
    </x:row>
    <x:row r="457">
      <x:c r="A457" s="71" t="str">
        <x:v>HẠT THỦY TINH VIỆT QUỐC</x:v>
      </x:c>
      <x:c r="B457" s="30" t="str">
        <x:v>HẠT THỦY TINH VIỆT QUỐC - THÙNG</x:v>
      </x:c>
      <x:c r="C457" s="37" t="str">
        <x:v>HTTVQU</x:v>
      </x:c>
      <x:c r="D457" s="37" t="str">
        <x:v>HTTVQUT</x:v>
      </x:c>
      <x:c r="E457" s="37" t="str">
        <x:v>HTTVQUT</x:v>
      </x:c>
      <x:c r="F457" s="37" t="n">
        <x:v>4</x:v>
      </x:c>
      <x:c r="G457" s="37" t="n">
        <x:v>13</x:v>
      </x:c>
      <x:c r="H457" s="37" t="str">
        <x:v>kg</x:v>
      </x:c>
      <x:c r="I457" s="37" t="str">
        <x:v>THÙNG</x:v>
      </x:c>
      <x:c r="J457" s="59" t="n">
        <x:v>0</x:v>
      </x:c>
      <x:c r="K457" s="59" t="n">
        <x:v>0</x:v>
      </x:c>
      <x:c r="L457" s="59" t="n">
        <x:v>0</x:v>
      </x:c>
      <x:c r="M457" s="37" t="str">
        <x:v>Khác</x:v>
      </x:c>
      <x:c r="N457" s="37" t="str">
        <x:v>CHƯA CÓ GIÁ LẺ</x:v>
      </x:c>
      <x:c r="O457" s="61" t="n">
        <x:v>0.587</x:v>
      </x:c>
      <x:c r="P457" s="37"/>
      <x:c r="Q457" s="30"/>
      <x:c r="R457" s="30"/>
      <x:c r="S457" s="30"/>
      <x:c r="T457" s="37"/>
      <x:c r="U457" s="59"/>
      <x:c r="V457" s="59"/>
      <x:c r="W457" s="117" t="n">
        <x:v>200000</x:v>
      </x:c>
      <x:c r="X457" s="59" t="str">
        <x:f>IFERROR(IF(OR($N457="ĐÃ GHÉP - AUTO",$N457="ĐÃ GHÉP - QUY TẮC"),IF($V457="","",IF($T457="THÙNG",$V457/$F457,$V457)),""),"")</x:f>
      </x:c>
      <x:c r="Y457" s="117" t="n">
        <x:f>IF(OR(W457="",F457=""),"",W457*F457)</x:f>
        <x:v>800000</x:v>
      </x:c>
      <x:c r="Z457" s="59" t="str">
        <x:f>IFERROR(IF(OR($N457="ĐÃ GHÉP - AUTO",$N457="ĐÃ GHÉP - QUY TẮC"),IF($V457="","",IF($T457="THÙNG",$V457,$V457*$F457)),""),"")</x:f>
      </x:c>
      <x:c r="AA457" s="28" t="str">
        <x:f>IFERROR(IF(OR($K457="",$K457=0,$Y457=""),"",($Y457-$K457)/$K457),"")</x:f>
      </x:c>
      <x:c r="AB457" s="37" t="str">
        <x:f>IFERROR(IF($N457="CẦN DUYỆT","DUYỆT MAP",IF($N457="CHƯA CÓ GIÁ LẺ","THIẾU GIÁ",IF(OR($K457="",$K457=0,$Y457=""),"OK",IF(ABS(($Y457-$K457)/$K457)&gt;0.15,"LỆCH GIÁ CŨ","OK")))),"OK")</x:f>
        <x:v>THIẾU GIÁ</x:v>
      </x:c>
      <x:c r="AC457" s="30" t="str">
        <x:v>ứng viên gần nhất=Sinh Tố Gold Việt Quốc; score=0.587</x:v>
      </x:c>
      <x:c r="AD457" s="37" t="str">
        <x:v>HTTVQU</x:v>
      </x:c>
      <x:c r="AE457" s="38" t="str">
        <x:v>HTTVQUT</x:v>
      </x:c>
      <x:c r="AF457" s="123" t="n">
        <x:v>3</x:v>
      </x:c>
      <x:c r="AG457" s="112" t="str">
        <x:v>kg</x:v>
      </x:c>
      <x:c r="AH457" s="112" t="str">
        <x:v>HỦ</x:v>
      </x:c>
      <x:c r="AI457" s="112" t="str">
        <x:v>3 kg / HỦ</x:v>
      </x:c>
      <x:c r="AJ457" s="120" t="n">
        <x:v>200000</x:v>
      </x:c>
      <x:c r="AK457" s="120"/>
      <x:c r="AL457" s="120" t="n">
        <x:v>200000</x:v>
      </x:c>
      <x:c r="AM457" s="112" t="str">
        <x:v>BỔ SUNG GIÁ</x:v>
      </x:c>
      <x:c r="AN457" s="126" t="n">
        <x:v>1011</x:v>
      </x:c>
      <x:c r="AO457" s="126" t="n">
        <x:v>1012</x:v>
      </x:c>
      <x:c r="AP457" s="113" t="str">
        <x:v>4 HỦ / THÙNG</x:v>
      </x:c>
    </x:row>
    <x:row r="458">
      <x:c r="A458" s="71" t="str">
        <x:v>HẠT THỦY TINH NHO</x:v>
      </x:c>
      <x:c r="B458" s="30" t="str">
        <x:v>HẠT THỦY TINH NHO - THÙNG</x:v>
      </x:c>
      <x:c r="C458" s="37" t="str">
        <x:v>HTTNHO</x:v>
      </x:c>
      <x:c r="D458" s="37" t="str">
        <x:v>HTTNHOT</x:v>
      </x:c>
      <x:c r="E458" s="37" t="str">
        <x:v>HTTNHOT</x:v>
      </x:c>
      <x:c r="F458" s="37" t="n">
        <x:v>4</x:v>
      </x:c>
      <x:c r="G458" s="37" t="n">
        <x:v>12</x:v>
      </x:c>
      <x:c r="H458" s="37" t="str">
        <x:v>kg</x:v>
      </x:c>
      <x:c r="I458" s="37" t="str">
        <x:v>THÙNG</x:v>
      </x:c>
      <x:c r="J458" s="59" t="n">
        <x:v>0</x:v>
      </x:c>
      <x:c r="K458" s="59" t="n">
        <x:v>0</x:v>
      </x:c>
      <x:c r="L458" s="59" t="n">
        <x:v>0</x:v>
      </x:c>
      <x:c r="M458" s="37" t="str">
        <x:v>Khác</x:v>
      </x:c>
      <x:c r="N458" s="37" t="str">
        <x:v>CHƯA CÓ GIÁ LẺ</x:v>
      </x:c>
      <x:c r="O458" s="61" t="n">
        <x:v>0.529</x:v>
      </x:c>
      <x:c r="P458" s="37"/>
      <x:c r="Q458" s="30"/>
      <x:c r="R458" s="30"/>
      <x:c r="S458" s="30"/>
      <x:c r="T458" s="37"/>
      <x:c r="U458" s="59"/>
      <x:c r="V458" s="59"/>
      <x:c r="W458" s="117" t="n">
        <x:v>200000</x:v>
      </x:c>
      <x:c r="X458" s="59" t="str">
        <x:f>IFERROR(IF(OR($N458="ĐÃ GHÉP - AUTO",$N458="ĐÃ GHÉP - QUY TẮC"),IF($V458="","",IF($T458="THÙNG",$V458/$F458,$V458)),""),"")</x:f>
      </x:c>
      <x:c r="Y458" s="117" t="n">
        <x:f>IF(OR(W458="",F458=""),"",W458*F458)</x:f>
        <x:v>800000</x:v>
      </x:c>
      <x:c r="Z458" s="59" t="str">
        <x:f>IFERROR(IF(OR($N458="ĐÃ GHÉP - AUTO",$N458="ĐÃ GHÉP - QUY TẮC"),IF($V458="","",IF($T458="THÙNG",$V458,$V458*$F458)),""),"")</x:f>
      </x:c>
      <x:c r="AA458" s="28" t="str">
        <x:f>IFERROR(IF(OR($K458="",$K458=0,$Y458=""),"",($Y458-$K458)/$K458),"")</x:f>
      </x:c>
      <x:c r="AB458" s="37" t="str">
        <x:f>IFERROR(IF($N458="CẦN DUYỆT","DUYỆT MAP",IF($N458="CHƯA CÓ GIÁ LẺ","THIẾU GIÁ",IF(OR($K458="",$K458=0,$Y458=""),"OK",IF(ABS(($Y458-$K458)/$K458)&gt;0.15,"LỆCH GIÁ CŨ","OK")))),"OK")</x:f>
        <x:v>THIẾU GIÁ</x:v>
      </x:c>
      <x:c r="AC458" s="30" t="str">
        <x:v>ứng viên gần nhất=Thủy Tinh Hùng Chương; score=0.529</x:v>
      </x:c>
      <x:c r="AD458" s="37" t="str">
        <x:v>HTTNHO</x:v>
      </x:c>
      <x:c r="AE458" s="38" t="str">
        <x:v>HTTNHOT</x:v>
      </x:c>
      <x:c r="AF458" s="123" t="n">
        <x:v>3</x:v>
      </x:c>
      <x:c r="AG458" s="112" t="str">
        <x:v>kg</x:v>
      </x:c>
      <x:c r="AH458" s="112" t="str">
        <x:v>HỦ</x:v>
      </x:c>
      <x:c r="AI458" s="112" t="str">
        <x:v>3 kg / HỦ</x:v>
      </x:c>
      <x:c r="AJ458" s="120" t="n">
        <x:v>200000</x:v>
      </x:c>
      <x:c r="AK458" s="120"/>
      <x:c r="AL458" s="120" t="n">
        <x:v>200000</x:v>
      </x:c>
      <x:c r="AM458" s="112" t="str">
        <x:v>BỔ SUNG GIÁ</x:v>
      </x:c>
      <x:c r="AN458" s="126" t="n">
        <x:v>1013</x:v>
      </x:c>
      <x:c r="AO458" s="126" t="n">
        <x:v>1014</x:v>
      </x:c>
      <x:c r="AP458" s="113" t="str">
        <x:v>4 HỦ / THÙNG</x:v>
      </x:c>
    </x:row>
    <x:row r="459">
      <x:c r="A459" s="71" t="str">
        <x:v>HẠT THỦY TINH ĐÀO</x:v>
      </x:c>
      <x:c r="B459" s="30" t="str">
        <x:v>HẠT THỦY TINH ĐÀO - THÙNG</x:v>
      </x:c>
      <x:c r="C459" s="37" t="str">
        <x:v>HTTDAO</x:v>
      </x:c>
      <x:c r="D459" s="37" t="str">
        <x:v>HTTDAOT</x:v>
      </x:c>
      <x:c r="E459" s="37" t="str">
        <x:v>HTTDAOT</x:v>
      </x:c>
      <x:c r="F459" s="37" t="n">
        <x:v>4</x:v>
      </x:c>
      <x:c r="G459" s="37" t="n">
        <x:v>12</x:v>
      </x:c>
      <x:c r="H459" s="37" t="str">
        <x:v>kg</x:v>
      </x:c>
      <x:c r="I459" s="37" t="str">
        <x:v>THÙNG</x:v>
      </x:c>
      <x:c r="J459" s="59" t="n">
        <x:v>0</x:v>
      </x:c>
      <x:c r="K459" s="59" t="n">
        <x:v>0</x:v>
      </x:c>
      <x:c r="L459" s="59" t="n">
        <x:v>0</x:v>
      </x:c>
      <x:c r="M459" s="37" t="str">
        <x:v>Khác</x:v>
      </x:c>
      <x:c r="N459" s="37" t="str">
        <x:v>CHƯA CÓ GIÁ LẺ</x:v>
      </x:c>
      <x:c r="O459" s="61" t="n">
        <x:v>0.516</x:v>
      </x:c>
      <x:c r="P459" s="37"/>
      <x:c r="Q459" s="30"/>
      <x:c r="R459" s="30"/>
      <x:c r="S459" s="30"/>
      <x:c r="T459" s="37"/>
      <x:c r="U459" s="59"/>
      <x:c r="V459" s="59"/>
      <x:c r="W459" s="117" t="n">
        <x:v>200000</x:v>
      </x:c>
      <x:c r="X459" s="59" t="str">
        <x:f>IFERROR(IF(OR($N459="ĐÃ GHÉP - AUTO",$N459="ĐÃ GHÉP - QUY TẮC"),IF($V459="","",IF($T459="THÙNG",$V459/$F459,$V459)),""),"")</x:f>
      </x:c>
      <x:c r="Y459" s="117" t="n">
        <x:f>IF(OR(W459="",F459=""),"",W459*F459)</x:f>
        <x:v>800000</x:v>
      </x:c>
      <x:c r="Z459" s="59" t="str">
        <x:f>IFERROR(IF(OR($N459="ĐÃ GHÉP - AUTO",$N459="ĐÃ GHÉP - QUY TẮC"),IF($V459="","",IF($T459="THÙNG",$V459,$V459*$F459)),""),"")</x:f>
      </x:c>
      <x:c r="AA459" s="28" t="str">
        <x:f>IFERROR(IF(OR($K459="",$K459=0,$Y459=""),"",($Y459-$K459)/$K459),"")</x:f>
      </x:c>
      <x:c r="AB459" s="37" t="str">
        <x:f>IFERROR(IF($N459="CẦN DUYỆT","DUYỆT MAP",IF($N459="CHƯA CÓ GIÁ LẺ","THIẾU GIÁ",IF(OR($K459="",$K459=0,$Y459=""),"OK",IF(ABS(($Y459-$K459)/$K459)&gt;0.15,"LỆCH GIÁ CŨ","OK")))),"OK")</x:f>
        <x:v>THIẾU GIÁ</x:v>
      </x:c>
      <x:c r="AC459" s="30" t="str">
        <x:v>ứng viên gần nhất=Thủy Tinh Hùng Chương; score=0.516</x:v>
      </x:c>
      <x:c r="AD459" s="37" t="str">
        <x:v>HTTDAO</x:v>
      </x:c>
      <x:c r="AE459" s="38" t="str">
        <x:v>HTTDAOT</x:v>
      </x:c>
      <x:c r="AF459" s="123" t="n">
        <x:v>3</x:v>
      </x:c>
      <x:c r="AG459" s="112" t="str">
        <x:v>kg</x:v>
      </x:c>
      <x:c r="AH459" s="112" t="str">
        <x:v>HỦ</x:v>
      </x:c>
      <x:c r="AI459" s="112" t="str">
        <x:v>3 kg / HỦ</x:v>
      </x:c>
      <x:c r="AJ459" s="120" t="n">
        <x:v>200000</x:v>
      </x:c>
      <x:c r="AK459" s="120"/>
      <x:c r="AL459" s="120" t="n">
        <x:v>200000</x:v>
      </x:c>
      <x:c r="AM459" s="112" t="str">
        <x:v>BỔ SUNG GIÁ</x:v>
      </x:c>
      <x:c r="AN459" s="126" t="n">
        <x:v>1015</x:v>
      </x:c>
      <x:c r="AO459" s="126" t="n">
        <x:v>1016</x:v>
      </x:c>
      <x:c r="AP459" s="113" t="str">
        <x:v>4 HỦ / THÙNG</x:v>
      </x:c>
    </x:row>
    <x:row r="460">
      <x:c r="A460" s="71" t="str">
        <x:v>HẠT THỦY TINH DƯA LƯỚI</x:v>
      </x:c>
      <x:c r="B460" s="30" t="str">
        <x:v>HẠT THỦY TINH DƯA LƯỚI - THÙNG</x:v>
      </x:c>
      <x:c r="C460" s="37" t="str">
        <x:v>HTTDLU</x:v>
      </x:c>
      <x:c r="D460" s="37" t="str">
        <x:v>HTTDLUT</x:v>
      </x:c>
      <x:c r="E460" s="37" t="str">
        <x:v>HTTDLUT</x:v>
      </x:c>
      <x:c r="F460" s="37" t="n">
        <x:v>4</x:v>
      </x:c>
      <x:c r="G460" s="37" t="n">
        <x:v>12</x:v>
      </x:c>
      <x:c r="H460" s="37" t="str">
        <x:v>kg</x:v>
      </x:c>
      <x:c r="I460" s="37" t="str">
        <x:v>THÙNG</x:v>
      </x:c>
      <x:c r="J460" s="59" t="n">
        <x:v>0</x:v>
      </x:c>
      <x:c r="K460" s="59" t="n">
        <x:v>0</x:v>
      </x:c>
      <x:c r="L460" s="59" t="n">
        <x:v>0</x:v>
      </x:c>
      <x:c r="M460" s="37" t="str">
        <x:v>Khác</x:v>
      </x:c>
      <x:c r="N460" s="37" t="str">
        <x:v>CHƯA CÓ GIÁ LẺ</x:v>
      </x:c>
      <x:c r="O460" s="61" t="n">
        <x:v>0.512</x:v>
      </x:c>
      <x:c r="P460" s="37"/>
      <x:c r="Q460" s="30"/>
      <x:c r="R460" s="30"/>
      <x:c r="S460" s="30"/>
      <x:c r="T460" s="37"/>
      <x:c r="U460" s="59"/>
      <x:c r="V460" s="59"/>
      <x:c r="W460" s="117" t="n">
        <x:v>200000</x:v>
      </x:c>
      <x:c r="X460" s="59" t="str">
        <x:f>IFERROR(IF(OR($N460="ĐÃ GHÉP - AUTO",$N460="ĐÃ GHÉP - QUY TẮC"),IF($V460="","",IF($T460="THÙNG",$V460/$F460,$V460)),""),"")</x:f>
      </x:c>
      <x:c r="Y460" s="117" t="n">
        <x:f>IF(OR(W460="",F460=""),"",W460*F460)</x:f>
        <x:v>800000</x:v>
      </x:c>
      <x:c r="Z460" s="59" t="str">
        <x:f>IFERROR(IF(OR($N460="ĐÃ GHÉP - AUTO",$N460="ĐÃ GHÉP - QUY TẮC"),IF($V460="","",IF($T460="THÙNG",$V460,$V460*$F460)),""),"")</x:f>
      </x:c>
      <x:c r="AA460" s="28" t="str">
        <x:f>IFERROR(IF(OR($K460="",$K460=0,$Y460=""),"",($Y460-$K460)/$K460),"")</x:f>
      </x:c>
      <x:c r="AB460" s="37" t="str">
        <x:f>IFERROR(IF($N460="CẦN DUYỆT","DUYỆT MAP",IF($N460="CHƯA CÓ GIÁ LẺ","THIẾU GIÁ",IF(OR($K460="",$K460=0,$Y460=""),"OK",IF(ABS(($Y460-$K460)/$K460)&gt;0.15,"LỆCH GIÁ CŨ","OK")))),"OK")</x:f>
        <x:v>THIẾU GIÁ</x:v>
      </x:c>
      <x:c r="AC460" s="30" t="str">
        <x:v>ứng viên gần nhất=Thủy Tinh Hùng Chương; score=0.512</x:v>
      </x:c>
      <x:c r="AD460" s="37" t="str">
        <x:v>HTTDLU</x:v>
      </x:c>
      <x:c r="AE460" s="38" t="str">
        <x:v>HTTDLUT</x:v>
      </x:c>
      <x:c r="AF460" s="123" t="n">
        <x:v>3</x:v>
      </x:c>
      <x:c r="AG460" s="112" t="str">
        <x:v>kg</x:v>
      </x:c>
      <x:c r="AH460" s="112" t="str">
        <x:v>HỦ</x:v>
      </x:c>
      <x:c r="AI460" s="112" t="str">
        <x:v>3 kg / HỦ</x:v>
      </x:c>
      <x:c r="AJ460" s="120" t="n">
        <x:v>200000</x:v>
      </x:c>
      <x:c r="AK460" s="120"/>
      <x:c r="AL460" s="120" t="n">
        <x:v>200000</x:v>
      </x:c>
      <x:c r="AM460" s="112" t="str">
        <x:v>BỔ SUNG GIÁ</x:v>
      </x:c>
      <x:c r="AN460" s="126" t="n">
        <x:v>1017</x:v>
      </x:c>
      <x:c r="AO460" s="126" t="n">
        <x:v>1018</x:v>
      </x:c>
      <x:c r="AP460" s="113" t="str">
        <x:v>4 HỦ / THÙNG</x:v>
      </x:c>
    </x:row>
    <x:row r="461">
      <x:c r="A461" s="71" t="str">
        <x:v>HẠT THỦY TINH DÂU</x:v>
      </x:c>
      <x:c r="B461" s="30" t="str">
        <x:v>HẠT THỦY TINH DÂU - THÙNG</x:v>
      </x:c>
      <x:c r="C461" s="37" t="str">
        <x:v>HTTDAU</x:v>
      </x:c>
      <x:c r="D461" s="37" t="str">
        <x:v>HTTDAUT</x:v>
      </x:c>
      <x:c r="E461" s="37" t="str">
        <x:v>HTTDAUT</x:v>
      </x:c>
      <x:c r="F461" s="37" t="n">
        <x:v>4</x:v>
      </x:c>
      <x:c r="G461" s="37" t="n">
        <x:v>12</x:v>
      </x:c>
      <x:c r="H461" s="37" t="str">
        <x:v>kg</x:v>
      </x:c>
      <x:c r="I461" s="37" t="str">
        <x:v>THÙNG</x:v>
      </x:c>
      <x:c r="J461" s="59" t="n">
        <x:v>0</x:v>
      </x:c>
      <x:c r="K461" s="59" t="n">
        <x:v>0</x:v>
      </x:c>
      <x:c r="L461" s="59" t="n">
        <x:v>0</x:v>
      </x:c>
      <x:c r="M461" s="37" t="str">
        <x:v>Khác</x:v>
      </x:c>
      <x:c r="N461" s="37" t="str">
        <x:v>CHƯA CÓ GIÁ LẺ</x:v>
      </x:c>
      <x:c r="O461" s="61" t="n">
        <x:v>0.633</x:v>
      </x:c>
      <x:c r="P461" s="37"/>
      <x:c r="Q461" s="30"/>
      <x:c r="R461" s="30"/>
      <x:c r="S461" s="30"/>
      <x:c r="T461" s="37"/>
      <x:c r="U461" s="59"/>
      <x:c r="V461" s="59"/>
      <x:c r="W461" s="117" t="n">
        <x:v>200000</x:v>
      </x:c>
      <x:c r="X461" s="59" t="str">
        <x:f>IFERROR(IF(OR($N461="ĐÃ GHÉP - AUTO",$N461="ĐÃ GHÉP - QUY TẮC"),IF($V461="","",IF($T461="THÙNG",$V461/$F461,$V461)),""),"")</x:f>
      </x:c>
      <x:c r="Y461" s="117" t="n">
        <x:f>IF(OR(W461="",F461=""),"",W461*F461)</x:f>
        <x:v>800000</x:v>
      </x:c>
      <x:c r="Z461" s="59" t="str">
        <x:f>IFERROR(IF(OR($N461="ĐÃ GHÉP - AUTO",$N461="ĐÃ GHÉP - QUY TẮC"),IF($V461="","",IF($T461="THÙNG",$V461,$V461*$F461)),""),"")</x:f>
      </x:c>
      <x:c r="AA461" s="28" t="str">
        <x:f>IFERROR(IF(OR($K461="",$K461=0,$Y461=""),"",($Y461-$K461)/$K461),"")</x:f>
      </x:c>
      <x:c r="AB461" s="37" t="str">
        <x:f>IFERROR(IF($N461="CẦN DUYỆT","DUYỆT MAP",IF($N461="CHƯA CÓ GIÁ LẺ","THIẾU GIÁ",IF(OR($K461="",$K461=0,$Y461=""),"OK",IF(ABS(($Y461-$K461)/$K461)&gt;0.15,"LỆCH GIÁ CŨ","OK")))),"OK")</x:f>
        <x:v>THIẾU GIÁ</x:v>
      </x:c>
      <x:c r="AC461" s="30" t="str">
        <x:v>ứng viên gần nhất=Tinh dầu ớt; score=0.633</x:v>
      </x:c>
      <x:c r="AD461" s="37" t="str">
        <x:v>HTTDAU</x:v>
      </x:c>
      <x:c r="AE461" s="38" t="str">
        <x:v>HTTDAUT</x:v>
      </x:c>
      <x:c r="AF461" s="123" t="n">
        <x:v>3</x:v>
      </x:c>
      <x:c r="AG461" s="112" t="str">
        <x:v>kg</x:v>
      </x:c>
      <x:c r="AH461" s="112" t="str">
        <x:v>HỦ</x:v>
      </x:c>
      <x:c r="AI461" s="112" t="str">
        <x:v>3 kg / HỦ</x:v>
      </x:c>
      <x:c r="AJ461" s="120" t="n">
        <x:v>200000</x:v>
      </x:c>
      <x:c r="AK461" s="120"/>
      <x:c r="AL461" s="120" t="n">
        <x:v>200000</x:v>
      </x:c>
      <x:c r="AM461" s="112" t="str">
        <x:v>BỔ SUNG GIÁ</x:v>
      </x:c>
      <x:c r="AN461" s="126" t="n">
        <x:v>1019</x:v>
      </x:c>
      <x:c r="AO461" s="126" t="n">
        <x:v>1020</x:v>
      </x:c>
      <x:c r="AP461" s="113" t="str">
        <x:v>4 HỦ / THÙNG</x:v>
      </x:c>
    </x:row>
    <x:row r="462">
      <x:c r="A462" s="71" t="str">
        <x:v>HẠT CHIA</x:v>
      </x:c>
      <x:c r="B462" s="30" t="str">
        <x:v>HẠT CHIA - THÙNG</x:v>
      </x:c>
      <x:c r="C462" s="37" t="str">
        <x:v>HACHIA</x:v>
      </x:c>
      <x:c r="D462" s="37" t="str">
        <x:v>HACHIAT</x:v>
      </x:c>
      <x:c r="E462" s="37" t="str">
        <x:v>HACHIAT</x:v>
      </x:c>
      <x:c r="F462" s="37" t="n">
        <x:v>10</x:v>
      </x:c>
      <x:c r="G462" s="37" t="n">
        <x:v>0</x:v>
      </x:c>
      <x:c r="H462" s="37" t="str">
        <x:v>g</x:v>
      </x:c>
      <x:c r="I462" s="37" t="str">
        <x:v>THÙNG</x:v>
      </x:c>
      <x:c r="J462" s="59" t="n">
        <x:v>0</x:v>
      </x:c>
      <x:c r="K462" s="59" t="n">
        <x:v>0</x:v>
      </x:c>
      <x:c r="L462" s="59" t="n">
        <x:v>0</x:v>
      </x:c>
      <x:c r="M462" s="37" t="str">
        <x:v>Khác</x:v>
      </x:c>
      <x:c r="N462" s="37" t="str">
        <x:v>ĐÃ GHÉP - AUTO</x:v>
      </x:c>
      <x:c r="O462" s="61" t="n">
        <x:v>0.902</x:v>
      </x:c>
      <x:c r="P462" s="37" t="n">
        <x:v>207</x:v>
      </x:c>
      <x:c r="Q462" s="30" t="str">
        <x:v>Hạt Chia</x:v>
      </x:c>
      <x:c r="R462" s="30" t="str">
        <x:v>Thùng 6  gói</x:v>
      </x:c>
      <x:c r="S462" s="30" t="str">
        <x:v>kg</x:v>
      </x:c>
      <x:c r="T462" s="37" t="str">
        <x:v>ĐƠN VỊ</x:v>
      </x:c>
      <x:c r="U462" s="59" t="n">
        <x:v>110000</x:v>
      </x:c>
      <x:c r="V462" s="59"/>
      <x:c r="W462" s="117" t="n">
        <x:v>110000</x:v>
      </x:c>
      <x:c r="X462" s="59" t="str">
        <x:f>IFERROR(IF(OR($N462="ĐÃ GHÉP - AUTO",$N462="ĐÃ GHÉP - QUY TẮC"),IF($V462="","",IF($T462="THÙNG",$V462/$F462,$V462)),""),"")</x:f>
      </x:c>
      <x:c r="Y462" s="117" t="n">
        <x:f>IF(OR(W462="",F462=""),"",W462*F462)</x:f>
        <x:v>1100000</x:v>
      </x:c>
      <x:c r="Z462" s="59" t="str">
        <x:f>IFERROR(IF(OR($N462="ĐÃ GHÉP - AUTO",$N462="ĐÃ GHÉP - QUY TẮC"),IF($V462="","",IF($T462="THÙNG",$V462,$V462*$F462)),""),"")</x:f>
      </x:c>
      <x:c r="AA462" s="28" t="str">
        <x:f>IFERROR(IF(OR($K462="",$K462=0,$Y462=""),"",($Y462-$K462)/$K462),"")</x:f>
      </x:c>
      <x:c r="AB462" s="37" t="str">
        <x:f>IFERROR(IF($N462="CẦN DUYỆT","DUYỆT MAP",IF($N462="CHƯA CÓ GIÁ LẺ","THIẾU GIÁ",IF(OR($K462="",$K462=0,$Y462=""),"OK",IF(ABS(($Y462-$K462)/$K462)&gt;0.15,"LỆCH GIÁ CŨ","OK")))),"OK")</x:f>
        <x:v>OK</x:v>
      </x:c>
      <x:c r="AC462" s="30" t="str">
        <x:v>score=0.902; gap=0.830</x:v>
      </x:c>
      <x:c r="AD462" s="37" t="str">
        <x:v>HACHIA</x:v>
      </x:c>
      <x:c r="AE462" s="38" t="str">
        <x:v>HACHIAT</x:v>
      </x:c>
      <x:c r="AF462" s="123" t="n">
        <x:v>0</x:v>
      </x:c>
      <x:c r="AG462" s="112" t="str">
        <x:v>g</x:v>
      </x:c>
      <x:c r="AH462" s="112" t="str">
        <x:v>GÓI</x:v>
      </x:c>
      <x:c r="AI462" s="112" t="str">
        <x:v>0 g / GÓI</x:v>
      </x:c>
      <x:c r="AJ462" s="120" t="n">
        <x:v>110000</x:v>
      </x:c>
      <x:c r="AK462" s="120" t="n">
        <x:v>110000</x:v>
      </x:c>
      <x:c r="AL462" s="120" t="n">
        <x:v>110000</x:v>
      </x:c>
      <x:c r="AM462" s="112" t="str">
        <x:v>GIỮ NGUYÊN - ĐÃ KHỚP</x:v>
      </x:c>
      <x:c r="AN462" s="126" t="n">
        <x:v>1021</x:v>
      </x:c>
      <x:c r="AO462" s="126" t="n">
        <x:v>1022</x:v>
      </x:c>
      <x:c r="AP462" s="113" t="str">
        <x:v>10 GÓI / THÙNG</x:v>
      </x:c>
    </x:row>
    <x:row r="463">
      <x:c r="A463" s="71" t="str">
        <x:v>GIẤM TÁO 2 LÍT</x:v>
      </x:c>
      <x:c r="B463" s="30" t="str">
        <x:v>GIẤM TÁO 2 LÍT - THÙNG</x:v>
      </x:c>
      <x:c r="C463" s="37" t="str">
        <x:v>GIAM2L</x:v>
      </x:c>
      <x:c r="D463" s="37" t="str">
        <x:v>GIAM2LT</x:v>
      </x:c>
      <x:c r="E463" s="37" t="str">
        <x:v>GIAM2LT</x:v>
      </x:c>
      <x:c r="F463" s="37" t="n">
        <x:v>6</x:v>
      </x:c>
      <x:c r="G463" s="37" t="n">
        <x:v>0</x:v>
      </x:c>
      <x:c r="H463" s="37" t="str">
        <x:v>g</x:v>
      </x:c>
      <x:c r="I463" s="37" t="str">
        <x:v>THÙNG</x:v>
      </x:c>
      <x:c r="J463" s="59" t="n">
        <x:v>0</x:v>
      </x:c>
      <x:c r="K463" s="59" t="n">
        <x:v>0</x:v>
      </x:c>
      <x:c r="L463" s="59" t="n">
        <x:v>0</x:v>
      </x:c>
      <x:c r="M463" s="37" t="str">
        <x:v>Khác</x:v>
      </x:c>
      <x:c r="N463" s="37" t="str">
        <x:v>ĐÃ GHÉP - AUTO</x:v>
      </x:c>
      <x:c r="O463" s="61" t="n">
        <x:v>0.905</x:v>
      </x:c>
      <x:c r="P463" s="37" t="n">
        <x:v>220</x:v>
      </x:c>
      <x:c r="Q463" s="30" t="str">
        <x:v>Giấm Táo</x:v>
      </x:c>
      <x:c r="R463" s="30" t="str">
        <x:v>Thùng 6 bình</x:v>
      </x:c>
      <x:c r="S463" s="30" t="str">
        <x:v>bình</x:v>
      </x:c>
      <x:c r="T463" s="37" t="str">
        <x:v>ĐƠN VỊ</x:v>
      </x:c>
      <x:c r="U463" s="59" t="n">
        <x:v>75000</x:v>
      </x:c>
      <x:c r="V463" s="59"/>
      <x:c r="W463" s="117" t="n">
        <x:v>75000</x:v>
      </x:c>
      <x:c r="X463" s="59" t="str">
        <x:f>IFERROR(IF(OR($N463="ĐÃ GHÉP - AUTO",$N463="ĐÃ GHÉP - QUY TẮC"),IF($V463="","",IF($T463="THÙNG",$V463/$F463,$V463)),""),"")</x:f>
      </x:c>
      <x:c r="Y463" s="117" t="n">
        <x:f>IF(OR(W463="",F463=""),"",W463*F463)</x:f>
        <x:v>450000</x:v>
      </x:c>
      <x:c r="Z463" s="59" t="str">
        <x:f>IFERROR(IF(OR($N463="ĐÃ GHÉP - AUTO",$N463="ĐÃ GHÉP - QUY TẮC"),IF($V463="","",IF($T463="THÙNG",$V463,$V463*$F463)),""),"")</x:f>
      </x:c>
      <x:c r="AA463" s="28" t="str">
        <x:f>IFERROR(IF(OR($K463="",$K463=0,$Y463=""),"",($Y463-$K463)/$K463),"")</x:f>
      </x:c>
      <x:c r="AB463" s="37" t="str">
        <x:f>IFERROR(IF($N463="CẦN DUYỆT","DUYỆT MAP",IF($N463="CHƯA CÓ GIÁ LẺ","THIẾU GIÁ",IF(OR($K463="",$K463=0,$Y463=""),"OK",IF(ABS(($Y463-$K463)/$K463)&gt;0.15,"LỆCH GIÁ CŨ","OK")))),"OK")</x:f>
        <x:v>OK</x:v>
      </x:c>
      <x:c r="AC463" s="30" t="str">
        <x:v>score=0.905; gap=0.491</x:v>
      </x:c>
      <x:c r="AD463" s="37" t="str">
        <x:v>GIAM2L</x:v>
      </x:c>
      <x:c r="AE463" s="38" t="str">
        <x:v>GIAM2LT</x:v>
      </x:c>
      <x:c r="AF463" s="123" t="n">
        <x:v>0</x:v>
      </x:c>
      <x:c r="AG463" s="112" t="str">
        <x:v>g</x:v>
      </x:c>
      <x:c r="AH463" s="112" t="str">
        <x:v>BÌNH</x:v>
      </x:c>
      <x:c r="AI463" s="112" t="str">
        <x:v>0 g / BÌNH</x:v>
      </x:c>
      <x:c r="AJ463" s="120" t="n">
        <x:v>75000</x:v>
      </x:c>
      <x:c r="AK463" s="120" t="n">
        <x:v>75000</x:v>
      </x:c>
      <x:c r="AL463" s="120" t="n">
        <x:v>75000</x:v>
      </x:c>
      <x:c r="AM463" s="112" t="str">
        <x:v>GIỮ NGUYÊN - ĐÃ KHỚP</x:v>
      </x:c>
      <x:c r="AN463" s="126" t="n">
        <x:v>1026</x:v>
      </x:c>
      <x:c r="AO463" s="126" t="n">
        <x:v>1027</x:v>
      </x:c>
      <x:c r="AP463" s="113" t="str">
        <x:v>6 BÌNH / THÙNG</x:v>
      </x:c>
    </x:row>
    <x:row r="464">
      <x:c r="A464" s="71" t="str">
        <x:v>FALU VẢI</x:v>
      </x:c>
      <x:c r="B464" s="30" t="str">
        <x:v>FALU VẢI - THÙNG</x:v>
      </x:c>
      <x:c r="C464" s="37" t="str">
        <x:v>FALUVA</x:v>
      </x:c>
      <x:c r="D464" s="37" t="str">
        <x:v>FALUVAT</x:v>
      </x:c>
      <x:c r="E464" s="37" t="str">
        <x:v>FALUVAT</x:v>
      </x:c>
      <x:c r="F464" s="37" t="n">
        <x:v>12</x:v>
      </x:c>
      <x:c r="G464" s="37" t="n">
        <x:v>24</x:v>
      </x:c>
      <x:c r="H464" s="37" t="str">
        <x:v>kg</x:v>
      </x:c>
      <x:c r="I464" s="37" t="str">
        <x:v>THÙNG</x:v>
      </x:c>
      <x:c r="J464" s="59" t="n">
        <x:v>0</x:v>
      </x:c>
      <x:c r="K464" s="59" t="n">
        <x:v>0</x:v>
      </x:c>
      <x:c r="L464" s="59" t="n">
        <x:v>0</x:v>
      </x:c>
      <x:c r="M464" s="37" t="str">
        <x:v>Khác</x:v>
      </x:c>
      <x:c r="N464" s="37" t="str">
        <x:v>CHƯA CÓ GIÁ LẺ</x:v>
      </x:c>
      <x:c r="O464" s="61" t="n">
        <x:v>0.583</x:v>
      </x:c>
      <x:c r="P464" s="37"/>
      <x:c r="Q464" s="30"/>
      <x:c r="R464" s="30"/>
      <x:c r="S464" s="30"/>
      <x:c r="T464" s="37"/>
      <x:c r="U464" s="59"/>
      <x:c r="V464" s="59"/>
      <x:c r="W464" s="117"/>
      <x:c r="X464" s="59" t="str">
        <x:f>IFERROR(IF(OR($N464="ĐÃ GHÉP - AUTO",$N464="ĐÃ GHÉP - QUY TẮC"),IF($V464="","",IF($T464="THÙNG",$V464/$F464,$V464)),""),"")</x:f>
      </x:c>
      <x:c r="Y464" s="117" t="str">
        <x:f>IF(OR(W464="",F464=""),"",W464*F464)</x:f>
      </x:c>
      <x:c r="Z464" s="59" t="str">
        <x:f>IFERROR(IF(OR($N464="ĐÃ GHÉP - AUTO",$N464="ĐÃ GHÉP - QUY TẮC"),IF($V464="","",IF($T464="THÙNG",$V464,$V464*$F464)),""),"")</x:f>
      </x:c>
      <x:c r="AA464" s="28" t="str">
        <x:f>IFERROR(IF(OR($K464="",$K464=0,$Y464=""),"",($Y464-$K464)/$K464),"")</x:f>
      </x:c>
      <x:c r="AB464" s="37" t="str">
        <x:f>IFERROR(IF($N464="CẦN DUYỆT","DUYỆT MAP",IF($N464="CHƯA CÓ GIÁ LẺ","THIẾU GIÁ",IF(OR($K464="",$K464=0,$Y464=""),"OK",IF(ABS(($Y464-$K464)/$K464)&gt;0.15,"LỆCH GIÁ CŨ","OK")))),"OK")</x:f>
        <x:v>THIẾU GIÁ</x:v>
      </x:c>
      <x:c r="AC464" s="30" t="str">
        <x:v>ứng viên gần nhất=Sinh  To vải glod; score=0.583</x:v>
      </x:c>
      <x:c r="AD464" s="37" t="str">
        <x:v>FALUVA</x:v>
      </x:c>
      <x:c r="AE464" s="38" t="str">
        <x:v>FALUVAT</x:v>
      </x:c>
      <x:c r="AF464" s="123" t="n">
        <x:v>2</x:v>
      </x:c>
      <x:c r="AG464" s="112" t="str">
        <x:v>kg</x:v>
      </x:c>
      <x:c r="AH464" s="112" t="str">
        <x:v>BÌNH</x:v>
      </x:c>
      <x:c r="AI464" s="112" t="str">
        <x:v>2 kg / BÌNH</x:v>
      </x:c>
      <x:c r="AJ464" s="120" t="n">
        <x:v>0</x:v>
      </x:c>
      <x:c r="AK464" s="120"/>
      <x:c r="AL464" s="120"/>
      <x:c r="AM464" s="112" t="str">
        <x:v>DS SP GIÁ 0 - VẪN THIẾU GIÁ</x:v>
      </x:c>
      <x:c r="AN464" s="126" t="n">
        <x:v>1029</x:v>
      </x:c>
      <x:c r="AO464" s="126" t="n">
        <x:v>1030</x:v>
      </x:c>
      <x:c r="AP464" s="113" t="str">
        <x:v>12 BÌNH / THÙNG</x:v>
      </x:c>
    </x:row>
    <x:row r="465">
      <x:c r="A465" s="71" t="str">
        <x:v>FALU NHÃN</x:v>
      </x:c>
      <x:c r="B465" s="30" t="str">
        <x:v>FALU NHÃN - THÙNG</x:v>
      </x:c>
      <x:c r="C465" s="37" t="str">
        <x:v>FALUNH</x:v>
      </x:c>
      <x:c r="D465" s="37" t="str">
        <x:v>FALUNHT</x:v>
      </x:c>
      <x:c r="E465" s="37" t="str">
        <x:v>FALUNHT</x:v>
      </x:c>
      <x:c r="F465" s="37" t="n">
        <x:v>12</x:v>
      </x:c>
      <x:c r="G465" s="37" t="n">
        <x:v>24</x:v>
      </x:c>
      <x:c r="H465" s="37" t="str">
        <x:v>kg</x:v>
      </x:c>
      <x:c r="I465" s="37" t="str">
        <x:v>THÙNG</x:v>
      </x:c>
      <x:c r="J465" s="59" t="n">
        <x:v>0</x:v>
      </x:c>
      <x:c r="K465" s="59" t="n">
        <x:v>0</x:v>
      </x:c>
      <x:c r="L465" s="59" t="n">
        <x:v>0</x:v>
      </x:c>
      <x:c r="M465" s="37" t="str">
        <x:v>Khác</x:v>
      </x:c>
      <x:c r="N465" s="37" t="str">
        <x:v>CHƯA CÓ GIÁ LẺ</x:v>
      </x:c>
      <x:c r="O465" s="61" t="n">
        <x:v>0.535</x:v>
      </x:c>
      <x:c r="P465" s="37"/>
      <x:c r="Q465" s="30"/>
      <x:c r="R465" s="30"/>
      <x:c r="S465" s="30"/>
      <x:c r="T465" s="37"/>
      <x:c r="U465" s="59"/>
      <x:c r="V465" s="59"/>
      <x:c r="W465" s="117" t="n">
        <x:v>220000</x:v>
      </x:c>
      <x:c r="X465" s="59" t="str">
        <x:f>IFERROR(IF(OR($N465="ĐÃ GHÉP - AUTO",$N465="ĐÃ GHÉP - QUY TẮC"),IF($V465="","",IF($T465="THÙNG",$V465/$F465,$V465)),""),"")</x:f>
      </x:c>
      <x:c r="Y465" s="117" t="n">
        <x:f>IF(OR(W465="",F465=""),"",W465*F465)</x:f>
        <x:v>2640000</x:v>
      </x:c>
      <x:c r="Z465" s="59" t="str">
        <x:f>IFERROR(IF(OR($N465="ĐÃ GHÉP - AUTO",$N465="ĐÃ GHÉP - QUY TẮC"),IF($V465="","",IF($T465="THÙNG",$V465,$V465*$F465)),""),"")</x:f>
      </x:c>
      <x:c r="AA465" s="28" t="str">
        <x:f>IFERROR(IF(OR($K465="",$K465=0,$Y465=""),"",($Y465-$K465)/$K465),"")</x:f>
      </x:c>
      <x:c r="AB465" s="37" t="str">
        <x:f>IFERROR(IF($N465="CẦN DUYỆT","DUYỆT MAP",IF($N465="CHƯA CÓ GIÁ LẺ","THIẾU GIÁ",IF(OR($K465="",$K465=0,$Y465=""),"OK",IF(ABS(($Y465-$K465)/$K465)&gt;0.15,"LỆCH GIÁ CŨ","OK")))),"OK")</x:f>
        <x:v>THIẾU GIÁ</x:v>
      </x:c>
      <x:c r="AC465" s="30" t="str">
        <x:v>ứng viên gần nhất=Duong den falu; score=0.535</x:v>
      </x:c>
      <x:c r="AD465" s="37" t="str">
        <x:v>FALUNH</x:v>
      </x:c>
      <x:c r="AE465" s="38" t="str">
        <x:v>FALUNHT</x:v>
      </x:c>
      <x:c r="AF465" s="123" t="n">
        <x:v>2</x:v>
      </x:c>
      <x:c r="AG465" s="112" t="str">
        <x:v>kg</x:v>
      </x:c>
      <x:c r="AH465" s="112" t="str">
        <x:v>BÌNH</x:v>
      </x:c>
      <x:c r="AI465" s="112" t="str">
        <x:v>2 kg / BÌNH</x:v>
      </x:c>
      <x:c r="AJ465" s="120" t="n">
        <x:v>220000</x:v>
      </x:c>
      <x:c r="AK465" s="120"/>
      <x:c r="AL465" s="120" t="n">
        <x:v>220000</x:v>
      </x:c>
      <x:c r="AM465" s="112" t="str">
        <x:v>BỔ SUNG GIÁ</x:v>
      </x:c>
      <x:c r="AN465" s="126" t="n">
        <x:v>1031</x:v>
      </x:c>
      <x:c r="AO465" s="126" t="n">
        <x:v>1032</x:v>
      </x:c>
      <x:c r="AP465" s="113" t="str">
        <x:v>12 BÌNH / THÙNG</x:v>
      </x:c>
    </x:row>
    <x:row r="466">
      <x:c r="A466" s="71" t="str">
        <x:v>ĐƯỜNG NÂU MONITA</x:v>
      </x:c>
      <x:c r="B466" s="30" t="str">
        <x:v>ĐƯỜNG NÂU MONITA - THÙNG</x:v>
      </x:c>
      <x:c r="C466" s="37" t="str">
        <x:v>DNSEUL</x:v>
      </x:c>
      <x:c r="D466" s="37" t="str">
        <x:v>DNSEULT</x:v>
      </x:c>
      <x:c r="E466" s="37" t="str">
        <x:v>DNSEULT</x:v>
      </x:c>
      <x:c r="F466" s="37" t="n">
        <x:v>16</x:v>
      </x:c>
      <x:c r="G466" s="37" t="n">
        <x:v>17</x:v>
      </x:c>
      <x:c r="H466" s="37" t="str">
        <x:v>kg</x:v>
      </x:c>
      <x:c r="I466" s="37" t="str">
        <x:v>THÙNG</x:v>
      </x:c>
      <x:c r="J466" s="59" t="n">
        <x:v>0</x:v>
      </x:c>
      <x:c r="K466" s="59" t="n">
        <x:v>0</x:v>
      </x:c>
      <x:c r="L466" s="59" t="n">
        <x:v>0</x:v>
      </x:c>
      <x:c r="M466" s="37" t="str">
        <x:v>Đường đen / đường nước</x:v>
      </x:c>
      <x:c r="N466" s="37" t="str">
        <x:v>ĐÃ GHÉP - AUTO</x:v>
      </x:c>
      <x:c r="O466" s="61" t="n">
        <x:v>0.771</x:v>
      </x:c>
      <x:c r="P466" s="37" t="n">
        <x:v>63</x:v>
      </x:c>
      <x:c r="Q466" s="30" t="str">
        <x:v>Đường NÂU MONITA</x:v>
      </x:c>
      <x:c r="R466" s="30" t="str">
        <x:v>bao 16kg</x:v>
      </x:c>
      <x:c r="S466" s="30" t="str">
        <x:v>bịch</x:v>
      </x:c>
      <x:c r="T466" s="37" t="str">
        <x:v>ĐƠN VỊ</x:v>
      </x:c>
      <x:c r="U466" s="59" t="n">
        <x:v>45000</x:v>
      </x:c>
      <x:c r="V466" s="59"/>
      <x:c r="W466" s="117" t="n">
        <x:v>45000</x:v>
      </x:c>
      <x:c r="X466" s="59" t="str">
        <x:f>IFERROR(IF(OR($N466="ĐÃ GHÉP - AUTO",$N466="ĐÃ GHÉP - QUY TẮC"),IF($V466="","",IF($T466="THÙNG",$V466/$F466,$V466)),""),"")</x:f>
      </x:c>
      <x:c r="Y466" s="117" t="n">
        <x:f>IF(OR(W466="",F466=""),"",W466*F466)</x:f>
        <x:v>720000</x:v>
      </x:c>
      <x:c r="Z466" s="59" t="str">
        <x:f>IFERROR(IF(OR($N466="ĐÃ GHÉP - AUTO",$N466="ĐÃ GHÉP - QUY TẮC"),IF($V466="","",IF($T466="THÙNG",$V466,$V466*$F466)),""),"")</x:f>
      </x:c>
      <x:c r="AA466" s="28" t="str">
        <x:f>IFERROR(IF(OR($K466="",$K466=0,$Y466=""),"",($Y466-$K466)/$K466),"")</x:f>
      </x:c>
      <x:c r="AB466" s="37" t="str">
        <x:f>IFERROR(IF($N466="CẦN DUYỆT","DUYỆT MAP",IF($N466="CHƯA CÓ GIÁ LẺ","THIẾU GIÁ",IF(OR($K466="",$K466=0,$Y466=""),"OK",IF(ABS(($Y466-$K466)/$K466)&gt;0.15,"LỆCH GIÁ CŨ","OK")))),"OK")</x:f>
        <x:v>OK</x:v>
      </x:c>
      <x:c r="AC466" s="30" t="str">
        <x:v>score=0.771; gap=0.230</x:v>
      </x:c>
      <x:c r="AD466" s="37" t="str">
        <x:v>DNSEUL</x:v>
      </x:c>
      <x:c r="AE466" s="38" t="str">
        <x:v>DNSEULT</x:v>
      </x:c>
      <x:c r="AF466" s="123" t="n">
        <x:v>1</x:v>
      </x:c>
      <x:c r="AG466" s="112" t="str">
        <x:v>kg</x:v>
      </x:c>
      <x:c r="AH466" s="112" t="str">
        <x:v>GÓI</x:v>
      </x:c>
      <x:c r="AI466" s="112" t="str">
        <x:v>1 kg / GÓI</x:v>
      </x:c>
      <x:c r="AJ466" s="120" t="n">
        <x:v>45000</x:v>
      </x:c>
      <x:c r="AK466" s="120" t="n">
        <x:v>45000</x:v>
      </x:c>
      <x:c r="AL466" s="120" t="n">
        <x:v>45000</x:v>
      </x:c>
      <x:c r="AM466" s="112" t="str">
        <x:v>GIỮ NGUYÊN - ĐÃ KHỚP</x:v>
      </x:c>
      <x:c r="AN466" s="126" t="n">
        <x:v>1035</x:v>
      </x:c>
      <x:c r="AO466" s="126" t="n">
        <x:v>1036</x:v>
      </x:c>
      <x:c r="AP466" s="113" t="str">
        <x:v>16 GÓI / THÙNG</x:v>
      </x:c>
    </x:row>
    <x:row r="467">
      <x:c r="A467" s="71" t="str">
        <x:v>ĐƯỜNG ĐEN MONITA</x:v>
      </x:c>
      <x:c r="B467" s="30" t="str">
        <x:v>ĐƯỜNG ĐEN MONITA - THÙNG</x:v>
      </x:c>
      <x:c r="C467" s="37" t="str">
        <x:v>DDSEUL</x:v>
      </x:c>
      <x:c r="D467" s="37" t="str">
        <x:v>DDSEULT</x:v>
      </x:c>
      <x:c r="E467" s="37" t="str">
        <x:v>DDSEULT</x:v>
      </x:c>
      <x:c r="F467" s="37" t="n">
        <x:v>16</x:v>
      </x:c>
      <x:c r="G467" s="37" t="n">
        <x:v>1</x:v>
      </x:c>
      <x:c r="H467" s="37" t="str">
        <x:v>kg</x:v>
      </x:c>
      <x:c r="I467" s="37" t="str">
        <x:v>THÙNG</x:v>
      </x:c>
      <x:c r="J467" s="59" t="n">
        <x:v>0</x:v>
      </x:c>
      <x:c r="K467" s="59" t="n">
        <x:v>0</x:v>
      </x:c>
      <x:c r="L467" s="59" t="n">
        <x:v>0</x:v>
      </x:c>
      <x:c r="M467" s="37" t="str">
        <x:v>Đường đen / đường nước</x:v>
      </x:c>
      <x:c r="N467" s="37" t="str">
        <x:v>ĐÃ GHÉP - QUY TẮC</x:v>
      </x:c>
      <x:c r="O467" s="61" t="n">
        <x:v>0.99</x:v>
      </x:c>
      <x:c r="P467" s="37" t="n">
        <x:v>62</x:v>
      </x:c>
      <x:c r="Q467" s="30" t="str">
        <x:v>Đường đen MONITA</x:v>
      </x:c>
      <x:c r="R467" s="30" t="str">
        <x:v>bao 16kg</x:v>
      </x:c>
      <x:c r="S467" s="30" t="str">
        <x:v>bịch</x:v>
      </x:c>
      <x:c r="T467" s="37" t="str">
        <x:v>ĐƠN VỊ</x:v>
      </x:c>
      <x:c r="U467" s="59" t="n">
        <x:v>62000</x:v>
      </x:c>
      <x:c r="V467" s="59" t="n">
        <x:v>60000</x:v>
      </x:c>
      <x:c r="W467" s="117" t="n">
        <x:v>62000</x:v>
      </x:c>
      <x:c r="X467" s="59" t="n">
        <x:f>IFERROR(IF(OR($N467="ĐÃ GHÉP - AUTO",$N467="ĐÃ GHÉP - QUY TẮC"),IF($V467="","",IF($T467="THÙNG",$V467/$F467,$V467)),""),"")</x:f>
        <x:v>60000</x:v>
      </x:c>
      <x:c r="Y467" s="117" t="n">
        <x:f>IF(OR(W467="",F467=""),"",W467*F467)</x:f>
        <x:v>992000</x:v>
      </x:c>
      <x:c r="Z467" s="59" t="n">
        <x:f>IFERROR(IF(OR($N467="ĐÃ GHÉP - AUTO",$N467="ĐÃ GHÉP - QUY TẮC"),IF($V467="","",IF($T467="THÙNG",$V467,$V467*$F467)),""),"")</x:f>
        <x:v>960000</x:v>
      </x:c>
      <x:c r="AA467" s="28" t="str">
        <x:f>IFERROR(IF(OR($K467="",$K467=0,$Y467=""),"",($Y467-$K467)/$K467),"")</x:f>
      </x:c>
      <x:c r="AB467" s="37" t="str">
        <x:f>IFERROR(IF($N467="CẦN DUYỆT","DUYỆT MAP",IF($N467="CHƯA CÓ GIÁ LẺ","THIẾU GIÁ",IF(OR($K467="",$K467=0,$Y467=""),"OK",IF(ABS(($Y467-$K467)/$K467)&gt;0.15,"LỆCH GIÁ CŨ","OK")))),"OK")</x:f>
        <x:v>OK</x:v>
      </x:c>
      <x:c r="AC467" s="30" t="str">
        <x:v>Khớp đúng tên</x:v>
      </x:c>
      <x:c r="AD467" s="37" t="str">
        <x:v>DDSEUL</x:v>
      </x:c>
      <x:c r="AE467" s="38" t="str">
        <x:v>DDSEULT</x:v>
      </x:c>
      <x:c r="AF467" s="123" t="n">
        <x:v>1</x:v>
      </x:c>
      <x:c r="AG467" s="112" t="str">
        <x:v>kg</x:v>
      </x:c>
      <x:c r="AH467" s="112" t="str">
        <x:v>GÓI</x:v>
      </x:c>
      <x:c r="AI467" s="112" t="str">
        <x:v>1 kg / GÓI</x:v>
      </x:c>
      <x:c r="AJ467" s="120" t="n">
        <x:v>62000</x:v>
      </x:c>
      <x:c r="AK467" s="120" t="n">
        <x:v>62000</x:v>
      </x:c>
      <x:c r="AL467" s="120" t="n">
        <x:v>62000</x:v>
      </x:c>
      <x:c r="AM467" s="112" t="str">
        <x:v>GIỮ NGUYÊN - ĐÃ KHỚP</x:v>
      </x:c>
      <x:c r="AN467" s="126" t="n">
        <x:v>1037</x:v>
      </x:c>
      <x:c r="AO467" s="126" t="n">
        <x:v>1038</x:v>
      </x:c>
      <x:c r="AP467" s="113" t="str">
        <x:v>16 GÓI / THÙNG</x:v>
      </x:c>
    </x:row>
    <x:row r="468">
      <x:c r="A468" s="71" t="str">
        <x:v>ĐƯỜNG ĐEN MOLA</x:v>
      </x:c>
      <x:c r="B468" s="30" t="str">
        <x:v>ĐƯỜNG ĐEN MOLA - THÙNG</x:v>
      </x:c>
      <x:c r="C468" s="37" t="str">
        <x:v>DDMOLA</x:v>
      </x:c>
      <x:c r="D468" s="37" t="str">
        <x:v>DDMOLAT</x:v>
      </x:c>
      <x:c r="E468" s="37" t="str">
        <x:v>DDMOLAT</x:v>
      </x:c>
      <x:c r="F468" s="37" t="n">
        <x:v>12</x:v>
      </x:c>
      <x:c r="G468" s="37" t="n">
        <x:v>19</x:v>
      </x:c>
      <x:c r="H468" s="37" t="str">
        <x:v>kg</x:v>
      </x:c>
      <x:c r="I468" s="37" t="str">
        <x:v>THÙNG</x:v>
      </x:c>
      <x:c r="J468" s="59" t="n">
        <x:v>0</x:v>
      </x:c>
      <x:c r="K468" s="59" t="n">
        <x:v>0</x:v>
      </x:c>
      <x:c r="L468" s="59" t="n">
        <x:v>0</x:v>
      </x:c>
      <x:c r="M468" s="37" t="str">
        <x:v>Đường đen / đường nước</x:v>
      </x:c>
      <x:c r="N468" s="37" t="str">
        <x:v>ĐÃ GHÉP - AUTO</x:v>
      </x:c>
      <x:c r="O468" s="61" t="n">
        <x:v>0.97</x:v>
      </x:c>
      <x:c r="P468" s="37" t="n">
        <x:v>65</x:v>
      </x:c>
      <x:c r="Q468" s="30" t="str">
        <x:v>Đường đen mola</x:v>
      </x:c>
      <x:c r="R468" s="30" t="str">
        <x:v>thùng 12 chai</x:v>
      </x:c>
      <x:c r="S468" s="30" t="str">
        <x:v>chai</x:v>
      </x:c>
      <x:c r="T468" s="37" t="str">
        <x:v>ĐƠN VỊ</x:v>
      </x:c>
      <x:c r="U468" s="59" t="n">
        <x:v>82000</x:v>
      </x:c>
      <x:c r="V468" s="59"/>
      <x:c r="W468" s="117" t="n">
        <x:v>82000</x:v>
      </x:c>
      <x:c r="X468" s="59" t="str">
        <x:f>IFERROR(IF(OR($N468="ĐÃ GHÉP - AUTO",$N468="ĐÃ GHÉP - QUY TẮC"),IF($V468="","",IF($T468="THÙNG",$V468/$F468,$V468)),""),"")</x:f>
      </x:c>
      <x:c r="Y468" s="117" t="n">
        <x:f>IF(OR(W468="",F468=""),"",W468*F468)</x:f>
        <x:v>984000</x:v>
      </x:c>
      <x:c r="Z468" s="59" t="str">
        <x:f>IFERROR(IF(OR($N468="ĐÃ GHÉP - AUTO",$N468="ĐÃ GHÉP - QUY TẮC"),IF($V468="","",IF($T468="THÙNG",$V468,$V468*$F468)),""),"")</x:f>
      </x:c>
      <x:c r="AA468" s="28" t="str">
        <x:f>IFERROR(IF(OR($K468="",$K468=0,$Y468=""),"",($Y468-$K468)/$K468),"")</x:f>
      </x:c>
      <x:c r="AB468" s="37" t="str">
        <x:f>IFERROR(IF($N468="CẦN DUYỆT","DUYỆT MAP",IF($N468="CHƯA CÓ GIÁ LẺ","THIẾU GIÁ",IF(OR($K468="",$K468=0,$Y468=""),"OK",IF(ABS(($Y468-$K468)/$K468)&gt;0.15,"LỆCH GIÁ CŨ","OK")))),"OK")</x:f>
        <x:v>OK</x:v>
      </x:c>
      <x:c r="AC468" s="30" t="str">
        <x:v>score=0.970; gap=0.514</x:v>
      </x:c>
      <x:c r="AD468" s="37" t="str">
        <x:v>DDMOLA</x:v>
      </x:c>
      <x:c r="AE468" s="38" t="str">
        <x:v>DDMOLAT</x:v>
      </x:c>
      <x:c r="AF468" s="123" t="n">
        <x:v>1550</x:v>
      </x:c>
      <x:c r="AG468" s="112" t="str">
        <x:v>g</x:v>
      </x:c>
      <x:c r="AH468" s="112" t="str">
        <x:v>CHAI</x:v>
      </x:c>
      <x:c r="AI468" s="112" t="str">
        <x:v>1550 g / CHAI</x:v>
      </x:c>
      <x:c r="AJ468" s="120" t="n">
        <x:v>82000</x:v>
      </x:c>
      <x:c r="AK468" s="120" t="n">
        <x:v>82000</x:v>
      </x:c>
      <x:c r="AL468" s="120" t="n">
        <x:v>82000</x:v>
      </x:c>
      <x:c r="AM468" s="112" t="str">
        <x:v>GIỮ NGUYÊN - ĐÃ KHỚP</x:v>
      </x:c>
      <x:c r="AN468" s="126" t="n">
        <x:v>1039</x:v>
      </x:c>
      <x:c r="AO468" s="126" t="n">
        <x:v>1040</x:v>
      </x:c>
      <x:c r="AP468" s="113" t="str">
        <x:v>12 CHAI / THÙNG</x:v>
      </x:c>
    </x:row>
    <x:row r="469">
      <x:c r="A469" s="71" t="str">
        <x:v>ĐƯỜNG ĐEN FALU</x:v>
      </x:c>
      <x:c r="B469" s="30" t="str">
        <x:v>ĐƯỜNG ĐEN FALU - THÙNG</x:v>
      </x:c>
      <x:c r="C469" s="37" t="str">
        <x:v>SRDDFL</x:v>
      </x:c>
      <x:c r="D469" s="37" t="str">
        <x:v>SRDDFLT</x:v>
      </x:c>
      <x:c r="E469" s="37" t="str">
        <x:v>SRDDFLT</x:v>
      </x:c>
      <x:c r="F469" s="37" t="n">
        <x:v>6</x:v>
      </x:c>
      <x:c r="G469" s="37" t="n">
        <x:v>0</x:v>
      </x:c>
      <x:c r="H469" s="37" t="str">
        <x:v>g</x:v>
      </x:c>
      <x:c r="I469" s="37" t="str">
        <x:v>THÙNG</x:v>
      </x:c>
      <x:c r="J469" s="59" t="n">
        <x:v>0</x:v>
      </x:c>
      <x:c r="K469" s="59" t="n">
        <x:v>0</x:v>
      </x:c>
      <x:c r="L469" s="59" t="n">
        <x:v>0</x:v>
      </x:c>
      <x:c r="M469" s="37" t="str">
        <x:v>Đường đen / đường nước</x:v>
      </x:c>
      <x:c r="N469" s="37" t="str">
        <x:v>ĐÃ GHÉP - AUTO</x:v>
      </x:c>
      <x:c r="O469" s="61" t="n">
        <x:v>0.97</x:v>
      </x:c>
      <x:c r="P469" s="37" t="n">
        <x:v>68</x:v>
      </x:c>
      <x:c r="Q469" s="30" t="str">
        <x:v>Duong den falu</x:v>
      </x:c>
      <x:c r="R469" s="30" t="str">
        <x:v>THÙNG 6 BÌNH</x:v>
      </x:c>
      <x:c r="S469" s="30" t="str">
        <x:v>bình</x:v>
      </x:c>
      <x:c r="T469" s="37" t="str">
        <x:v>ĐƠN VỊ</x:v>
      </x:c>
      <x:c r="U469" s="59" t="n">
        <x:v>193000</x:v>
      </x:c>
      <x:c r="V469" s="59"/>
      <x:c r="W469" s="117" t="n">
        <x:v>193000</x:v>
      </x:c>
      <x:c r="X469" s="59" t="str">
        <x:f>IFERROR(IF(OR($N469="ĐÃ GHÉP - AUTO",$N469="ĐÃ GHÉP - QUY TẮC"),IF($V469="","",IF($T469="THÙNG",$V469/$F469,$V469)),""),"")</x:f>
      </x:c>
      <x:c r="Y469" s="117" t="n">
        <x:f>IF(OR(W469="",F469=""),"",W469*F469)</x:f>
        <x:v>1158000</x:v>
      </x:c>
      <x:c r="Z469" s="59" t="str">
        <x:f>IFERROR(IF(OR($N469="ĐÃ GHÉP - AUTO",$N469="ĐÃ GHÉP - QUY TẮC"),IF($V469="","",IF($T469="THÙNG",$V469,$V469*$F469)),""),"")</x:f>
      </x:c>
      <x:c r="AA469" s="28" t="str">
        <x:f>IFERROR(IF(OR($K469="",$K469=0,$Y469=""),"",($Y469-$K469)/$K469),"")</x:f>
      </x:c>
      <x:c r="AB469" s="37" t="str">
        <x:f>IFERROR(IF($N469="CẦN DUYỆT","DUYỆT MAP",IF($N469="CHƯA CÓ GIÁ LẺ","THIẾU GIÁ",IF(OR($K469="",$K469=0,$Y469=""),"OK",IF(ABS(($Y469-$K469)/$K469)&gt;0.15,"LỆCH GIÁ CŨ","OK")))),"OK")</x:f>
        <x:v>OK</x:v>
      </x:c>
      <x:c r="AC469" s="30" t="str">
        <x:v>score=0.970; gap=0.514</x:v>
      </x:c>
      <x:c r="AD469" s="37" t="str">
        <x:v>SRDDFL</x:v>
      </x:c>
      <x:c r="AE469" s="38" t="str">
        <x:v>SRDDFLT</x:v>
      </x:c>
      <x:c r="AF469" s="123" t="n">
        <x:v>0</x:v>
      </x:c>
      <x:c r="AG469" s="112" t="str">
        <x:v>g</x:v>
      </x:c>
      <x:c r="AH469" s="112" t="str">
        <x:v>BÌNH</x:v>
      </x:c>
      <x:c r="AI469" s="112" t="str">
        <x:v>0 g / BÌNH</x:v>
      </x:c>
      <x:c r="AJ469" s="120" t="n">
        <x:v>193000</x:v>
      </x:c>
      <x:c r="AK469" s="120" t="n">
        <x:v>193000</x:v>
      </x:c>
      <x:c r="AL469" s="120" t="n">
        <x:v>193000</x:v>
      </x:c>
      <x:c r="AM469" s="112" t="str">
        <x:v>GIỮ NGUYÊN - ĐÃ KHỚP</x:v>
      </x:c>
      <x:c r="AN469" s="126" t="n">
        <x:v>1041</x:v>
      </x:c>
      <x:c r="AO469" s="126" t="n">
        <x:v>1042</x:v>
      </x:c>
      <x:c r="AP469" s="113" t="str">
        <x:v>6 BÌNH / THÙNG</x:v>
      </x:c>
    </x:row>
    <x:row r="470">
      <x:c r="A470" s="71" t="str">
        <x:v>ĐƯỜNG ĐEN ERODELI</x:v>
      </x:c>
      <x:c r="B470" s="30" t="str">
        <x:v>ĐƯỜNG ĐEN ERODELI - THÙNG</x:v>
      </x:c>
      <x:c r="C470" s="37" t="str">
        <x:v>SRDDER</x:v>
      </x:c>
      <x:c r="D470" s="37" t="str">
        <x:v>SRDDERT</x:v>
      </x:c>
      <x:c r="E470" s="37" t="str">
        <x:v>SRDDERT</x:v>
      </x:c>
      <x:c r="F470" s="37" t="n">
        <x:v>6</x:v>
      </x:c>
      <x:c r="G470" s="37" t="n">
        <x:v>12</x:v>
      </x:c>
      <x:c r="H470" s="37" t="str">
        <x:v>kg</x:v>
      </x:c>
      <x:c r="I470" s="37" t="str">
        <x:v>THÙNG</x:v>
      </x:c>
      <x:c r="J470" s="59" t="n">
        <x:v>0</x:v>
      </x:c>
      <x:c r="K470" s="59" t="n">
        <x:v>0</x:v>
      </x:c>
      <x:c r="L470" s="59" t="n">
        <x:v>0</x:v>
      </x:c>
      <x:c r="M470" s="37" t="str">
        <x:v>Đường đen / đường nước</x:v>
      </x:c>
      <x:c r="N470" s="37" t="str">
        <x:v>CHƯA CÓ GIÁ LẺ</x:v>
      </x:c>
      <x:c r="O470" s="61" t="n">
        <x:v>0.451</x:v>
      </x:c>
      <x:c r="P470" s="37"/>
      <x:c r="Q470" s="30"/>
      <x:c r="R470" s="30"/>
      <x:c r="S470" s="30"/>
      <x:c r="T470" s="37"/>
      <x:c r="U470" s="59"/>
      <x:c r="V470" s="59"/>
      <x:c r="W470" s="117" t="n">
        <x:v>275000</x:v>
      </x:c>
      <x:c r="X470" s="59" t="str">
        <x:f>IFERROR(IF(OR($N470="ĐÃ GHÉP - AUTO",$N470="ĐÃ GHÉP - QUY TẮC"),IF($V470="","",IF($T470="THÙNG",$V470/$F470,$V470)),""),"")</x:f>
      </x:c>
      <x:c r="Y470" s="117" t="n">
        <x:f>IF(OR(W470="",F470=""),"",W470*F470)</x:f>
        <x:v>1650000</x:v>
      </x:c>
      <x:c r="Z470" s="59" t="str">
        <x:f>IFERROR(IF(OR($N470="ĐÃ GHÉP - AUTO",$N470="ĐÃ GHÉP - QUY TẮC"),IF($V470="","",IF($T470="THÙNG",$V470,$V470*$F470)),""),"")</x:f>
      </x:c>
      <x:c r="AA470" s="28" t="str">
        <x:f>IFERROR(IF(OR($K470="",$K470=0,$Y470=""),"",($Y470-$K470)/$K470),"")</x:f>
      </x:c>
      <x:c r="AB470" s="37" t="str">
        <x:f>IFERROR(IF($N470="CẦN DUYỆT","DUYỆT MAP",IF($N470="CHƯA CÓ GIÁ LẺ","THIẾU GIÁ",IF(OR($K470="",$K470=0,$Y470=""),"OK",IF(ABS(($Y470-$K470)/$K470)&gt;0.15,"LỆCH GIÁ CŨ","OK")))),"OK")</x:f>
        <x:v>THIẾU GIÁ</x:v>
      </x:c>
      <x:c r="AC470" s="30" t="str">
        <x:v>ứng viên gần nhất=Đuong den A+; score=0.451</x:v>
      </x:c>
      <x:c r="AD470" s="37" t="str">
        <x:v>SRDDER</x:v>
      </x:c>
      <x:c r="AE470" s="38" t="str">
        <x:v>SRDDERT</x:v>
      </x:c>
      <x:c r="AF470" s="123" t="n">
        <x:v>2</x:v>
      </x:c>
      <x:c r="AG470" s="112" t="str">
        <x:v>kg</x:v>
      </x:c>
      <x:c r="AH470" s="112" t="str">
        <x:v>BÌNH</x:v>
      </x:c>
      <x:c r="AI470" s="112" t="str">
        <x:v>2 kg / BÌNH</x:v>
      </x:c>
      <x:c r="AJ470" s="120" t="n">
        <x:v>275000</x:v>
      </x:c>
      <x:c r="AK470" s="120"/>
      <x:c r="AL470" s="120" t="n">
        <x:v>275000</x:v>
      </x:c>
      <x:c r="AM470" s="112" t="str">
        <x:v>BỔ SUNG GIÁ</x:v>
      </x:c>
      <x:c r="AN470" s="126" t="n">
        <x:v>1043</x:v>
      </x:c>
      <x:c r="AO470" s="126" t="n">
        <x:v>1044</x:v>
      </x:c>
      <x:c r="AP470" s="113" t="str">
        <x:v>6 BÌNH / THÙNG</x:v>
      </x:c>
    </x:row>
    <x:row r="471">
      <x:c r="A471" s="71" t="str">
        <x:v>ĐƯỜNG ĐEN ĐÀI LOAN</x:v>
      </x:c>
      <x:c r="B471" s="30" t="str">
        <x:v>ĐƯỜNG ĐEN ĐÀI LOAN - THÙNG</x:v>
      </x:c>
      <x:c r="C471" s="37" t="str">
        <x:v>DDDLTB</x:v>
      </x:c>
      <x:c r="D471" s="37" t="str">
        <x:v>DDDLTBT</x:v>
      </x:c>
      <x:c r="E471" s="37" t="str">
        <x:v>DDDLTBT</x:v>
      </x:c>
      <x:c r="F471" s="37" t="n">
        <x:v>12</x:v>
      </x:c>
      <x:c r="G471" s="37" t="n">
        <x:v>12</x:v>
      </x:c>
      <x:c r="H471" s="37" t="str">
        <x:v>kg</x:v>
      </x:c>
      <x:c r="I471" s="37" t="str">
        <x:v>THÙNG</x:v>
      </x:c>
      <x:c r="J471" s="59" t="n">
        <x:v>560000</x:v>
      </x:c>
      <x:c r="K471" s="59" t="n">
        <x:v>0</x:v>
      </x:c>
      <x:c r="L471" s="59" t="n">
        <x:v>0</x:v>
      </x:c>
      <x:c r="M471" s="37" t="str">
        <x:v>Đường đen / đường nước</x:v>
      </x:c>
      <x:c r="N471" s="37" t="str">
        <x:v>ĐÃ GHÉP - QUY TẮC</x:v>
      </x:c>
      <x:c r="O471" s="61" t="n">
        <x:v>0.99</x:v>
      </x:c>
      <x:c r="P471" s="37" t="n">
        <x:v>64</x:v>
      </x:c>
      <x:c r="Q471" s="30" t="str">
        <x:v>Đường đen Đài Loan TÚI BẠC</x:v>
      </x:c>
      <x:c r="R471" s="30" t="str">
        <x:v>Thùng 12kg</x:v>
      </x:c>
      <x:c r="S471" s="30" t="str">
        <x:v>bịch</x:v>
      </x:c>
      <x:c r="T471" s="37" t="str">
        <x:v>ĐƠN VỊ</x:v>
      </x:c>
      <x:c r="U471" s="59" t="n">
        <x:v>53000</x:v>
      </x:c>
      <x:c r="V471" s="59"/>
      <x:c r="W471" s="117" t="n">
        <x:v>53000</x:v>
      </x:c>
      <x:c r="X471" s="59" t="str">
        <x:f>IFERROR(IF(OR($N471="ĐÃ GHÉP - AUTO",$N471="ĐÃ GHÉP - QUY TẮC"),IF($V471="","",IF($T471="THÙNG",$V471/$F471,$V471)),""),"")</x:f>
      </x:c>
      <x:c r="Y471" s="117" t="n">
        <x:f>IF(OR(W471="",F471=""),"",W471*F471)</x:f>
        <x:v>636000</x:v>
      </x:c>
      <x:c r="Z471" s="59" t="str">
        <x:f>IFERROR(IF(OR($N471="ĐÃ GHÉP - AUTO",$N471="ĐÃ GHÉP - QUY TẮC"),IF($V471="","",IF($T471="THÙNG",$V471,$V471*$F471)),""),"")</x:f>
      </x:c>
      <x:c r="AA471" s="28" t="str">
        <x:f>IFERROR(IF(OR($K471="",$K471=0,$Y471=""),"",($Y471-$K471)/$K471),"")</x:f>
      </x:c>
      <x:c r="AB471" s="37" t="str">
        <x:f>IFERROR(IF($N471="CẦN DUYỆT","DUYỆT MAP",IF($N471="CHƯA CÓ GIÁ LẺ","THIẾU GIÁ",IF(OR($K471="",$K471=0,$Y471=""),"OK",IF(ABS(($Y471-$K471)/$K471)&gt;0.15,"LỆCH GIÁ CŨ","OK")))),"OK")</x:f>
        <x:v>OK</x:v>
      </x:c>
      <x:c r="AC471" s="30" t="str">
        <x:v>Khớp tên; bỏ mô tả túi bạc</x:v>
      </x:c>
      <x:c r="AD471" s="37" t="str">
        <x:v>DDDLTB</x:v>
      </x:c>
      <x:c r="AE471" s="38" t="str">
        <x:v>DDDLTBT</x:v>
      </x:c>
      <x:c r="AF471" s="123" t="n">
        <x:v>1</x:v>
      </x:c>
      <x:c r="AG471" s="112" t="str">
        <x:v>kg</x:v>
      </x:c>
      <x:c r="AH471" s="112" t="str">
        <x:v>GÓI</x:v>
      </x:c>
      <x:c r="AI471" s="112" t="str">
        <x:v>1 kg / GÓI</x:v>
      </x:c>
      <x:c r="AJ471" s="120" t="n">
        <x:v>53000</x:v>
      </x:c>
      <x:c r="AK471" s="120" t="n">
        <x:v>53000</x:v>
      </x:c>
      <x:c r="AL471" s="120" t="n">
        <x:v>53000</x:v>
      </x:c>
      <x:c r="AM471" s="112" t="str">
        <x:v>GIỮ NGUYÊN - ĐÃ KHỚP</x:v>
      </x:c>
      <x:c r="AN471" s="126" t="n">
        <x:v>1045</x:v>
      </x:c>
      <x:c r="AO471" s="126" t="n">
        <x:v>1046</x:v>
      </x:c>
      <x:c r="AP471" s="113" t="str">
        <x:v>12 GÓI / THÙNG</x:v>
      </x:c>
    </x:row>
    <x:row r="472">
      <x:c r="A472" s="71" t="str">
        <x:v>ĐƯỜNG BẮP</x:v>
      </x:c>
      <x:c r="B472" s="30" t="str">
        <x:v>ĐƯỜNG BẮP - THÙNG</x:v>
      </x:c>
      <x:c r="C472" s="37" t="str">
        <x:v>DBAPPP</x:v>
      </x:c>
      <x:c r="D472" s="37" t="str">
        <x:v>DBAPPPT</x:v>
      </x:c>
      <x:c r="E472" s="37" t="str">
        <x:v>DBAPPPT</x:v>
      </x:c>
      <x:c r="F472" s="37" t="n">
        <x:v>4</x:v>
      </x:c>
      <x:c r="G472" s="37" t="n">
        <x:v>20</x:v>
      </x:c>
      <x:c r="H472" s="37" t="str">
        <x:v>kg</x:v>
      </x:c>
      <x:c r="I472" s="37" t="str">
        <x:v>THÙNG</x:v>
      </x:c>
      <x:c r="J472" s="59" t="n">
        <x:v>0</x:v>
      </x:c>
      <x:c r="K472" s="59" t="n">
        <x:v>515000</x:v>
      </x:c>
      <x:c r="L472" s="59" t="n">
        <x:v>0</x:v>
      </x:c>
      <x:c r="M472" s="37" t="str">
        <x:v>Đường đen / đường nước</x:v>
      </x:c>
      <x:c r="N472" s="37" t="str">
        <x:v>CHƯA CÓ GIÁ LẺ</x:v>
      </x:c>
      <x:c r="O472" s="61" t="n">
        <x:v>0.045</x:v>
      </x:c>
      <x:c r="P472" s="37"/>
      <x:c r="Q472" s="30"/>
      <x:c r="R472" s="30"/>
      <x:c r="S472" s="30"/>
      <x:c r="T472" s="37"/>
      <x:c r="U472" s="59"/>
      <x:c r="V472" s="59"/>
      <x:c r="W472" s="117" t="n">
        <x:v>145000</x:v>
      </x:c>
      <x:c r="X472" s="59" t="str">
        <x:f>IFERROR(IF(OR($N472="ĐÃ GHÉP - AUTO",$N472="ĐÃ GHÉP - QUY TẮC"),IF($V472="","",IF($T472="THÙNG",$V472/$F472,$V472)),""),"")</x:f>
      </x:c>
      <x:c r="Y472" s="117" t="n">
        <x:f>IF(OR(W472="",F472=""),"",W472*F472)</x:f>
        <x:v>580000</x:v>
      </x:c>
      <x:c r="Z472" s="59" t="str">
        <x:f>IFERROR(IF(OR($N472="ĐÃ GHÉP - AUTO",$N472="ĐÃ GHÉP - QUY TẮC"),IF($V472="","",IF($T472="THÙNG",$V472,$V472*$F472)),""),"")</x:f>
      </x:c>
      <x:c r="AA472" s="28" t="n">
        <x:f>IFERROR(IF(OR($K472="",$K472=0,$Y472=""),"",($Y472-$K472)/$K472),"")</x:f>
        <x:v>0.1262135922330097</x:v>
      </x:c>
      <x:c r="AB472" s="37" t="str">
        <x:f>IFERROR(IF($N472="CẦN DUYỆT","DUYỆT MAP",IF($N472="CHƯA CÓ GIÁ LẺ","THIẾU GIÁ",IF(OR($K472="",$K472=0,$Y472=""),"OK",IF(ABS(($Y472-$K472)/$K472)&gt;0.15,"LỆCH GIÁ CŨ","OK")))),"OK")</x:f>
        <x:v>THIẾU GIÁ</x:v>
      </x:c>
      <x:c r="AC472" s="30" t="str">
        <x:v>ứng viên gần nhất=Đuongden black 2 lit; score=0.045</x:v>
      </x:c>
      <x:c r="AD472" s="37" t="str">
        <x:v>DBAPPP</x:v>
      </x:c>
      <x:c r="AE472" s="38" t="str">
        <x:v>DBAPPPT</x:v>
      </x:c>
      <x:c r="AF472" s="123" t="n">
        <x:v>5</x:v>
      </x:c>
      <x:c r="AG472" s="112" t="str">
        <x:v>kg</x:v>
      </x:c>
      <x:c r="AH472" s="112" t="str">
        <x:v>BÌNH</x:v>
      </x:c>
      <x:c r="AI472" s="112" t="str">
        <x:v>5 kg / BÌNH</x:v>
      </x:c>
      <x:c r="AJ472" s="120" t="n">
        <x:v>145000</x:v>
      </x:c>
      <x:c r="AK472" s="120"/>
      <x:c r="AL472" s="120" t="n">
        <x:v>145000</x:v>
      </x:c>
      <x:c r="AM472" s="112" t="str">
        <x:v>BỔ SUNG GIÁ</x:v>
      </x:c>
      <x:c r="AN472" s="126" t="n">
        <x:v>1047</x:v>
      </x:c>
      <x:c r="AO472" s="126" t="n">
        <x:v>1048</x:v>
      </x:c>
      <x:c r="AP472" s="113" t="str">
        <x:v>4 BÌNH / THÙNG</x:v>
      </x:c>
    </x:row>
    <x:row r="473">
      <x:c r="A473" s="71" t="str">
        <x:v>ĐẬU ĐỎ TIM</x:v>
      </x:c>
      <x:c r="B473" s="30" t="str">
        <x:v>ĐẬU ĐỎ TIM - THÙNG</x:v>
      </x:c>
      <x:c r="C473" s="37" t="str">
        <x:v>DDOTIM</x:v>
      </x:c>
      <x:c r="D473" s="37" t="str">
        <x:v>DDOTIMT</x:v>
      </x:c>
      <x:c r="E473" s="37" t="str">
        <x:v>DDOTIMT</x:v>
      </x:c>
      <x:c r="F473" s="37" t="n">
        <x:v>12</x:v>
      </x:c>
      <x:c r="G473" s="37" t="n">
        <x:v>115200</x:v>
      </x:c>
      <x:c r="H473" s="37" t="str">
        <x:v>g</x:v>
      </x:c>
      <x:c r="I473" s="37" t="str">
        <x:v>THÙNG</x:v>
      </x:c>
      <x:c r="J473" s="59" t="n">
        <x:v>0</x:v>
      </x:c>
      <x:c r="K473" s="59" t="n">
        <x:v>465000</x:v>
      </x:c>
      <x:c r="L473" s="59" t="n">
        <x:v>0</x:v>
      </x:c>
      <x:c r="M473" s="37" t="str">
        <x:v>Khác</x:v>
      </x:c>
      <x:c r="N473" s="37" t="str">
        <x:v>CHƯA CÓ GIÁ LẺ</x:v>
      </x:c>
      <x:c r="O473" s="61" t="n">
        <x:v>0.481</x:v>
      </x:c>
      <x:c r="P473" s="37"/>
      <x:c r="Q473" s="30"/>
      <x:c r="R473" s="30"/>
      <x:c r="S473" s="30"/>
      <x:c r="T473" s="37"/>
      <x:c r="U473" s="59"/>
      <x:c r="V473" s="59"/>
      <x:c r="W473" s="117" t="n">
        <x:v>40000</x:v>
      </x:c>
      <x:c r="X473" s="59" t="str">
        <x:f>IFERROR(IF(OR($N473="ĐÃ GHÉP - AUTO",$N473="ĐÃ GHÉP - QUY TẮC"),IF($V473="","",IF($T473="THÙNG",$V473/$F473,$V473)),""),"")</x:f>
      </x:c>
      <x:c r="Y473" s="117" t="n">
        <x:f>IF(OR(W473="",F473=""),"",W473*F473)</x:f>
        <x:v>480000</x:v>
      </x:c>
      <x:c r="Z473" s="59" t="str">
        <x:f>IFERROR(IF(OR($N473="ĐÃ GHÉP - AUTO",$N473="ĐÃ GHÉP - QUY TẮC"),IF($V473="","",IF($T473="THÙNG",$V473,$V473*$F473)),""),"")</x:f>
      </x:c>
      <x:c r="AA473" s="28" t="n">
        <x:f>IFERROR(IF(OR($K473="",$K473=0,$Y473=""),"",($Y473-$K473)/$K473),"")</x:f>
        <x:v>0.03225806451612903</x:v>
      </x:c>
      <x:c r="AB473" s="37" t="str">
        <x:f>IFERROR(IF($N473="CẦN DUYỆT","DUYỆT MAP",IF($N473="CHƯA CÓ GIÁ LẺ","THIẾU GIÁ",IF(OR($K473="",$K473=0,$Y473=""),"OK",IF(ABS(($Y473-$K473)/$K473)&gt;0.15,"LỆCH GIÁ CŨ","OK")))),"OK")</x:f>
        <x:v>THIẾU GIÁ</x:v>
      </x:c>
      <x:c r="AC473" s="30" t="str">
        <x:v>ứng viên gần nhất=Sinh Tố Berrino Dâu; score=0.481</x:v>
      </x:c>
      <x:c r="AD473" s="37" t="str">
        <x:v>DDOTIM</x:v>
      </x:c>
      <x:c r="AE473" s="38" t="str">
        <x:v>DDOTIMT</x:v>
      </x:c>
      <x:c r="AF473" s="123" t="n">
        <x:v>9600</x:v>
      </x:c>
      <x:c r="AG473" s="112" t="str">
        <x:v>g</x:v>
      </x:c>
      <x:c r="AH473" s="112" t="str">
        <x:v>LON</x:v>
      </x:c>
      <x:c r="AI473" s="112" t="str">
        <x:v>9600 g / LON</x:v>
      </x:c>
      <x:c r="AJ473" s="120" t="n">
        <x:v>40000</x:v>
      </x:c>
      <x:c r="AK473" s="120"/>
      <x:c r="AL473" s="120" t="n">
        <x:v>40000</x:v>
      </x:c>
      <x:c r="AM473" s="112" t="str">
        <x:v>BỔ SUNG GIÁ</x:v>
      </x:c>
      <x:c r="AN473" s="126" t="n">
        <x:v>1054</x:v>
      </x:c>
      <x:c r="AO473" s="126" t="n">
        <x:v>1055</x:v>
      </x:c>
      <x:c r="AP473" s="113" t="str">
        <x:v>12 LON / THÙNG</x:v>
      </x:c>
    </x:row>
    <x:row r="474">
      <x:c r="A474" s="71" t="str">
        <x:v>ĐẬM ĐẶC VIỆT QUỐC</x:v>
      </x:c>
      <x:c r="B474" s="30" t="str">
        <x:v>ĐẬM ĐẶC VIỆT QUỐC - THÙNG</x:v>
      </x:c>
      <x:c r="C474" s="37" t="str">
        <x:v>DDGVQU</x:v>
      </x:c>
      <x:c r="D474" s="37" t="str">
        <x:v>DDGVQUT</x:v>
      </x:c>
      <x:c r="E474" s="37" t="str">
        <x:v>DDGVQUT</x:v>
      </x:c>
      <x:c r="F474" s="37" t="n">
        <x:v>12</x:v>
      </x:c>
      <x:c r="G474" s="37" t="n">
        <x:v>16000</x:v>
      </x:c>
      <x:c r="H474" s="37" t="str">
        <x:v>g</x:v>
      </x:c>
      <x:c r="I474" s="37" t="str">
        <x:v>THÙNG</x:v>
      </x:c>
      <x:c r="J474" s="59" t="n">
        <x:v>0</x:v>
      </x:c>
      <x:c r="K474" s="59" t="n">
        <x:v>0</x:v>
      </x:c>
      <x:c r="L474" s="59" t="n">
        <x:v>0</x:v>
      </x:c>
      <x:c r="M474" s="37" t="str">
        <x:v>Khác</x:v>
      </x:c>
      <x:c r="N474" s="37" t="str">
        <x:v>CẦN DUYỆT</x:v>
      </x:c>
      <x:c r="O474" s="61" t="n">
        <x:v>0.664</x:v>
      </x:c>
      <x:c r="P474" s="37" t="n">
        <x:v>35</x:v>
      </x:c>
      <x:c r="Q474" s="30" t="str">
        <x:v>Sinh Tố Gold Việt Quốc</x:v>
      </x:c>
      <x:c r="R474" s="30" t="str">
        <x:v>Thùng12 chai</x:v>
      </x:c>
      <x:c r="S474" s="30" t="str">
        <x:v>Chai</x:v>
      </x:c>
      <x:c r="T474" s="37" t="str">
        <x:v>ĐƠN VỊ</x:v>
      </x:c>
      <x:c r="U474" s="59" t="n">
        <x:v>125000</x:v>
      </x:c>
      <x:c r="V474" s="59"/>
      <x:c r="W474" s="117" t="n">
        <x:v>62000</x:v>
      </x:c>
      <x:c r="X474" s="59" t="str">
        <x:f>IFERROR(IF(OR($N474="ĐÃ GHÉP - AUTO",$N474="ĐÃ GHÉP - QUY TẮC"),IF($V474="","",IF($T474="THÙNG",$V474/$F474,$V474)),""),"")</x:f>
      </x:c>
      <x:c r="Y474" s="117" t="n">
        <x:f>IF(OR(W474="",F474=""),"",W474*F474)</x:f>
        <x:v>744000</x:v>
      </x:c>
      <x:c r="Z474" s="59" t="str">
        <x:f>IFERROR(IF(OR($N474="ĐÃ GHÉP - AUTO",$N474="ĐÃ GHÉP - QUY TẮC"),IF($V474="","",IF($T474="THÙNG",$V474,$V474*$F474)),""),"")</x:f>
      </x:c>
      <x:c r="AA474" s="28" t="str">
        <x:f>IFERROR(IF(OR($K474="",$K474=0,$Y474=""),"",($Y474-$K474)/$K474),"")</x:f>
      </x:c>
      <x:c r="AB474" s="37" t="str">
        <x:f>IFERROR(IF($N474="CẦN DUYỆT","DUYỆT MAP",IF($N474="CHƯA CÓ GIÁ LẺ","THIẾU GIÁ",IF(OR($K474="",$K474=0,$Y474=""),"OK",IF(ABS(($Y474-$K474)/$K474)&gt;0.15,"LỆCH GIÁ CŨ","OK")))),"OK")</x:f>
        <x:v>DUYỆT MAP</x:v>
      </x:c>
      <x:c r="AC474" s="30" t="str">
        <x:v>score=0.664; gap=0.025; phương án 2=Sinh Tố Berrino Việt Quốc</x:v>
      </x:c>
      <x:c r="AD474" s="37" t="str">
        <x:v>DDGVQU</x:v>
      </x:c>
      <x:c r="AE474" s="38" t="str">
        <x:v>DDGVQUT</x:v>
      </x:c>
      <x:c r="AF474" s="123" t="n">
        <x:v>1000</x:v>
      </x:c>
      <x:c r="AG474" s="112" t="str">
        <x:v>g</x:v>
      </x:c>
      <x:c r="AH474" s="112" t="str">
        <x:v>CHAI</x:v>
      </x:c>
      <x:c r="AI474" s="112" t="str">
        <x:v>1000 g / CHAI</x:v>
      </x:c>
      <x:c r="AJ474" s="120" t="n">
        <x:v>62000</x:v>
      </x:c>
      <x:c r="AK474" s="120"/>
      <x:c r="AL474" s="120" t="n">
        <x:v>62000</x:v>
      </x:c>
      <x:c r="AM474" s="112" t="str">
        <x:v>BỔ SUNG GIÁ</x:v>
      </x:c>
      <x:c r="AN474" s="126" t="n">
        <x:v>1056</x:v>
      </x:c>
      <x:c r="AO474" s="126" t="n">
        <x:v>1057</x:v>
      </x:c>
      <x:c r="AP474" s="113" t="str">
        <x:v>12 CHAI / THÙNG</x:v>
      </x:c>
    </x:row>
    <x:row r="475">
      <x:c r="A475" s="71" t="str">
        <x:v>ĐẬM ĐẶC VẢI</x:v>
      </x:c>
      <x:c r="B475" s="30" t="str">
        <x:v>ĐẬM ĐẶC VẢI - THÙNG</x:v>
      </x:c>
      <x:c r="C475" s="37" t="str">
        <x:v>DDGVAI</x:v>
      </x:c>
      <x:c r="D475" s="37" t="str">
        <x:v>DDGVAIT</x:v>
      </x:c>
      <x:c r="E475" s="37" t="str">
        <x:v>DDGVAIT</x:v>
      </x:c>
      <x:c r="F475" s="37" t="n">
        <x:v>12</x:v>
      </x:c>
      <x:c r="G475" s="37" t="n">
        <x:v>16000</x:v>
      </x:c>
      <x:c r="H475" s="37" t="str">
        <x:v>g</x:v>
      </x:c>
      <x:c r="I475" s="37" t="str">
        <x:v>THÙNG</x:v>
      </x:c>
      <x:c r="J475" s="59" t="n">
        <x:v>0</x:v>
      </x:c>
      <x:c r="K475" s="59" t="n">
        <x:v>0</x:v>
      </x:c>
      <x:c r="L475" s="59" t="n">
        <x:v>0</x:v>
      </x:c>
      <x:c r="M475" s="37" t="str">
        <x:v>Khác</x:v>
      </x:c>
      <x:c r="N475" s="37" t="str">
        <x:v>CHƯA CÓ GIÁ LẺ</x:v>
      </x:c>
      <x:c r="O475" s="61" t="n">
        <x:v>0.531</x:v>
      </x:c>
      <x:c r="P475" s="37"/>
      <x:c r="Q475" s="30"/>
      <x:c r="R475" s="30"/>
      <x:c r="S475" s="30"/>
      <x:c r="T475" s="37"/>
      <x:c r="U475" s="59"/>
      <x:c r="V475" s="59"/>
      <x:c r="W475" s="117" t="n">
        <x:v>62000</x:v>
      </x:c>
      <x:c r="X475" s="59" t="str">
        <x:f>IFERROR(IF(OR($N475="ĐÃ GHÉP - AUTO",$N475="ĐÃ GHÉP - QUY TẮC"),IF($V475="","",IF($T475="THÙNG",$V475/$F475,$V475)),""),"")</x:f>
      </x:c>
      <x:c r="Y475" s="117" t="n">
        <x:f>IF(OR(W475="",F475=""),"",W475*F475)</x:f>
        <x:v>744000</x:v>
      </x:c>
      <x:c r="Z475" s="59" t="str">
        <x:f>IFERROR(IF(OR($N475="ĐÃ GHÉP - AUTO",$N475="ĐÃ GHÉP - QUY TẮC"),IF($V475="","",IF($T475="THÙNG",$V475,$V475*$F475)),""),"")</x:f>
      </x:c>
      <x:c r="AA475" s="28" t="str">
        <x:f>IFERROR(IF(OR($K475="",$K475=0,$Y475=""),"",($Y475-$K475)/$K475),"")</x:f>
      </x:c>
      <x:c r="AB475" s="37" t="str">
        <x:f>IFERROR(IF($N475="CẦN DUYỆT","DUYỆT MAP",IF($N475="CHƯA CÓ GIÁ LẺ","THIẾU GIÁ",IF(OR($K475="",$K475=0,$Y475=""),"OK",IF(ABS(($Y475-$K475)/$K475)&gt;0.15,"LỆCH GIÁ CŨ","OK")))),"OK")</x:f>
        <x:v>THIẾU GIÁ</x:v>
      </x:c>
      <x:c r="AC475" s="30" t="str">
        <x:v>ứng viên gần nhất=Sinh Tố Berrino Vải; score=0.531</x:v>
      </x:c>
      <x:c r="AD475" s="37" t="str">
        <x:v>DDGVAI</x:v>
      </x:c>
      <x:c r="AE475" s="38" t="str">
        <x:v>DDGVAIT</x:v>
      </x:c>
      <x:c r="AF475" s="123" t="n">
        <x:v>1000</x:v>
      </x:c>
      <x:c r="AG475" s="112" t="str">
        <x:v>g</x:v>
      </x:c>
      <x:c r="AH475" s="112" t="str">
        <x:v>CHAI</x:v>
      </x:c>
      <x:c r="AI475" s="112" t="str">
        <x:v>1000 g / CHAI</x:v>
      </x:c>
      <x:c r="AJ475" s="120" t="n">
        <x:v>62000</x:v>
      </x:c>
      <x:c r="AK475" s="120"/>
      <x:c r="AL475" s="120" t="n">
        <x:v>62000</x:v>
      </x:c>
      <x:c r="AM475" s="112" t="str">
        <x:v>BỔ SUNG GIÁ</x:v>
      </x:c>
      <x:c r="AN475" s="126" t="n">
        <x:v>1058</x:v>
      </x:c>
      <x:c r="AO475" s="126" t="n">
        <x:v>1059</x:v>
      </x:c>
      <x:c r="AP475" s="113" t="str">
        <x:v>12 CHAI / THÙNG</x:v>
      </x:c>
    </x:row>
    <x:row r="476">
      <x:c r="A476" s="71" t="str">
        <x:v>ĐẬM ĐẶC THƠM</x:v>
      </x:c>
      <x:c r="B476" s="30" t="str">
        <x:v>ĐẬM ĐẶC THƠM - THÙNG</x:v>
      </x:c>
      <x:c r="C476" s="37" t="str">
        <x:v>DDGTHM</x:v>
      </x:c>
      <x:c r="D476" s="37" t="str">
        <x:v>DDGTHMT</x:v>
      </x:c>
      <x:c r="E476" s="37" t="str">
        <x:v>DDGTHMT</x:v>
      </x:c>
      <x:c r="F476" s="37" t="n">
        <x:v>12</x:v>
      </x:c>
      <x:c r="G476" s="37" t="n">
        <x:v>16000</x:v>
      </x:c>
      <x:c r="H476" s="37" t="str">
        <x:v>g</x:v>
      </x:c>
      <x:c r="I476" s="37" t="str">
        <x:v>THÙNG</x:v>
      </x:c>
      <x:c r="J476" s="59" t="n">
        <x:v>0</x:v>
      </x:c>
      <x:c r="K476" s="59" t="n">
        <x:v>0</x:v>
      </x:c>
      <x:c r="L476" s="59" t="n">
        <x:v>0</x:v>
      </x:c>
      <x:c r="M476" s="37" t="str">
        <x:v>Khác</x:v>
      </x:c>
      <x:c r="N476" s="37" t="str">
        <x:v>CHƯA CÓ GIÁ LẺ</x:v>
      </x:c>
      <x:c r="O476" s="61" t="n">
        <x:v>0.558</x:v>
      </x:c>
      <x:c r="P476" s="37"/>
      <x:c r="Q476" s="30"/>
      <x:c r="R476" s="30"/>
      <x:c r="S476" s="30"/>
      <x:c r="T476" s="37"/>
      <x:c r="U476" s="59"/>
      <x:c r="V476" s="59"/>
      <x:c r="W476" s="117" t="n">
        <x:v>62000</x:v>
      </x:c>
      <x:c r="X476" s="59" t="str">
        <x:f>IFERROR(IF(OR($N476="ĐÃ GHÉP - AUTO",$N476="ĐÃ GHÉP - QUY TẮC"),IF($V476="","",IF($T476="THÙNG",$V476/$F476,$V476)),""),"")</x:f>
      </x:c>
      <x:c r="Y476" s="117" t="n">
        <x:f>IF(OR(W476="",F476=""),"",W476*F476)</x:f>
        <x:v>744000</x:v>
      </x:c>
      <x:c r="Z476" s="59" t="str">
        <x:f>IFERROR(IF(OR($N476="ĐÃ GHÉP - AUTO",$N476="ĐÃ GHÉP - QUY TẮC"),IF($V476="","",IF($T476="THÙNG",$V476,$V476*$F476)),""),"")</x:f>
      </x:c>
      <x:c r="AA476" s="28" t="str">
        <x:f>IFERROR(IF(OR($K476="",$K476=0,$Y476=""),"",($Y476-$K476)/$K476),"")</x:f>
      </x:c>
      <x:c r="AB476" s="37" t="str">
        <x:f>IFERROR(IF($N476="CẦN DUYỆT","DUYỆT MAP",IF($N476="CHƯA CÓ GIÁ LẺ","THIẾU GIÁ",IF(OR($K476="",$K476=0,$Y476=""),"OK",IF(ABS(($Y476-$K476)/$K476)&gt;0.15,"LỆCH GIÁ CŨ","OK")))),"OK")</x:f>
        <x:v>THIẾU GIÁ</x:v>
      </x:c>
      <x:c r="AC476" s="30" t="str">
        <x:v>ứng viên gần nhất=Sinh Tô berino khom; score=0.558</x:v>
      </x:c>
      <x:c r="AD476" s="37" t="str">
        <x:v>DDGTHM</x:v>
      </x:c>
      <x:c r="AE476" s="38" t="str">
        <x:v>DDGTHMT</x:v>
      </x:c>
      <x:c r="AF476" s="123" t="n">
        <x:v>1000</x:v>
      </x:c>
      <x:c r="AG476" s="112" t="str">
        <x:v>g</x:v>
      </x:c>
      <x:c r="AH476" s="112" t="str">
        <x:v>CHAI</x:v>
      </x:c>
      <x:c r="AI476" s="112" t="str">
        <x:v>1000 g / CHAI</x:v>
      </x:c>
      <x:c r="AJ476" s="120" t="n">
        <x:v>62000</x:v>
      </x:c>
      <x:c r="AK476" s="120"/>
      <x:c r="AL476" s="120" t="n">
        <x:v>62000</x:v>
      </x:c>
      <x:c r="AM476" s="112" t="str">
        <x:v>BỔ SUNG GIÁ</x:v>
      </x:c>
      <x:c r="AN476" s="126" t="n">
        <x:v>1060</x:v>
      </x:c>
      <x:c r="AO476" s="126" t="n">
        <x:v>1061</x:v>
      </x:c>
      <x:c r="AP476" s="113" t="str">
        <x:v>12 CHAI / THÙNG</x:v>
      </x:c>
    </x:row>
    <x:row r="477">
      <x:c r="A477" s="71" t="str">
        <x:v>ĐẬM ĐẶC QUÝT</x:v>
      </x:c>
      <x:c r="B477" s="30" t="str">
        <x:v>ĐẬM ĐẶC QUÝT - THÙNG</x:v>
      </x:c>
      <x:c r="C477" s="37" t="str">
        <x:v>DDGQUT</x:v>
      </x:c>
      <x:c r="D477" s="37" t="str">
        <x:v>DDGQUTT</x:v>
      </x:c>
      <x:c r="E477" s="37" t="str">
        <x:v>DDGQUTT</x:v>
      </x:c>
      <x:c r="F477" s="37" t="n">
        <x:v>12</x:v>
      </x:c>
      <x:c r="G477" s="37" t="n">
        <x:v>16000</x:v>
      </x:c>
      <x:c r="H477" s="37" t="str">
        <x:v>g</x:v>
      </x:c>
      <x:c r="I477" s="37" t="str">
        <x:v>THÙNG</x:v>
      </x:c>
      <x:c r="J477" s="59" t="n">
        <x:v>0</x:v>
      </x:c>
      <x:c r="K477" s="59" t="n">
        <x:v>730000</x:v>
      </x:c>
      <x:c r="L477" s="59" t="n">
        <x:v>0</x:v>
      </x:c>
      <x:c r="M477" s="37" t="str">
        <x:v>Khác</x:v>
      </x:c>
      <x:c r="N477" s="37" t="str">
        <x:v>CHƯA CÓ GIÁ LẺ</x:v>
      </x:c>
      <x:c r="O477" s="61" t="n">
        <x:v>0.407</x:v>
      </x:c>
      <x:c r="P477" s="37"/>
      <x:c r="Q477" s="30"/>
      <x:c r="R477" s="30"/>
      <x:c r="S477" s="30"/>
      <x:c r="T477" s="37"/>
      <x:c r="U477" s="59"/>
      <x:c r="V477" s="59"/>
      <x:c r="W477" s="117" t="n">
        <x:v>62000</x:v>
      </x:c>
      <x:c r="X477" s="59" t="str">
        <x:f>IFERROR(IF(OR($N477="ĐÃ GHÉP - AUTO",$N477="ĐÃ GHÉP - QUY TẮC"),IF($V477="","",IF($T477="THÙNG",$V477/$F477,$V477)),""),"")</x:f>
      </x:c>
      <x:c r="Y477" s="117" t="n">
        <x:f>IF(OR(W477="",F477=""),"",W477*F477)</x:f>
        <x:v>744000</x:v>
      </x:c>
      <x:c r="Z477" s="59" t="str">
        <x:f>IFERROR(IF(OR($N477="ĐÃ GHÉP - AUTO",$N477="ĐÃ GHÉP - QUY TẮC"),IF($V477="","",IF($T477="THÙNG",$V477,$V477*$F477)),""),"")</x:f>
      </x:c>
      <x:c r="AA477" s="28" t="n">
        <x:f>IFERROR(IF(OR($K477="",$K477=0,$Y477=""),"",($Y477-$K477)/$K477),"")</x:f>
        <x:v>0.019178082191780823</x:v>
      </x:c>
      <x:c r="AB477" s="37" t="str">
        <x:f>IFERROR(IF($N477="CẦN DUYỆT","DUYỆT MAP",IF($N477="CHƯA CÓ GIÁ LẺ","THIẾU GIÁ",IF(OR($K477="",$K477=0,$Y477=""),"OK",IF(ABS(($Y477-$K477)/$K477)&gt;0.15,"LỆCH GIÁ CŨ","OK")))),"OK")</x:f>
        <x:v>THIẾU GIÁ</x:v>
      </x:c>
      <x:c r="AC477" s="30" t="str">
        <x:v>ứng viên gần nhất=Nha Đam; score=0.407</x:v>
      </x:c>
      <x:c r="AD477" s="37" t="str">
        <x:v>DDGQUT</x:v>
      </x:c>
      <x:c r="AE477" s="38" t="str">
        <x:v>DDGQUTT</x:v>
      </x:c>
      <x:c r="AF477" s="123" t="n">
        <x:v>1000</x:v>
      </x:c>
      <x:c r="AG477" s="112" t="str">
        <x:v>g</x:v>
      </x:c>
      <x:c r="AH477" s="112" t="str">
        <x:v>CHAI</x:v>
      </x:c>
      <x:c r="AI477" s="112" t="str">
        <x:v>1000 g / CHAI</x:v>
      </x:c>
      <x:c r="AJ477" s="120" t="n">
        <x:v>62000</x:v>
      </x:c>
      <x:c r="AK477" s="120"/>
      <x:c r="AL477" s="120" t="n">
        <x:v>62000</x:v>
      </x:c>
      <x:c r="AM477" s="112" t="str">
        <x:v>BỔ SUNG GIÁ</x:v>
      </x:c>
      <x:c r="AN477" s="126" t="n">
        <x:v>1062</x:v>
      </x:c>
      <x:c r="AO477" s="126" t="n">
        <x:v>1063</x:v>
      </x:c>
      <x:c r="AP477" s="113" t="str">
        <x:v>12 CHAI / THÙNG</x:v>
      </x:c>
    </x:row>
    <x:row r="478">
      <x:c r="A478" s="71" t="str">
        <x:v>ĐẬM ĐẶC ỔI</x:v>
      </x:c>
      <x:c r="B478" s="30" t="str">
        <x:v>ĐẬM ĐẶC ỔI - THÙNG</x:v>
      </x:c>
      <x:c r="C478" s="37" t="str">
        <x:v>DDGOIH</x:v>
      </x:c>
      <x:c r="D478" s="37" t="str">
        <x:v>DDGOIHT</x:v>
      </x:c>
      <x:c r="E478" s="37" t="str">
        <x:v>DDGOIHT</x:v>
      </x:c>
      <x:c r="F478" s="37" t="n">
        <x:v>12</x:v>
      </x:c>
      <x:c r="G478" s="37" t="n">
        <x:v>16000</x:v>
      </x:c>
      <x:c r="H478" s="37" t="str">
        <x:v>g</x:v>
      </x:c>
      <x:c r="I478" s="37" t="str">
        <x:v>THÙNG</x:v>
      </x:c>
      <x:c r="J478" s="59" t="n">
        <x:v>0</x:v>
      </x:c>
      <x:c r="K478" s="59" t="n">
        <x:v>0</x:v>
      </x:c>
      <x:c r="L478" s="59" t="n">
        <x:v>0</x:v>
      </x:c>
      <x:c r="M478" s="37" t="str">
        <x:v>Khác</x:v>
      </x:c>
      <x:c r="N478" s="37" t="str">
        <x:v>CHƯA CÓ GIÁ LẺ</x:v>
      </x:c>
      <x:c r="O478" s="61" t="n">
        <x:v>0.5</x:v>
      </x:c>
      <x:c r="P478" s="37"/>
      <x:c r="Q478" s="30"/>
      <x:c r="R478" s="30"/>
      <x:c r="S478" s="30"/>
      <x:c r="T478" s="37"/>
      <x:c r="U478" s="59"/>
      <x:c r="V478" s="59"/>
      <x:c r="W478" s="117" t="n">
        <x:v>62000</x:v>
      </x:c>
      <x:c r="X478" s="59" t="str">
        <x:f>IFERROR(IF(OR($N478="ĐÃ GHÉP - AUTO",$N478="ĐÃ GHÉP - QUY TẮC"),IF($V478="","",IF($T478="THÙNG",$V478/$F478,$V478)),""),"")</x:f>
      </x:c>
      <x:c r="Y478" s="117" t="n">
        <x:f>IF(OR(W478="",F478=""),"",W478*F478)</x:f>
        <x:v>744000</x:v>
      </x:c>
      <x:c r="Z478" s="59" t="str">
        <x:f>IFERROR(IF(OR($N478="ĐÃ GHÉP - AUTO",$N478="ĐÃ GHÉP - QUY TẮC"),IF($V478="","",IF($T478="THÙNG",$V478,$V478*$F478)),""),"")</x:f>
      </x:c>
      <x:c r="AA478" s="28" t="str">
        <x:f>IFERROR(IF(OR($K478="",$K478=0,$Y478=""),"",($Y478-$K478)/$K478),"")</x:f>
      </x:c>
      <x:c r="AB478" s="37" t="str">
        <x:f>IFERROR(IF($N478="CẦN DUYỆT","DUYỆT MAP",IF($N478="CHƯA CÓ GIÁ LẺ","THIẾU GIÁ",IF(OR($K478="",$K478=0,$Y478=""),"OK",IF(ABS(($Y478-$K478)/$K478)&gt;0.15,"LỆCH GIÁ CŨ","OK")))),"OK")</x:f>
        <x:v>THIẾU GIÁ</x:v>
      </x:c>
      <x:c r="AC478" s="30" t="str">
        <x:v>ứng viên gần nhất=Sinh tố Berrino ổi; score=0.500</x:v>
      </x:c>
      <x:c r="AD478" s="37" t="str">
        <x:v>DDGOIH</x:v>
      </x:c>
      <x:c r="AE478" s="38" t="str">
        <x:v>DDGOIHT</x:v>
      </x:c>
      <x:c r="AF478" s="123" t="n">
        <x:v>1000</x:v>
      </x:c>
      <x:c r="AG478" s="112" t="str">
        <x:v>g</x:v>
      </x:c>
      <x:c r="AH478" s="112" t="str">
        <x:v>CHAI</x:v>
      </x:c>
      <x:c r="AI478" s="112" t="str">
        <x:v>1000 g / CHAI</x:v>
      </x:c>
      <x:c r="AJ478" s="120" t="n">
        <x:v>62000</x:v>
      </x:c>
      <x:c r="AK478" s="120"/>
      <x:c r="AL478" s="120" t="n">
        <x:v>62000</x:v>
      </x:c>
      <x:c r="AM478" s="112" t="str">
        <x:v>BỔ SUNG GIÁ</x:v>
      </x:c>
      <x:c r="AN478" s="126" t="n">
        <x:v>1064</x:v>
      </x:c>
      <x:c r="AO478" s="126" t="n">
        <x:v>1065</x:v>
      </x:c>
      <x:c r="AP478" s="113" t="str">
        <x:v>12 CHAI / THÙNG</x:v>
      </x:c>
    </x:row>
    <x:row r="479">
      <x:c r="A479" s="71" t="str">
        <x:v>ĐẬM ĐẶC NHIỆT ĐỚI</x:v>
      </x:c>
      <x:c r="B479" s="30" t="str">
        <x:v>ĐẬM ĐẶC NHIỆT ĐỚI - THÙNG</x:v>
      </x:c>
      <x:c r="C479" s="37" t="str">
        <x:v>DDGNDO</x:v>
      </x:c>
      <x:c r="D479" s="37" t="str">
        <x:v>DDGNDOT</x:v>
      </x:c>
      <x:c r="E479" s="37" t="str">
        <x:v>DDGNDOT</x:v>
      </x:c>
      <x:c r="F479" s="37" t="n">
        <x:v>12</x:v>
      </x:c>
      <x:c r="G479" s="37" t="n">
        <x:v>16000</x:v>
      </x:c>
      <x:c r="H479" s="37" t="str">
        <x:v>g</x:v>
      </x:c>
      <x:c r="I479" s="37" t="str">
        <x:v>THÙNG</x:v>
      </x:c>
      <x:c r="J479" s="59" t="n">
        <x:v>0</x:v>
      </x:c>
      <x:c r="K479" s="59" t="n">
        <x:v>0</x:v>
      </x:c>
      <x:c r="L479" s="59" t="n">
        <x:v>0</x:v>
      </x:c>
      <x:c r="M479" s="37" t="str">
        <x:v>Khác</x:v>
      </x:c>
      <x:c r="N479" s="37" t="str">
        <x:v>CHƯA CÓ GIÁ LẺ</x:v>
      </x:c>
      <x:c r="O479" s="61" t="n">
        <x:v>0.437</x:v>
      </x:c>
      <x:c r="P479" s="37"/>
      <x:c r="Q479" s="30"/>
      <x:c r="R479" s="30"/>
      <x:c r="S479" s="30"/>
      <x:c r="T479" s="37"/>
      <x:c r="U479" s="59"/>
      <x:c r="V479" s="59"/>
      <x:c r="W479" s="117" t="n">
        <x:v>62000</x:v>
      </x:c>
      <x:c r="X479" s="59" t="str">
        <x:f>IFERROR(IF(OR($N479="ĐÃ GHÉP - AUTO",$N479="ĐÃ GHÉP - QUY TẮC"),IF($V479="","",IF($T479="THÙNG",$V479/$F479,$V479)),""),"")</x:f>
      </x:c>
      <x:c r="Y479" s="117" t="n">
        <x:f>IF(OR(W479="",F479=""),"",W479*F479)</x:f>
        <x:v>744000</x:v>
      </x:c>
      <x:c r="Z479" s="59" t="str">
        <x:f>IFERROR(IF(OR($N479="ĐÃ GHÉP - AUTO",$N479="ĐÃ GHÉP - QUY TẮC"),IF($V479="","",IF($T479="THÙNG",$V479,$V479*$F479)),""),"")</x:f>
      </x:c>
      <x:c r="AA479" s="28" t="str">
        <x:f>IFERROR(IF(OR($K479="",$K479=0,$Y479=""),"",($Y479-$K479)/$K479),"")</x:f>
      </x:c>
      <x:c r="AB479" s="37" t="str">
        <x:f>IFERROR(IF($N479="CẦN DUYỆT","DUYỆT MAP",IF($N479="CHƯA CÓ GIÁ LẺ","THIẾU GIÁ",IF(OR($K479="",$K479=0,$Y479=""),"OK",IF(ABS(($Y479-$K479)/$K479)&gt;0.15,"LỆCH GIÁ CŨ","OK")))),"OK")</x:f>
        <x:v>THIẾU GIÁ</x:v>
      </x:c>
      <x:c r="AC479" s="30" t="str">
        <x:v>ứng viên gần nhất=Nha Đam; score=0.437</x:v>
      </x:c>
      <x:c r="AD479" s="37" t="str">
        <x:v>DDGNDO</x:v>
      </x:c>
      <x:c r="AE479" s="38" t="str">
        <x:v>DDGNDOT</x:v>
      </x:c>
      <x:c r="AF479" s="123" t="n">
        <x:v>1000</x:v>
      </x:c>
      <x:c r="AG479" s="112" t="str">
        <x:v>g</x:v>
      </x:c>
      <x:c r="AH479" s="112" t="str">
        <x:v>CHAI</x:v>
      </x:c>
      <x:c r="AI479" s="112" t="str">
        <x:v>1000 g / CHAI</x:v>
      </x:c>
      <x:c r="AJ479" s="120" t="n">
        <x:v>62000</x:v>
      </x:c>
      <x:c r="AK479" s="120"/>
      <x:c r="AL479" s="120" t="n">
        <x:v>62000</x:v>
      </x:c>
      <x:c r="AM479" s="112" t="str">
        <x:v>BỔ SUNG GIÁ</x:v>
      </x:c>
      <x:c r="AN479" s="126" t="n">
        <x:v>1066</x:v>
      </x:c>
      <x:c r="AO479" s="126" t="n">
        <x:v>1067</x:v>
      </x:c>
      <x:c r="AP479" s="113" t="str">
        <x:v>12 CHAI / THÙNG</x:v>
      </x:c>
    </x:row>
    <x:row r="480">
      <x:c r="A480" s="71" t="str">
        <x:v>ĐẬM ĐẶC NHÃN</x:v>
      </x:c>
      <x:c r="B480" s="30" t="str">
        <x:v>ĐẬM ĐẶC NHÃN - THÙNG</x:v>
      </x:c>
      <x:c r="C480" s="37" t="str">
        <x:v>DDGNHN</x:v>
      </x:c>
      <x:c r="D480" s="37" t="str">
        <x:v>DDGNHNT</x:v>
      </x:c>
      <x:c r="E480" s="37" t="str">
        <x:v>DDGNHNT</x:v>
      </x:c>
      <x:c r="F480" s="37" t="n">
        <x:v>12</x:v>
      </x:c>
      <x:c r="G480" s="37" t="n">
        <x:v>16000</x:v>
      </x:c>
      <x:c r="H480" s="37" t="str">
        <x:v>g</x:v>
      </x:c>
      <x:c r="I480" s="37" t="str">
        <x:v>THÙNG</x:v>
      </x:c>
      <x:c r="J480" s="59" t="n">
        <x:v>0</x:v>
      </x:c>
      <x:c r="K480" s="59" t="n">
        <x:v>0</x:v>
      </x:c>
      <x:c r="L480" s="59" t="n">
        <x:v>0</x:v>
      </x:c>
      <x:c r="M480" s="37" t="str">
        <x:v>Khác</x:v>
      </x:c>
      <x:c r="N480" s="37" t="str">
        <x:v>CHƯA CÓ GIÁ LẺ</x:v>
      </x:c>
      <x:c r="O480" s="61" t="n">
        <x:v>0.453</x:v>
      </x:c>
      <x:c r="P480" s="37"/>
      <x:c r="Q480" s="30"/>
      <x:c r="R480" s="30"/>
      <x:c r="S480" s="30"/>
      <x:c r="T480" s="37"/>
      <x:c r="U480" s="59"/>
      <x:c r="V480" s="59"/>
      <x:c r="W480" s="117" t="n">
        <x:v>62000</x:v>
      </x:c>
      <x:c r="X480" s="59" t="str">
        <x:f>IFERROR(IF(OR($N480="ĐÃ GHÉP - AUTO",$N480="ĐÃ GHÉP - QUY TẮC"),IF($V480="","",IF($T480="THÙNG",$V480/$F480,$V480)),""),"")</x:f>
      </x:c>
      <x:c r="Y480" s="117" t="n">
        <x:f>IF(OR(W480="",F480=""),"",W480*F480)</x:f>
        <x:v>744000</x:v>
      </x:c>
      <x:c r="Z480" s="59" t="str">
        <x:f>IFERROR(IF(OR($N480="ĐÃ GHÉP - AUTO",$N480="ĐÃ GHÉP - QUY TẮC"),IF($V480="","",IF($T480="THÙNG",$V480,$V480*$F480)),""),"")</x:f>
      </x:c>
      <x:c r="AA480" s="28" t="str">
        <x:f>IFERROR(IF(OR($K480="",$K480=0,$Y480=""),"",($Y480-$K480)/$K480),"")</x:f>
      </x:c>
      <x:c r="AB480" s="37" t="str">
        <x:f>IFERROR(IF($N480="CẦN DUYỆT","DUYỆT MAP",IF($N480="CHƯA CÓ GIÁ LẺ","THIẾU GIÁ",IF(OR($K480="",$K480=0,$Y480=""),"OK",IF(ABS(($Y480-$K480)/$K480)&gt;0.15,"LỆCH GIÁ CŨ","OK")))),"OK")</x:f>
        <x:v>THIẾU GIÁ</x:v>
      </x:c>
      <x:c r="AC480" s="30" t="str">
        <x:v>ứng viên gần nhất=Nha Đam; score=0.453</x:v>
      </x:c>
      <x:c r="AD480" s="37" t="str">
        <x:v>DDGNHN</x:v>
      </x:c>
      <x:c r="AE480" s="38" t="str">
        <x:v>DDGNHNT</x:v>
      </x:c>
      <x:c r="AF480" s="123" t="n">
        <x:v>1000</x:v>
      </x:c>
      <x:c r="AG480" s="112" t="str">
        <x:v>g</x:v>
      </x:c>
      <x:c r="AH480" s="112" t="str">
        <x:v>CHAI</x:v>
      </x:c>
      <x:c r="AI480" s="112" t="str">
        <x:v>1000 g / CHAI</x:v>
      </x:c>
      <x:c r="AJ480" s="120" t="n">
        <x:v>62000</x:v>
      </x:c>
      <x:c r="AK480" s="120"/>
      <x:c r="AL480" s="120" t="n">
        <x:v>62000</x:v>
      </x:c>
      <x:c r="AM480" s="112" t="str">
        <x:v>BỔ SUNG GIÁ</x:v>
      </x:c>
      <x:c r="AN480" s="126" t="n">
        <x:v>1068</x:v>
      </x:c>
      <x:c r="AO480" s="126" t="n">
        <x:v>1069</x:v>
      </x:c>
      <x:c r="AP480" s="113" t="str">
        <x:v>12 CHAI / THÙNG</x:v>
      </x:c>
    </x:row>
    <x:row r="481">
      <x:c r="A481" s="71" t="str">
        <x:v>ĐẬM ĐẶC ĐÀO</x:v>
      </x:c>
      <x:c r="B481" s="30" t="str">
        <x:v>ĐẬM ĐẶC ĐÀO - THÙNG</x:v>
      </x:c>
      <x:c r="C481" s="37" t="str">
        <x:v>DDGDAO</x:v>
      </x:c>
      <x:c r="D481" s="37" t="str">
        <x:v>DDGDAOT</x:v>
      </x:c>
      <x:c r="E481" s="37" t="str">
        <x:v>DDGDAOT</x:v>
      </x:c>
      <x:c r="F481" s="37" t="n">
        <x:v>12</x:v>
      </x:c>
      <x:c r="G481" s="37" t="n">
        <x:v>16000</x:v>
      </x:c>
      <x:c r="H481" s="37" t="str">
        <x:v>g</x:v>
      </x:c>
      <x:c r="I481" s="37" t="str">
        <x:v>THÙNG</x:v>
      </x:c>
      <x:c r="J481" s="59" t="n">
        <x:v>0</x:v>
      </x:c>
      <x:c r="K481" s="59" t="n">
        <x:v>0</x:v>
      </x:c>
      <x:c r="L481" s="59" t="n">
        <x:v>0</x:v>
      </x:c>
      <x:c r="M481" s="37" t="str">
        <x:v>Khác</x:v>
      </x:c>
      <x:c r="N481" s="37" t="str">
        <x:v>CHƯA CÓ GIÁ LẺ</x:v>
      </x:c>
      <x:c r="O481" s="61" t="n">
        <x:v>0.526</x:v>
      </x:c>
      <x:c r="P481" s="37"/>
      <x:c r="Q481" s="30"/>
      <x:c r="R481" s="30"/>
      <x:c r="S481" s="30"/>
      <x:c r="T481" s="37"/>
      <x:c r="U481" s="59"/>
      <x:c r="V481" s="59"/>
      <x:c r="W481" s="117" t="n">
        <x:v>62000</x:v>
      </x:c>
      <x:c r="X481" s="59" t="str">
        <x:f>IFERROR(IF(OR($N481="ĐÃ GHÉP - AUTO",$N481="ĐÃ GHÉP - QUY TẮC"),IF($V481="","",IF($T481="THÙNG",$V481/$F481,$V481)),""),"")</x:f>
      </x:c>
      <x:c r="Y481" s="117" t="n">
        <x:f>IF(OR(W481="",F481=""),"",W481*F481)</x:f>
        <x:v>744000</x:v>
      </x:c>
      <x:c r="Z481" s="59" t="str">
        <x:f>IFERROR(IF(OR($N481="ĐÃ GHÉP - AUTO",$N481="ĐÃ GHÉP - QUY TẮC"),IF($V481="","",IF($T481="THÙNG",$V481,$V481*$F481)),""),"")</x:f>
      </x:c>
      <x:c r="AA481" s="28" t="str">
        <x:f>IFERROR(IF(OR($K481="",$K481=0,$Y481=""),"",($Y481-$K481)/$K481),"")</x:f>
      </x:c>
      <x:c r="AB481" s="37" t="str">
        <x:f>IFERROR(IF($N481="CẦN DUYỆT","DUYỆT MAP",IF($N481="CHƯA CÓ GIÁ LẺ","THIẾU GIÁ",IF(OR($K481="",$K481=0,$Y481=""),"OK",IF(ABS(($Y481-$K481)/$K481)&gt;0.15,"LỆCH GIÁ CŨ","OK")))),"OK")</x:f>
        <x:v>THIẾU GIÁ</x:v>
      </x:c>
      <x:c r="AC481" s="30" t="str">
        <x:v>ứng viên gần nhất=Sinh Tố Berrino Đào; score=0.526</x:v>
      </x:c>
      <x:c r="AD481" s="37" t="str">
        <x:v>DDGDAO</x:v>
      </x:c>
      <x:c r="AE481" s="38" t="str">
        <x:v>DDGDAOT</x:v>
      </x:c>
      <x:c r="AF481" s="123" t="n">
        <x:v>1000</x:v>
      </x:c>
      <x:c r="AG481" s="112" t="str">
        <x:v>g</x:v>
      </x:c>
      <x:c r="AH481" s="112" t="str">
        <x:v>CHAI</x:v>
      </x:c>
      <x:c r="AI481" s="112" t="str">
        <x:v>1000 g / CHAI</x:v>
      </x:c>
      <x:c r="AJ481" s="120" t="n">
        <x:v>62000</x:v>
      </x:c>
      <x:c r="AK481" s="120"/>
      <x:c r="AL481" s="120" t="n">
        <x:v>62000</x:v>
      </x:c>
      <x:c r="AM481" s="112" t="str">
        <x:v>BỔ SUNG GIÁ</x:v>
      </x:c>
      <x:c r="AN481" s="126" t="n">
        <x:v>1070</x:v>
      </x:c>
      <x:c r="AO481" s="126" t="n">
        <x:v>1071</x:v>
      </x:c>
      <x:c r="AP481" s="113" t="str">
        <x:v>12 CHAI / THÙNG</x:v>
      </x:c>
    </x:row>
    <x:row r="482">
      <x:c r="A482" s="71" t="str">
        <x:v>ĐẬM ĐẶC DƯA LƯỚI</x:v>
      </x:c>
      <x:c r="B482" s="30" t="str">
        <x:v>ĐẬM ĐẶC DƯA LƯỚI - THÙNG</x:v>
      </x:c>
      <x:c r="C482" s="37" t="str">
        <x:v>DDGDLU</x:v>
      </x:c>
      <x:c r="D482" s="37" t="str">
        <x:v>DDGDLUT</x:v>
      </x:c>
      <x:c r="E482" s="37" t="str">
        <x:v>DDGDLUT</x:v>
      </x:c>
      <x:c r="F482" s="37" t="n">
        <x:v>12</x:v>
      </x:c>
      <x:c r="G482" s="37" t="n">
        <x:v>16000</x:v>
      </x:c>
      <x:c r="H482" s="37" t="str">
        <x:v>g</x:v>
      </x:c>
      <x:c r="I482" s="37" t="str">
        <x:v>THÙNG</x:v>
      </x:c>
      <x:c r="J482" s="59" t="n">
        <x:v>0</x:v>
      </x:c>
      <x:c r="K482" s="59" t="n">
        <x:v>0</x:v>
      </x:c>
      <x:c r="L482" s="59" t="n">
        <x:v>0</x:v>
      </x:c>
      <x:c r="M482" s="37" t="str">
        <x:v>Khác</x:v>
      </x:c>
      <x:c r="N482" s="37" t="str">
        <x:v>CHƯA CÓ GIÁ LẺ</x:v>
      </x:c>
      <x:c r="O482" s="61" t="n">
        <x:v>0.45</x:v>
      </x:c>
      <x:c r="P482" s="37"/>
      <x:c r="Q482" s="30"/>
      <x:c r="R482" s="30"/>
      <x:c r="S482" s="30"/>
      <x:c r="T482" s="37"/>
      <x:c r="U482" s="59"/>
      <x:c r="V482" s="59"/>
      <x:c r="W482" s="117" t="n">
        <x:v>62000</x:v>
      </x:c>
      <x:c r="X482" s="59" t="str">
        <x:f>IFERROR(IF(OR($N482="ĐÃ GHÉP - AUTO",$N482="ĐÃ GHÉP - QUY TẮC"),IF($V482="","",IF($T482="THÙNG",$V482/$F482,$V482)),""),"")</x:f>
      </x:c>
      <x:c r="Y482" s="117" t="n">
        <x:f>IF(OR(W482="",F482=""),"",W482*F482)</x:f>
        <x:v>744000</x:v>
      </x:c>
      <x:c r="Z482" s="59" t="str">
        <x:f>IFERROR(IF(OR($N482="ĐÃ GHÉP - AUTO",$N482="ĐÃ GHÉP - QUY TẮC"),IF($V482="","",IF($T482="THÙNG",$V482,$V482*$F482)),""),"")</x:f>
      </x:c>
      <x:c r="AA482" s="28" t="str">
        <x:f>IFERROR(IF(OR($K482="",$K482=0,$Y482=""),"",($Y482-$K482)/$K482),"")</x:f>
      </x:c>
      <x:c r="AB482" s="37" t="str">
        <x:f>IFERROR(IF($N482="CẦN DUYỆT","DUYỆT MAP",IF($N482="CHƯA CÓ GIÁ LẺ","THIẾU GIÁ",IF(OR($K482="",$K482=0,$Y482=""),"OK",IF(ABS(($Y482-$K482)/$K482)&gt;0.15,"LỆCH GIÁ CŨ","OK")))),"OK")</x:f>
        <x:v>THIẾU GIÁ</x:v>
      </x:c>
      <x:c r="AC482" s="30" t="str">
        <x:v>ứng viên gần nhất=PLAN MOLE DƯA; score=0.450</x:v>
      </x:c>
      <x:c r="AD482" s="37" t="str">
        <x:v>DDGDLU</x:v>
      </x:c>
      <x:c r="AE482" s="38" t="str">
        <x:v>DDGDLUT</x:v>
      </x:c>
      <x:c r="AF482" s="123" t="n">
        <x:v>1000</x:v>
      </x:c>
      <x:c r="AG482" s="112" t="str">
        <x:v>g</x:v>
      </x:c>
      <x:c r="AH482" s="112" t="str">
        <x:v>CHAI</x:v>
      </x:c>
      <x:c r="AI482" s="112" t="str">
        <x:v>1000 g / CHAI</x:v>
      </x:c>
      <x:c r="AJ482" s="120" t="n">
        <x:v>62000</x:v>
      </x:c>
      <x:c r="AK482" s="120"/>
      <x:c r="AL482" s="120" t="n">
        <x:v>62000</x:v>
      </x:c>
      <x:c r="AM482" s="112" t="str">
        <x:v>BỔ SUNG GIÁ</x:v>
      </x:c>
      <x:c r="AN482" s="126" t="n">
        <x:v>1072</x:v>
      </x:c>
      <x:c r="AO482" s="126" t="n">
        <x:v>1073</x:v>
      </x:c>
      <x:c r="AP482" s="113" t="str">
        <x:v>12 CHAI / THÙNG</x:v>
      </x:c>
    </x:row>
    <x:row r="483">
      <x:c r="A483" s="71" t="str">
        <x:v>ĐẬM ĐẶC DÂU</x:v>
      </x:c>
      <x:c r="B483" s="30" t="str">
        <x:v>ĐẬM ĐẶC DÂU - THÙNG</x:v>
      </x:c>
      <x:c r="C483" s="37" t="str">
        <x:v>DDGDAU</x:v>
      </x:c>
      <x:c r="D483" s="37" t="str">
        <x:v>DDGDAUT</x:v>
      </x:c>
      <x:c r="E483" s="37" t="str">
        <x:v>DDGDAUT</x:v>
      </x:c>
      <x:c r="F483" s="37" t="n">
        <x:v>12</x:v>
      </x:c>
      <x:c r="G483" s="37" t="n">
        <x:v>16000</x:v>
      </x:c>
      <x:c r="H483" s="37" t="str">
        <x:v>g</x:v>
      </x:c>
      <x:c r="I483" s="37" t="str">
        <x:v>THÙNG</x:v>
      </x:c>
      <x:c r="J483" s="59" t="n">
        <x:v>0</x:v>
      </x:c>
      <x:c r="K483" s="59" t="n">
        <x:v>0</x:v>
      </x:c>
      <x:c r="L483" s="59" t="n">
        <x:v>0</x:v>
      </x:c>
      <x:c r="M483" s="37" t="str">
        <x:v>Khác</x:v>
      </x:c>
      <x:c r="N483" s="37" t="str">
        <x:v>CHƯA CÓ GIÁ LẺ</x:v>
      </x:c>
      <x:c r="O483" s="61" t="n">
        <x:v>0.503</x:v>
      </x:c>
      <x:c r="P483" s="37"/>
      <x:c r="Q483" s="30"/>
      <x:c r="R483" s="30"/>
      <x:c r="S483" s="30"/>
      <x:c r="T483" s="37"/>
      <x:c r="U483" s="59"/>
      <x:c r="V483" s="59"/>
      <x:c r="W483" s="117" t="n">
        <x:v>62000</x:v>
      </x:c>
      <x:c r="X483" s="59" t="str">
        <x:f>IFERROR(IF(OR($N483="ĐÃ GHÉP - AUTO",$N483="ĐÃ GHÉP - QUY TẮC"),IF($V483="","",IF($T483="THÙNG",$V483/$F483,$V483)),""),"")</x:f>
      </x:c>
      <x:c r="Y483" s="117" t="n">
        <x:f>IF(OR(W483="",F483=""),"",W483*F483)</x:f>
        <x:v>744000</x:v>
      </x:c>
      <x:c r="Z483" s="59" t="str">
        <x:f>IFERROR(IF(OR($N483="ĐÃ GHÉP - AUTO",$N483="ĐÃ GHÉP - QUY TẮC"),IF($V483="","",IF($T483="THÙNG",$V483,$V483*$F483)),""),"")</x:f>
      </x:c>
      <x:c r="AA483" s="28" t="str">
        <x:f>IFERROR(IF(OR($K483="",$K483=0,$Y483=""),"",($Y483-$K483)/$K483),"")</x:f>
      </x:c>
      <x:c r="AB483" s="37" t="str">
        <x:f>IFERROR(IF($N483="CẦN DUYỆT","DUYỆT MAP",IF($N483="CHƯA CÓ GIÁ LẺ","THIẾU GIÁ",IF(OR($K483="",$K483=0,$Y483=""),"OK",IF(ABS(($Y483-$K483)/$K483)&gt;0.15,"LỆCH GIÁ CŨ","OK")))),"OK")</x:f>
        <x:v>THIẾU GIÁ</x:v>
      </x:c>
      <x:c r="AC483" s="30" t="str">
        <x:v>ứng viên gần nhất=Sinh Tố Berrino Dâu; score=0.503</x:v>
      </x:c>
      <x:c r="AD483" s="37" t="str">
        <x:v>DDGDAU</x:v>
      </x:c>
      <x:c r="AE483" s="38" t="str">
        <x:v>DDGDAUT</x:v>
      </x:c>
      <x:c r="AF483" s="123" t="n">
        <x:v>1000</x:v>
      </x:c>
      <x:c r="AG483" s="112" t="str">
        <x:v>g</x:v>
      </x:c>
      <x:c r="AH483" s="112" t="str">
        <x:v>CHAI</x:v>
      </x:c>
      <x:c r="AI483" s="112" t="str">
        <x:v>1000 g / CHAI</x:v>
      </x:c>
      <x:c r="AJ483" s="120" t="n">
        <x:v>62000</x:v>
      </x:c>
      <x:c r="AK483" s="120"/>
      <x:c r="AL483" s="120" t="n">
        <x:v>62000</x:v>
      </x:c>
      <x:c r="AM483" s="112" t="str">
        <x:v>BỔ SUNG GIÁ</x:v>
      </x:c>
      <x:c r="AN483" s="126" t="n">
        <x:v>1074</x:v>
      </x:c>
      <x:c r="AO483" s="126" t="n">
        <x:v>1075</x:v>
      </x:c>
      <x:c r="AP483" s="113" t="str">
        <x:v>12 CHAI / THÙNG</x:v>
      </x:c>
    </x:row>
    <x:row r="484">
      <x:c r="A484" s="71" t="str">
        <x:v>ĐẬM ĐẶC CHANH DÂY</x:v>
      </x:c>
      <x:c r="B484" s="30" t="str">
        <x:v>ĐẬM ĐẶC CHANH DÂY - THÙNG</x:v>
      </x:c>
      <x:c r="C484" s="37" t="str">
        <x:v>DDGCDA</x:v>
      </x:c>
      <x:c r="D484" s="37" t="str">
        <x:v>DDGCDAT</x:v>
      </x:c>
      <x:c r="E484" s="37" t="str">
        <x:v>DDGCDAT</x:v>
      </x:c>
      <x:c r="F484" s="37" t="n">
        <x:v>12</x:v>
      </x:c>
      <x:c r="G484" s="37" t="n">
        <x:v>16000</x:v>
      </x:c>
      <x:c r="H484" s="37" t="str">
        <x:v>g</x:v>
      </x:c>
      <x:c r="I484" s="37" t="str">
        <x:v>THÙNG</x:v>
      </x:c>
      <x:c r="J484" s="59" t="n">
        <x:v>0</x:v>
      </x:c>
      <x:c r="K484" s="59" t="n">
        <x:v>0</x:v>
      </x:c>
      <x:c r="L484" s="59" t="n">
        <x:v>0</x:v>
      </x:c>
      <x:c r="M484" s="37" t="str">
        <x:v>Khác</x:v>
      </x:c>
      <x:c r="N484" s="37" t="str">
        <x:v>CẦN DUYỆT</x:v>
      </x:c>
      <x:c r="O484" s="61" t="n">
        <x:v>0.672</x:v>
      </x:c>
      <x:c r="P484" s="37" t="n">
        <x:v>36</x:v>
      </x:c>
      <x:c r="Q484" s="30" t="str">
        <x:v>Sinh Tố Gold Chanh Dây</x:v>
      </x:c>
      <x:c r="R484" s="30" t="str">
        <x:v>Thùng12 chai</x:v>
      </x:c>
      <x:c r="S484" s="30" t="str">
        <x:v>Chai</x:v>
      </x:c>
      <x:c r="T484" s="37" t="str">
        <x:v>ĐƠN VỊ</x:v>
      </x:c>
      <x:c r="U484" s="59" t="n">
        <x:v>105000</x:v>
      </x:c>
      <x:c r="V484" s="59"/>
      <x:c r="W484" s="117" t="n">
        <x:v>62000</x:v>
      </x:c>
      <x:c r="X484" s="59" t="str">
        <x:f>IFERROR(IF(OR($N484="ĐÃ GHÉP - AUTO",$N484="ĐÃ GHÉP - QUY TẮC"),IF($V484="","",IF($T484="THÙNG",$V484/$F484,$V484)),""),"")</x:f>
      </x:c>
      <x:c r="Y484" s="117" t="n">
        <x:f>IF(OR(W484="",F484=""),"",W484*F484)</x:f>
        <x:v>744000</x:v>
      </x:c>
      <x:c r="Z484" s="59" t="str">
        <x:f>IFERROR(IF(OR($N484="ĐÃ GHÉP - AUTO",$N484="ĐÃ GHÉP - QUY TẮC"),IF($V484="","",IF($T484="THÙNG",$V484,$V484*$F484)),""),"")</x:f>
      </x:c>
      <x:c r="AA484" s="28" t="str">
        <x:f>IFERROR(IF(OR($K484="",$K484=0,$Y484=""),"",($Y484-$K484)/$K484),"")</x:f>
      </x:c>
      <x:c r="AB484" s="37" t="str">
        <x:f>IFERROR(IF($N484="CẦN DUYỆT","DUYỆT MAP",IF($N484="CHƯA CÓ GIÁ LẺ","THIẾU GIÁ",IF(OR($K484="",$K484=0,$Y484=""),"OK",IF(ABS(($Y484-$K484)/$K484)&gt;0.15,"LỆCH GIÁ CŨ","OK")))),"OK")</x:f>
        <x:v>DUYỆT MAP</x:v>
      </x:c>
      <x:c r="AC484" s="30" t="str">
        <x:v>score=0.672; gap=0.025; phương án 2=Sinh Tố Berrino Chanh Dây</x:v>
      </x:c>
      <x:c r="AD484" s="37" t="str">
        <x:v>DDGCDA</x:v>
      </x:c>
      <x:c r="AE484" s="38" t="str">
        <x:v>DDGCDAT</x:v>
      </x:c>
      <x:c r="AF484" s="123" t="n">
        <x:v>1000</x:v>
      </x:c>
      <x:c r="AG484" s="112" t="str">
        <x:v>g</x:v>
      </x:c>
      <x:c r="AH484" s="112" t="str">
        <x:v>CHAI</x:v>
      </x:c>
      <x:c r="AI484" s="112" t="str">
        <x:v>1000 g / CHAI</x:v>
      </x:c>
      <x:c r="AJ484" s="120" t="n">
        <x:v>62000</x:v>
      </x:c>
      <x:c r="AK484" s="120"/>
      <x:c r="AL484" s="120" t="n">
        <x:v>62000</x:v>
      </x:c>
      <x:c r="AM484" s="112" t="str">
        <x:v>BỔ SUNG GIÁ</x:v>
      </x:c>
      <x:c r="AN484" s="126" t="n">
        <x:v>1076</x:v>
      </x:c>
      <x:c r="AO484" s="126" t="n">
        <x:v>1077</x:v>
      </x:c>
      <x:c r="AP484" s="113" t="str">
        <x:v>12 CHAI / THÙNG</x:v>
      </x:c>
    </x:row>
    <x:row r="485">
      <x:c r="A485" s="71" t="str">
        <x:v>ĐẬM ĐẶC LỰU</x:v>
      </x:c>
      <x:c r="B485" s="30" t="str">
        <x:v>ĐẬM ĐẶC LỰU - THÙNG</x:v>
      </x:c>
      <x:c r="C485" s="37" t="str">
        <x:v>DDGLUU</x:v>
      </x:c>
      <x:c r="D485" s="37" t="str">
        <x:v>DDGLUUT</x:v>
      </x:c>
      <x:c r="E485" s="37" t="str">
        <x:v>DDGLUUT</x:v>
      </x:c>
      <x:c r="F485" s="37" t="n">
        <x:v>12</x:v>
      </x:c>
      <x:c r="G485" s="37" t="n">
        <x:v>16000</x:v>
      </x:c>
      <x:c r="H485" s="37" t="str">
        <x:v>g</x:v>
      </x:c>
      <x:c r="I485" s="37" t="str">
        <x:v>THÙNG</x:v>
      </x:c>
      <x:c r="J485" s="59" t="n">
        <x:v>0</x:v>
      </x:c>
      <x:c r="K485" s="59" t="n">
        <x:v>0</x:v>
      </x:c>
      <x:c r="L485" s="59" t="n">
        <x:v>0</x:v>
      </x:c>
      <x:c r="M485" s="37" t="str">
        <x:v>Khác</x:v>
      </x:c>
      <x:c r="N485" s="37" t="str">
        <x:v>CHƯA CÓ GIÁ LẺ</x:v>
      </x:c>
      <x:c r="O485" s="61" t="n">
        <x:v>0.437</x:v>
      </x:c>
      <x:c r="P485" s="37"/>
      <x:c r="Q485" s="30"/>
      <x:c r="R485" s="30"/>
      <x:c r="S485" s="30"/>
      <x:c r="T485" s="37"/>
      <x:c r="U485" s="59"/>
      <x:c r="V485" s="59"/>
      <x:c r="W485" s="117" t="n">
        <x:v>62000</x:v>
      </x:c>
      <x:c r="X485" s="59" t="str">
        <x:f>IFERROR(IF(OR($N485="ĐÃ GHÉP - AUTO",$N485="ĐÃ GHÉP - QUY TẮC"),IF($V485="","",IF($T485="THÙNG",$V485/$F485,$V485)),""),"")</x:f>
      </x:c>
      <x:c r="Y485" s="117" t="n">
        <x:f>IF(OR(W485="",F485=""),"",W485*F485)</x:f>
        <x:v>744000</x:v>
      </x:c>
      <x:c r="Z485" s="59" t="str">
        <x:f>IFERROR(IF(OR($N485="ĐÃ GHÉP - AUTO",$N485="ĐÃ GHÉP - QUY TẮC"),IF($V485="","",IF($T485="THÙNG",$V485,$V485*$F485)),""),"")</x:f>
      </x:c>
      <x:c r="AA485" s="28" t="str">
        <x:f>IFERROR(IF(OR($K485="",$K485=0,$Y485=""),"",($Y485-$K485)/$K485),"")</x:f>
      </x:c>
      <x:c r="AB485" s="37" t="str">
        <x:f>IFERROR(IF($N485="CẦN DUYỆT","DUYỆT MAP",IF($N485="CHƯA CÓ GIÁ LẺ","THIẾU GIÁ",IF(OR($K485="",$K485=0,$Y485=""),"OK",IF(ABS(($Y485-$K485)/$K485)&gt;0.15,"LỆCH GIÁ CŨ","OK")))),"OK")</x:f>
        <x:v>THIẾU GIÁ</x:v>
      </x:c>
      <x:c r="AC485" s="30" t="str">
        <x:v>ứng viên gần nhất=Nha Đam; score=0.437</x:v>
      </x:c>
      <x:c r="AD485" s="37" t="str">
        <x:v>DDGLUU</x:v>
      </x:c>
      <x:c r="AE485" s="38" t="str">
        <x:v>DDGLUUT</x:v>
      </x:c>
      <x:c r="AF485" s="123" t="n">
        <x:v>1000</x:v>
      </x:c>
      <x:c r="AG485" s="112" t="str">
        <x:v>g</x:v>
      </x:c>
      <x:c r="AH485" s="112" t="str">
        <x:v>CHAI</x:v>
      </x:c>
      <x:c r="AI485" s="112" t="str">
        <x:v>1000 g / CHAI</x:v>
      </x:c>
      <x:c r="AJ485" s="120" t="n">
        <x:v>62000</x:v>
      </x:c>
      <x:c r="AK485" s="120"/>
      <x:c r="AL485" s="120" t="n">
        <x:v>62000</x:v>
      </x:c>
      <x:c r="AM485" s="112" t="str">
        <x:v>BỔ SUNG GIÁ</x:v>
      </x:c>
      <x:c r="AN485" s="126" t="n">
        <x:v>1078</x:v>
      </x:c>
      <x:c r="AO485" s="126" t="n">
        <x:v>1079</x:v>
      </x:c>
      <x:c r="AP485" s="113" t="str">
        <x:v>12 CHAI / THÙNG</x:v>
      </x:c>
    </x:row>
    <x:row r="486">
      <x:c r="A486" s="71" t="str">
        <x:v>ĐÀO RODES</x:v>
      </x:c>
      <x:c r="B486" s="30" t="str">
        <x:v>ĐÀO RODES - THÙNG</x:v>
      </x:c>
      <x:c r="C486" s="37" t="str">
        <x:v>DRODES</x:v>
      </x:c>
      <x:c r="D486" s="37" t="str">
        <x:v>DRODEST</x:v>
      </x:c>
      <x:c r="E486" s="37" t="str">
        <x:v>DRODEST</x:v>
      </x:c>
      <x:c r="F486" s="37" t="n">
        <x:v>12</x:v>
      </x:c>
      <x:c r="G486" s="37" t="n">
        <x:v>13.2</x:v>
      </x:c>
      <x:c r="H486" s="37" t="str">
        <x:v>kg</x:v>
      </x:c>
      <x:c r="I486" s="37" t="str">
        <x:v>THÙNG</x:v>
      </x:c>
      <x:c r="J486" s="59" t="n">
        <x:v>0</x:v>
      </x:c>
      <x:c r="K486" s="59" t="n">
        <x:v>719000</x:v>
      </x:c>
      <x:c r="L486" s="59" t="n">
        <x:v>0</x:v>
      </x:c>
      <x:c r="M486" s="37" t="str">
        <x:v>Khác</x:v>
      </x:c>
      <x:c r="N486" s="37" t="str">
        <x:v>CHƯA CÓ GIÁ LẺ</x:v>
      </x:c>
      <x:c r="O486" s="61" t="n">
        <x:v>0.544</x:v>
      </x:c>
      <x:c r="P486" s="37"/>
      <x:c r="Q486" s="30"/>
      <x:c r="R486" s="30"/>
      <x:c r="S486" s="30"/>
      <x:c r="T486" s="37"/>
      <x:c r="U486" s="59"/>
      <x:c r="V486" s="59"/>
      <x:c r="W486" s="117" t="n">
        <x:v>62000</x:v>
      </x:c>
      <x:c r="X486" s="59" t="str">
        <x:f>IFERROR(IF(OR($N486="ĐÃ GHÉP - AUTO",$N486="ĐÃ GHÉP - QUY TẮC"),IF($V486="","",IF($T486="THÙNG",$V486/$F486,$V486)),""),"")</x:f>
      </x:c>
      <x:c r="Y486" s="117" t="n">
        <x:f>IF(OR(W486="",F486=""),"",W486*F486)</x:f>
        <x:v>744000</x:v>
      </x:c>
      <x:c r="Z486" s="59" t="str">
        <x:f>IFERROR(IF(OR($N486="ĐÃ GHÉP - AUTO",$N486="ĐÃ GHÉP - QUY TẮC"),IF($V486="","",IF($T486="THÙNG",$V486,$V486*$F486)),""),"")</x:f>
      </x:c>
      <x:c r="AA486" s="28" t="n">
        <x:f>IFERROR(IF(OR($K486="",$K486=0,$Y486=""),"",($Y486-$K486)/$K486),"")</x:f>
        <x:v>0.03477051460361613</x:v>
      </x:c>
      <x:c r="AB486" s="37" t="str">
        <x:f>IFERROR(IF($N486="CẦN DUYỆT","DUYỆT MAP",IF($N486="CHƯA CÓ GIÁ LẺ","THIẾU GIÁ",IF(OR($K486="",$K486=0,$Y486=""),"OK",IF(ABS(($Y486-$K486)/$K486)&gt;0.15,"LỆCH GIÁ CŨ","OK")))),"OK")</x:f>
        <x:v>THIẾU GIÁ</x:v>
      </x:c>
      <x:c r="AC486" s="30" t="str">
        <x:v>ứng viên gần nhất=Sinh Tố Berrino Đào; score=0.544</x:v>
      </x:c>
      <x:c r="AD486" s="37" t="str">
        <x:v>DRODES</x:v>
      </x:c>
      <x:c r="AE486" s="38" t="str">
        <x:v>DRODEST</x:v>
      </x:c>
      <x:c r="AF486" s="123" t="n">
        <x:v>1.1</x:v>
      </x:c>
      <x:c r="AG486" s="112" t="str">
        <x:v>kg</x:v>
      </x:c>
      <x:c r="AH486" s="112" t="str">
        <x:v>LON</x:v>
      </x:c>
      <x:c r="AI486" s="112" t="str">
        <x:v>1.1 kg / LON</x:v>
      </x:c>
      <x:c r="AJ486" s="120" t="n">
        <x:v>62000</x:v>
      </x:c>
      <x:c r="AK486" s="120"/>
      <x:c r="AL486" s="120" t="n">
        <x:v>62000</x:v>
      </x:c>
      <x:c r="AM486" s="112" t="str">
        <x:v>BỔ SUNG GIÁ</x:v>
      </x:c>
      <x:c r="AN486" s="126" t="n">
        <x:v>1080</x:v>
      </x:c>
      <x:c r="AO486" s="126" t="n">
        <x:v>1081</x:v>
      </x:c>
      <x:c r="AP486" s="113" t="str">
        <x:v>12 LON / THÙNG</x:v>
      </x:c>
    </x:row>
    <x:row r="487">
      <x:c r="A487" s="71" t="str">
        <x:v>ĐÀO LON THÁI YOTDOI</x:v>
      </x:c>
      <x:c r="B487" s="30" t="str">
        <x:v>ĐÀO LON THÁI YOTDOI - THÙNG</x:v>
      </x:c>
      <x:c r="C487" s="37" t="str">
        <x:v>DAOYOT</x:v>
      </x:c>
      <x:c r="D487" s="37" t="str">
        <x:v>DAOYOTT</x:v>
      </x:c>
      <x:c r="E487" s="37" t="str">
        <x:v>DAOYOTT</x:v>
      </x:c>
      <x:c r="F487" s="37" t="n">
        <x:v>12</x:v>
      </x:c>
      <x:c r="G487" s="37" t="n">
        <x:v>13.2</x:v>
      </x:c>
      <x:c r="H487" s="37" t="str">
        <x:v>kg</x:v>
      </x:c>
      <x:c r="I487" s="37" t="str">
        <x:v>THÙNG</x:v>
      </x:c>
      <x:c r="J487" s="59" t="n">
        <x:v>0</x:v>
      </x:c>
      <x:c r="K487" s="59" t="n">
        <x:v>332000</x:v>
      </x:c>
      <x:c r="L487" s="59" t="n">
        <x:v>0</x:v>
      </x:c>
      <x:c r="M487" s="37" t="str">
        <x:v>Trái cây hộp</x:v>
      </x:c>
      <x:c r="N487" s="37" t="str">
        <x:v>ĐÃ GHÉP - AUTO</x:v>
      </x:c>
      <x:c r="O487" s="61" t="n">
        <x:v>0.909</x:v>
      </x:c>
      <x:c r="P487" s="37" t="n">
        <x:v>106</x:v>
      </x:c>
      <x:c r="Q487" s="30" t="str">
        <x:v>Đào lon Thái</x:v>
      </x:c>
      <x:c r="R487" s="30" t="str">
        <x:v>Thùng 12 lon</x:v>
      </x:c>
      <x:c r="S487" s="30" t="str">
        <x:v>lon</x:v>
      </x:c>
      <x:c r="T487" s="37" t="str">
        <x:v>ĐƠN VỊ</x:v>
      </x:c>
      <x:c r="U487" s="59" t="n">
        <x:v>29000</x:v>
      </x:c>
      <x:c r="V487" s="59"/>
      <x:c r="W487" s="117" t="n">
        <x:v>29000</x:v>
      </x:c>
      <x:c r="X487" s="59" t="str">
        <x:f>IFERROR(IF(OR($N487="ĐÃ GHÉP - AUTO",$N487="ĐÃ GHÉP - QUY TẮC"),IF($V487="","",IF($T487="THÙNG",$V487/$F487,$V487)),""),"")</x:f>
      </x:c>
      <x:c r="Y487" s="117" t="n">
        <x:f>IF(OR(W487="",F487=""),"",W487*F487)</x:f>
        <x:v>348000</x:v>
      </x:c>
      <x:c r="Z487" s="59" t="str">
        <x:f>IFERROR(IF(OR($N487="ĐÃ GHÉP - AUTO",$N487="ĐÃ GHÉP - QUY TẮC"),IF($V487="","",IF($T487="THÙNG",$V487,$V487*$F487)),""),"")</x:f>
      </x:c>
      <x:c r="AA487" s="28" t="n">
        <x:f>IFERROR(IF(OR($K487="",$K487=0,$Y487=""),"",($Y487-$K487)/$K487),"")</x:f>
        <x:v>0.04819277108433735</x:v>
      </x:c>
      <x:c r="AB487" s="37" t="str">
        <x:f>IFERROR(IF($N487="CẦN DUYỆT","DUYỆT MAP",IF($N487="CHƯA CÓ GIÁ LẺ","THIẾU GIÁ",IF(OR($K487="",$K487=0,$Y487=""),"OK",IF(ABS(($Y487-$K487)/$K487)&gt;0.15,"LỆCH GIÁ CŨ","OK")))),"OK")</x:f>
        <x:v>OK</x:v>
      </x:c>
      <x:c r="AC487" s="30" t="str">
        <x:v>score=0.909; gap=0.408</x:v>
      </x:c>
      <x:c r="AD487" s="37" t="str">
        <x:v>DAOYOT</x:v>
      </x:c>
      <x:c r="AE487" s="38" t="str">
        <x:v>DAOYOTT</x:v>
      </x:c>
      <x:c r="AF487" s="123" t="n">
        <x:v>1.1</x:v>
      </x:c>
      <x:c r="AG487" s="112" t="str">
        <x:v>kg</x:v>
      </x:c>
      <x:c r="AH487" s="112" t="str">
        <x:v>LON</x:v>
      </x:c>
      <x:c r="AI487" s="112" t="str">
        <x:v>1.1 kg / LON</x:v>
      </x:c>
      <x:c r="AJ487" s="120" t="n">
        <x:v>29000</x:v>
      </x:c>
      <x:c r="AK487" s="120" t="n">
        <x:v>29000</x:v>
      </x:c>
      <x:c r="AL487" s="120" t="n">
        <x:v>29000</x:v>
      </x:c>
      <x:c r="AM487" s="112" t="str">
        <x:v>GIỮ NGUYÊN - ĐÃ KHỚP</x:v>
      </x:c>
      <x:c r="AN487" s="126" t="n">
        <x:v>1082</x:v>
      </x:c>
      <x:c r="AO487" s="126" t="n">
        <x:v>1083</x:v>
      </x:c>
      <x:c r="AP487" s="113" t="str">
        <x:v>12 LON / THÙNG</x:v>
      </x:c>
    </x:row>
    <x:row r="488">
      <x:c r="A488" s="71" t="str">
        <x:v>ĐÀO LON THÁI ATC</x:v>
      </x:c>
      <x:c r="B488" s="30" t="str">
        <x:v>ĐÀO LON THÁI ATC - THÙNG</x:v>
      </x:c>
      <x:c r="C488" s="37" t="str">
        <x:v>DAOATC</x:v>
      </x:c>
      <x:c r="D488" s="37" t="str">
        <x:v>DAOATCT</x:v>
      </x:c>
      <x:c r="E488" s="37" t="str">
        <x:v>DAOATCT</x:v>
      </x:c>
      <x:c r="F488" s="37" t="n">
        <x:v>12</x:v>
      </x:c>
      <x:c r="G488" s="37" t="n">
        <x:v>12000</x:v>
      </x:c>
      <x:c r="H488" s="37" t="str">
        <x:v>g</x:v>
      </x:c>
      <x:c r="I488" s="37" t="str">
        <x:v>THÙNG</x:v>
      </x:c>
      <x:c r="J488" s="59" t="n">
        <x:v>0</x:v>
      </x:c>
      <x:c r="K488" s="59" t="n">
        <x:v>332000</x:v>
      </x:c>
      <x:c r="L488" s="59" t="n">
        <x:v>0</x:v>
      </x:c>
      <x:c r="M488" s="37" t="str">
        <x:v>Trái cây hộp</x:v>
      </x:c>
      <x:c r="N488" s="37" t="str">
        <x:v>ĐÃ GHÉP - AUTO</x:v>
      </x:c>
      <x:c r="O488" s="61" t="n">
        <x:v>0.909</x:v>
      </x:c>
      <x:c r="P488" s="37" t="n">
        <x:v>106</x:v>
      </x:c>
      <x:c r="Q488" s="30" t="str">
        <x:v>Đào lon Thái</x:v>
      </x:c>
      <x:c r="R488" s="30" t="str">
        <x:v>Thùng 12 lon</x:v>
      </x:c>
      <x:c r="S488" s="30" t="str">
        <x:v>lon</x:v>
      </x:c>
      <x:c r="T488" s="37" t="str">
        <x:v>ĐƠN VỊ</x:v>
      </x:c>
      <x:c r="U488" s="59" t="n">
        <x:v>29000</x:v>
      </x:c>
      <x:c r="V488" s="59"/>
      <x:c r="W488" s="117" t="n">
        <x:v>29000</x:v>
      </x:c>
      <x:c r="X488" s="59" t="str">
        <x:f>IFERROR(IF(OR($N488="ĐÃ GHÉP - AUTO",$N488="ĐÃ GHÉP - QUY TẮC"),IF($V488="","",IF($T488="THÙNG",$V488/$F488,$V488)),""),"")</x:f>
      </x:c>
      <x:c r="Y488" s="117" t="n">
        <x:f>IF(OR(W488="",F488=""),"",W488*F488)</x:f>
        <x:v>348000</x:v>
      </x:c>
      <x:c r="Z488" s="59" t="str">
        <x:f>IFERROR(IF(OR($N488="ĐÃ GHÉP - AUTO",$N488="ĐÃ GHÉP - QUY TẮC"),IF($V488="","",IF($T488="THÙNG",$V488,$V488*$F488)),""),"")</x:f>
      </x:c>
      <x:c r="AA488" s="28" t="n">
        <x:f>IFERROR(IF(OR($K488="",$K488=0,$Y488=""),"",($Y488-$K488)/$K488),"")</x:f>
        <x:v>0.04819277108433735</x:v>
      </x:c>
      <x:c r="AB488" s="37" t="str">
        <x:f>IFERROR(IF($N488="CẦN DUYỆT","DUYỆT MAP",IF($N488="CHƯA CÓ GIÁ LẺ","THIẾU GIÁ",IF(OR($K488="",$K488=0,$Y488=""),"OK",IF(ABS(($Y488-$K488)/$K488)&gt;0.15,"LỆCH GIÁ CŨ","OK")))),"OK")</x:f>
        <x:v>OK</x:v>
      </x:c>
      <x:c r="AC488" s="30" t="str">
        <x:v>score=0.909; gap=0.408</x:v>
      </x:c>
      <x:c r="AD488" s="37" t="str">
        <x:v>DAOATC</x:v>
      </x:c>
      <x:c r="AE488" s="38" t="str">
        <x:v>DAOATCT</x:v>
      </x:c>
      <x:c r="AF488" s="123" t="n">
        <x:v>0</x:v>
      </x:c>
      <x:c r="AG488" s="112" t="str">
        <x:v>g</x:v>
      </x:c>
      <x:c r="AH488" s="112" t="str">
        <x:v>LON</x:v>
      </x:c>
      <x:c r="AI488" s="112" t="str">
        <x:v>0 g / LON</x:v>
      </x:c>
      <x:c r="AJ488" s="120" t="n">
        <x:v>29000</x:v>
      </x:c>
      <x:c r="AK488" s="120" t="n">
        <x:v>29000</x:v>
      </x:c>
      <x:c r="AL488" s="120" t="n">
        <x:v>29000</x:v>
      </x:c>
      <x:c r="AM488" s="112" t="str">
        <x:v>GIỮ NGUYÊN - ĐÃ KHỚP</x:v>
      </x:c>
      <x:c r="AN488" s="126" t="n">
        <x:v>1084</x:v>
      </x:c>
      <x:c r="AO488" s="126" t="n">
        <x:v>1085</x:v>
      </x:c>
      <x:c r="AP488" s="113" t="str">
        <x:v>12 LON / THÙNG</x:v>
      </x:c>
    </x:row>
    <x:row r="489">
      <x:c r="A489" s="71" t="str">
        <x:v>GTP ĐÀO</x:v>
      </x:c>
      <x:c r="B489" s="30" t="str">
        <x:v>GTP ĐÀO - THÙNG</x:v>
      </x:c>
      <x:c r="C489" s="37" t="str">
        <x:v>GTPDAO</x:v>
      </x:c>
      <x:c r="D489" s="37" t="str">
        <x:v>GTPDAOT</x:v>
      </x:c>
      <x:c r="E489" s="37" t="str">
        <x:v>GTPDAOT</x:v>
      </x:c>
      <x:c r="F489" s="37" t="n">
        <x:v>6</x:v>
      </x:c>
      <x:c r="G489" s="37" t="n">
        <x:v>16000</x:v>
      </x:c>
      <x:c r="H489" s="37" t="str">
        <x:v>g</x:v>
      </x:c>
      <x:c r="I489" s="37" t="str">
        <x:v>THÙNG</x:v>
      </x:c>
      <x:c r="J489" s="59" t="n">
        <x:v>0</x:v>
      </x:c>
      <x:c r="K489" s="59" t="n">
        <x:v>834000</x:v>
      </x:c>
      <x:c r="L489" s="59" t="n">
        <x:v>0</x:v>
      </x:c>
      <x:c r="M489" s="37" t="str">
        <x:v>Siro</x:v>
      </x:c>
      <x:c r="N489" s="37" t="str">
        <x:v>ĐÃ GHÉP - AUTO</x:v>
      </x:c>
      <x:c r="O489" s="61" t="n">
        <x:v>0.91</x:v>
      </x:c>
      <x:c r="P489" s="37" t="n">
        <x:v>10</x:v>
      </x:c>
      <x:c r="Q489" s="30" t="str">
        <x:v>Siro GTP</x:v>
      </x:c>
      <x:c r="R489" s="30" t="str">
        <x:v>Thùng 6 bình</x:v>
      </x:c>
      <x:c r="S489" s="30" t="str">
        <x:v>Chai</x:v>
      </x:c>
      <x:c r="T489" s="37" t="str">
        <x:v>ĐƠN VỊ</x:v>
      </x:c>
      <x:c r="U489" s="59" t="n">
        <x:v>140000</x:v>
      </x:c>
      <x:c r="V489" s="59"/>
      <x:c r="W489" s="117" t="n">
        <x:v>140000</x:v>
      </x:c>
      <x:c r="X489" s="59" t="str">
        <x:f>IFERROR(IF(OR($N489="ĐÃ GHÉP - AUTO",$N489="ĐÃ GHÉP - QUY TẮC"),IF($V489="","",IF($T489="THÙNG",$V489/$F489,$V489)),""),"")</x:f>
      </x:c>
      <x:c r="Y489" s="117" t="n">
        <x:f>IF(OR(W489="",F489=""),"",W489*F489)</x:f>
        <x:v>840000</x:v>
      </x:c>
      <x:c r="Z489" s="59" t="str">
        <x:f>IFERROR(IF(OR($N489="ĐÃ GHÉP - AUTO",$N489="ĐÃ GHÉP - QUY TẮC"),IF($V489="","",IF($T489="THÙNG",$V489,$V489*$F489)),""),"")</x:f>
      </x:c>
      <x:c r="AA489" s="28" t="n">
        <x:f>IFERROR(IF(OR($K489="",$K489=0,$Y489=""),"",($Y489-$K489)/$K489),"")</x:f>
        <x:v>0.007194244604316547</x:v>
      </x:c>
      <x:c r="AB489" s="37" t="str">
        <x:f>IFERROR(IF($N489="CẦN DUYỆT","DUYỆT MAP",IF($N489="CHƯA CÓ GIÁ LẺ","THIẾU GIÁ",IF(OR($K489="",$K489=0,$Y489=""),"OK",IF(ABS(($Y489-$K489)/$K489)&gt;0.15,"LỆCH GIÁ CŨ","OK")))),"OK")</x:f>
        <x:v>OK</x:v>
      </x:c>
      <x:c r="AC489" s="30" t="str">
        <x:v>score=0.910; gap=0.431</x:v>
      </x:c>
      <x:c r="AD489" s="37" t="str">
        <x:v>GTPDAO</x:v>
      </x:c>
      <x:c r="AE489" s="38" t="str">
        <x:v>GTPDAOT</x:v>
      </x:c>
      <x:c r="AF489" s="123" t="n">
        <x:v>2550</x:v>
      </x:c>
      <x:c r="AG489" s="112" t="str">
        <x:v>g</x:v>
      </x:c>
      <x:c r="AH489" s="112" t="str">
        <x:v>BÌNH</x:v>
      </x:c>
      <x:c r="AI489" s="112" t="str">
        <x:v>2550 g / BÌNH</x:v>
      </x:c>
      <x:c r="AJ489" s="120" t="n">
        <x:v>140000</x:v>
      </x:c>
      <x:c r="AK489" s="120" t="n">
        <x:v>140000</x:v>
      </x:c>
      <x:c r="AL489" s="120" t="n">
        <x:v>140000</x:v>
      </x:c>
      <x:c r="AM489" s="112" t="str">
        <x:v>GIỮ NGUYÊN - ĐÃ KHỚP</x:v>
      </x:c>
      <x:c r="AN489" s="126" t="n">
        <x:v>1086</x:v>
      </x:c>
      <x:c r="AO489" s="126" t="n">
        <x:v>1087</x:v>
      </x:c>
      <x:c r="AP489" s="113" t="str">
        <x:v>6 BÌNH / THÙNG</x:v>
      </x:c>
    </x:row>
    <x:row r="490">
      <x:c r="A490" s="71" t="str">
        <x:v>ĐÀO CONTREE (HEVEL)</x:v>
      </x:c>
      <x:c r="B490" s="30" t="str">
        <x:v>ĐÀO CONTREE (HEVEL) - THÙNG</x:v>
      </x:c>
      <x:c r="C490" s="37" t="str">
        <x:v>CONTRE</x:v>
      </x:c>
      <x:c r="D490" s="37" t="str">
        <x:v>CONTRET</x:v>
      </x:c>
      <x:c r="E490" s="37" t="str">
        <x:v>CONTRET</x:v>
      </x:c>
      <x:c r="F490" s="37" t="n">
        <x:v>12</x:v>
      </x:c>
      <x:c r="G490" s="37" t="n">
        <x:v>0</x:v>
      </x:c>
      <x:c r="H490" s="37" t="str">
        <x:v>g</x:v>
      </x:c>
      <x:c r="I490" s="37" t="str">
        <x:v>THÙNG</x:v>
      </x:c>
      <x:c r="J490" s="59" t="n">
        <x:v>0</x:v>
      </x:c>
      <x:c r="K490" s="59" t="n">
        <x:v>372000</x:v>
      </x:c>
      <x:c r="L490" s="59" t="n">
        <x:v>0</x:v>
      </x:c>
      <x:c r="M490" s="37" t="str">
        <x:v>Khác</x:v>
      </x:c>
      <x:c r="N490" s="37" t="str">
        <x:v>CẦN DUYỆT</x:v>
      </x:c>
      <x:c r="O490" s="61" t="n">
        <x:v>0.875</x:v>
      </x:c>
      <x:c r="P490" s="37" t="n">
        <x:v>107</x:v>
      </x:c>
      <x:c r="Q490" s="30" t="str">
        <x:v>Đào contree</x:v>
      </x:c>
      <x:c r="R490" s="30" t="str">
        <x:v>Thùng 12 lon</x:v>
      </x:c>
      <x:c r="S490" s="30" t="str">
        <x:v>lon</x:v>
      </x:c>
      <x:c r="T490" s="37" t="str">
        <x:v>ĐƠN VỊ</x:v>
      </x:c>
      <x:c r="U490" s="59" t="n">
        <x:v>32000</x:v>
      </x:c>
      <x:c r="V490" s="59"/>
      <x:c r="W490" s="117" t="n">
        <x:v>32000</x:v>
      </x:c>
      <x:c r="X490" s="59" t="str">
        <x:f>IFERROR(IF(OR($N490="ĐÃ GHÉP - AUTO",$N490="ĐÃ GHÉP - QUY TẮC"),IF($V490="","",IF($T490="THÙNG",$V490/$F490,$V490)),""),"")</x:f>
      </x:c>
      <x:c r="Y490" s="117" t="n">
        <x:f>IF(OR(W490="",F490=""),"",W490*F490)</x:f>
        <x:v>384000</x:v>
      </x:c>
      <x:c r="Z490" s="59" t="str">
        <x:f>IFERROR(IF(OR($N490="ĐÃ GHÉP - AUTO",$N490="ĐÃ GHÉP - QUY TẮC"),IF($V490="","",IF($T490="THÙNG",$V490,$V490*$F490)),""),"")</x:f>
      </x:c>
      <x:c r="AA490" s="28" t="n">
        <x:f>IFERROR(IF(OR($K490="",$K490=0,$Y490=""),"",($Y490-$K490)/$K490),"")</x:f>
        <x:v>0.03225806451612903</x:v>
      </x:c>
      <x:c r="AB490" s="37" t="str">
        <x:f>IFERROR(IF($N490="CẦN DUYỆT","DUYỆT MAP",IF($N490="CHƯA CÓ GIÁ LẺ","THIẾU GIÁ",IF(OR($K490="",$K490=0,$Y490=""),"OK",IF(ABS(($Y490-$K490)/$K490)&gt;0.15,"LỆCH GIÁ CŨ","OK")))),"OK")</x:f>
        <x:v>DUYỆT MAP</x:v>
      </x:c>
      <x:c r="AC490" s="30" t="str">
        <x:v>score=0.875; gap=0.368; khác nhóm hàng</x:v>
      </x:c>
      <x:c r="AD490" s="37" t="str">
        <x:v>CONTRE</x:v>
      </x:c>
      <x:c r="AE490" s="38" t="str">
        <x:v>CONTRET</x:v>
      </x:c>
      <x:c r="AF490" s="123" t="n">
        <x:v>0</x:v>
      </x:c>
      <x:c r="AG490" s="112" t="str">
        <x:v>g</x:v>
      </x:c>
      <x:c r="AH490" s="112" t="str">
        <x:v>LON</x:v>
      </x:c>
      <x:c r="AI490" s="112" t="str">
        <x:v>0 g / LON</x:v>
      </x:c>
      <x:c r="AJ490" s="120" t="n">
        <x:v>32000</x:v>
      </x:c>
      <x:c r="AK490" s="120"/>
      <x:c r="AL490" s="120" t="n">
        <x:v>32000</x:v>
      </x:c>
      <x:c r="AM490" s="112" t="str">
        <x:v>BỔ SUNG GIÁ</x:v>
      </x:c>
      <x:c r="AN490" s="126" t="n">
        <x:v>1088</x:v>
      </x:c>
      <x:c r="AO490" s="126" t="n">
        <x:v>1089</x:v>
      </x:c>
      <x:c r="AP490" s="113" t="str">
        <x:v>12 LON / THÙNG</x:v>
      </x:c>
    </x:row>
    <x:row r="491">
      <x:c r="A491" s="71" t="str">
        <x:v>ĐÁ ME TẤN LỘC</x:v>
      </x:c>
      <x:c r="B491" s="30" t="str">
        <x:v>ĐÁ ME TẤN LỘC - THÙNG</x:v>
      </x:c>
      <x:c r="C491" s="37" t="str">
        <x:v>DAMETL</x:v>
      </x:c>
      <x:c r="D491" s="37" t="str">
        <x:v>DAMETLT</x:v>
      </x:c>
      <x:c r="E491" s="37" t="str">
        <x:v>DAMETLT</x:v>
      </x:c>
      <x:c r="F491" s="37" t="n">
        <x:v>15</x:v>
      </x:c>
      <x:c r="G491" s="37" t="n">
        <x:v>0</x:v>
      </x:c>
      <x:c r="H491" s="37" t="str">
        <x:v>g</x:v>
      </x:c>
      <x:c r="I491" s="37" t="str">
        <x:v>THÙNG</x:v>
      </x:c>
      <x:c r="J491" s="59" t="n">
        <x:v>0</x:v>
      </x:c>
      <x:c r="K491" s="59" t="n">
        <x:v>0</x:v>
      </x:c>
      <x:c r="L491" s="59" t="n">
        <x:v>0</x:v>
      </x:c>
      <x:c r="M491" s="37" t="str">
        <x:v>Trái cây hộp</x:v>
      </x:c>
      <x:c r="N491" s="37" t="str">
        <x:v>ĐÃ GHÉP - AUTO</x:v>
      </x:c>
      <x:c r="O491" s="61" t="n">
        <x:v>0.97</x:v>
      </x:c>
      <x:c r="P491" s="37" t="n">
        <x:v>115</x:v>
      </x:c>
      <x:c r="Q491" s="30" t="str">
        <x:v>ĐÁ ME TẤN LỘC</x:v>
      </x:c>
      <x:c r="R491" s="30" t="str">
        <x:v>THÙNG 15 HỦ</x:v>
      </x:c>
      <x:c r="S491" s="30" t="str">
        <x:v>HỦ</x:v>
      </x:c>
      <x:c r="T491" s="37" t="str">
        <x:v>ĐƠN VỊ</x:v>
      </x:c>
      <x:c r="U491" s="59" t="n">
        <x:v>80000</x:v>
      </x:c>
      <x:c r="V491" s="59"/>
      <x:c r="W491" s="117" t="n">
        <x:v>80000</x:v>
      </x:c>
      <x:c r="X491" s="59" t="str">
        <x:f>IFERROR(IF(OR($N491="ĐÃ GHÉP - AUTO",$N491="ĐÃ GHÉP - QUY TẮC"),IF($V491="","",IF($T491="THÙNG",$V491/$F491,$V491)),""),"")</x:f>
      </x:c>
      <x:c r="Y491" s="117" t="n">
        <x:f>IF(OR(W491="",F491=""),"",W491*F491)</x:f>
        <x:v>1200000</x:v>
      </x:c>
      <x:c r="Z491" s="59" t="str">
        <x:f>IFERROR(IF(OR($N491="ĐÃ GHÉP - AUTO",$N491="ĐÃ GHÉP - QUY TẮC"),IF($V491="","",IF($T491="THÙNG",$V491,$V491*$F491)),""),"")</x:f>
      </x:c>
      <x:c r="AA491" s="28" t="str">
        <x:f>IFERROR(IF(OR($K491="",$K491=0,$Y491=""),"",($Y491-$K491)/$K491),"")</x:f>
      </x:c>
      <x:c r="AB491" s="37" t="str">
        <x:f>IFERROR(IF($N491="CẦN DUYỆT","DUYỆT MAP",IF($N491="CHƯA CÓ GIÁ LẺ","THIẾU GIÁ",IF(OR($K491="",$K491=0,$Y491=""),"OK",IF(ABS(($Y491-$K491)/$K491)&gt;0.15,"LỆCH GIÁ CŨ","OK")))),"OK")</x:f>
        <x:v>OK</x:v>
      </x:c>
      <x:c r="AC491" s="30" t="str">
        <x:v>score=0.970; gap=0.907</x:v>
      </x:c>
      <x:c r="AD491" s="37" t="str">
        <x:v>DAMETL</x:v>
      </x:c>
      <x:c r="AE491" s="38" t="str">
        <x:v>DAMETLT</x:v>
      </x:c>
      <x:c r="AF491" s="123" t="n">
        <x:v>0</x:v>
      </x:c>
      <x:c r="AG491" s="112" t="str">
        <x:v>g</x:v>
      </x:c>
      <x:c r="AH491" s="112" t="str">
        <x:v>HỦ</x:v>
      </x:c>
      <x:c r="AI491" s="112" t="str">
        <x:v>0 g / HỦ</x:v>
      </x:c>
      <x:c r="AJ491" s="120" t="n">
        <x:v>80000</x:v>
      </x:c>
      <x:c r="AK491" s="120" t="n">
        <x:v>80000</x:v>
      </x:c>
      <x:c r="AL491" s="120" t="n">
        <x:v>80000</x:v>
      </x:c>
      <x:c r="AM491" s="112" t="str">
        <x:v>GIỮ NGUYÊN - ĐÃ KHỚP</x:v>
      </x:c>
      <x:c r="AN491" s="126" t="n">
        <x:v>1090</x:v>
      </x:c>
      <x:c r="AO491" s="126" t="n">
        <x:v>1091</x:v>
      </x:c>
      <x:c r="AP491" s="113" t="str">
        <x:v>15 HỦ / THÙNG</x:v>
      </x:c>
    </x:row>
    <x:row r="492">
      <x:c r="A492" s="71" t="str">
        <x:v>GTP DƯA LƯỚI</x:v>
      </x:c>
      <x:c r="B492" s="30" t="str">
        <x:v>GTP DƯA LƯỚI - THÙNG</x:v>
      </x:c>
      <x:c r="C492" s="37" t="str">
        <x:v>GTPDLU</x:v>
      </x:c>
      <x:c r="D492" s="37" t="str">
        <x:v>GTPDLUT</x:v>
      </x:c>
      <x:c r="E492" s="37" t="str">
        <x:v>GTPDLUT</x:v>
      </x:c>
      <x:c r="F492" s="37" t="n">
        <x:v>6</x:v>
      </x:c>
      <x:c r="G492" s="37" t="n">
        <x:v>16000</x:v>
      </x:c>
      <x:c r="H492" s="37" t="str">
        <x:v>g</x:v>
      </x:c>
      <x:c r="I492" s="37" t="str">
        <x:v>THÙNG</x:v>
      </x:c>
      <x:c r="J492" s="59" t="n">
        <x:v>0</x:v>
      </x:c>
      <x:c r="K492" s="59" t="n">
        <x:v>834000</x:v>
      </x:c>
      <x:c r="L492" s="59" t="n">
        <x:v>0</x:v>
      </x:c>
      <x:c r="M492" s="37" t="str">
        <x:v>Siro</x:v>
      </x:c>
      <x:c r="N492" s="37" t="str">
        <x:v>ĐÃ GHÉP - AUTO</x:v>
      </x:c>
      <x:c r="O492" s="61" t="n">
        <x:v>0.883</x:v>
      </x:c>
      <x:c r="P492" s="37" t="n">
        <x:v>10</x:v>
      </x:c>
      <x:c r="Q492" s="30" t="str">
        <x:v>Siro GTP</x:v>
      </x:c>
      <x:c r="R492" s="30" t="str">
        <x:v>Thùng 6 bình</x:v>
      </x:c>
      <x:c r="S492" s="30" t="str">
        <x:v>Chai</x:v>
      </x:c>
      <x:c r="T492" s="37" t="str">
        <x:v>ĐƠN VỊ</x:v>
      </x:c>
      <x:c r="U492" s="59" t="n">
        <x:v>140000</x:v>
      </x:c>
      <x:c r="V492" s="59"/>
      <x:c r="W492" s="117" t="n">
        <x:v>140000</x:v>
      </x:c>
      <x:c r="X492" s="59" t="str">
        <x:f>IFERROR(IF(OR($N492="ĐÃ GHÉP - AUTO",$N492="ĐÃ GHÉP - QUY TẮC"),IF($V492="","",IF($T492="THÙNG",$V492/$F492,$V492)),""),"")</x:f>
      </x:c>
      <x:c r="Y492" s="117" t="n">
        <x:f>IF(OR(W492="",F492=""),"",W492*F492)</x:f>
        <x:v>840000</x:v>
      </x:c>
      <x:c r="Z492" s="59" t="str">
        <x:f>IFERROR(IF(OR($N492="ĐÃ GHÉP - AUTO",$N492="ĐÃ GHÉP - QUY TẮC"),IF($V492="","",IF($T492="THÙNG",$V492,$V492*$F492)),""),"")</x:f>
      </x:c>
      <x:c r="AA492" s="28" t="n">
        <x:f>IFERROR(IF(OR($K492="",$K492=0,$Y492=""),"",($Y492-$K492)/$K492),"")</x:f>
        <x:v>0.007194244604316547</x:v>
      </x:c>
      <x:c r="AB492" s="37" t="str">
        <x:f>IFERROR(IF($N492="CẦN DUYỆT","DUYỆT MAP",IF($N492="CHƯA CÓ GIÁ LẺ","THIẾU GIÁ",IF(OR($K492="",$K492=0,$Y492=""),"OK",IF(ABS(($Y492-$K492)/$K492)&gt;0.15,"LỆCH GIÁ CŨ","OK")))),"OK")</x:f>
        <x:v>OK</x:v>
      </x:c>
      <x:c r="AC492" s="30" t="str">
        <x:v>score=0.883; gap=0.433</x:v>
      </x:c>
      <x:c r="AD492" s="37" t="str">
        <x:v>GTPDLU</x:v>
      </x:c>
      <x:c r="AE492" s="38" t="str">
        <x:v>GTPDLUT</x:v>
      </x:c>
      <x:c r="AF492" s="123" t="n">
        <x:v>2550</x:v>
      </x:c>
      <x:c r="AG492" s="112" t="str">
        <x:v>g</x:v>
      </x:c>
      <x:c r="AH492" s="112" t="str">
        <x:v>BÌNH</x:v>
      </x:c>
      <x:c r="AI492" s="112" t="str">
        <x:v>2550 g / BÌNH</x:v>
      </x:c>
      <x:c r="AJ492" s="120" t="n">
        <x:v>140000</x:v>
      </x:c>
      <x:c r="AK492" s="120" t="n">
        <x:v>140000</x:v>
      </x:c>
      <x:c r="AL492" s="120" t="n">
        <x:v>140000</x:v>
      </x:c>
      <x:c r="AM492" s="112" t="str">
        <x:v>GIỮ NGUYÊN - ĐÃ KHỚP</x:v>
      </x:c>
      <x:c r="AN492" s="126" t="n">
        <x:v>1092</x:v>
      </x:c>
      <x:c r="AO492" s="126" t="n">
        <x:v>1093</x:v>
      </x:c>
      <x:c r="AP492" s="113" t="str">
        <x:v>6 BÌNH / THÙNG</x:v>
      </x:c>
    </x:row>
    <x:row r="493">
      <x:c r="A493" s="71" t="str">
        <x:v>DINGFONG XOÀI</x:v>
      </x:c>
      <x:c r="B493" s="30" t="str">
        <x:v>DINGFONG XOÀI - THÙNG</x:v>
      </x:c>
      <x:c r="C493" s="37" t="str">
        <x:v>DFGXOA</x:v>
      </x:c>
      <x:c r="D493" s="37" t="str">
        <x:v>DFGXOAT</x:v>
      </x:c>
      <x:c r="E493" s="37" t="str">
        <x:v>DFGXOAT</x:v>
      </x:c>
      <x:c r="F493" s="37" t="n">
        <x:v>12</x:v>
      </x:c>
      <x:c r="G493" s="37" t="n">
        <x:v>13000</x:v>
      </x:c>
      <x:c r="H493" s="37" t="str">
        <x:v>g</x:v>
      </x:c>
      <x:c r="I493" s="37" t="str">
        <x:v>THÙNG</x:v>
      </x:c>
      <x:c r="J493" s="59" t="n">
        <x:v>702000</x:v>
      </x:c>
      <x:c r="K493" s="59" t="n">
        <x:v>0</x:v>
      </x:c>
      <x:c r="L493" s="59" t="n">
        <x:v>0</x:v>
      </x:c>
      <x:c r="M493" s="37" t="str">
        <x:v>Siro</x:v>
      </x:c>
      <x:c r="N493" s="37" t="str">
        <x:v>ĐÃ GHÉP - AUTO</x:v>
      </x:c>
      <x:c r="O493" s="61" t="n">
        <x:v>0.864</x:v>
      </x:c>
      <x:c r="P493" s="37" t="n">
        <x:v>6</x:v>
      </x:c>
      <x:c r="Q493" s="30" t="str">
        <x:v>Siro Thái DINGFONG</x:v>
      </x:c>
      <x:c r="R493" s="30" t="str">
        <x:v>Thùng 12 chai</x:v>
      </x:c>
      <x:c r="S493" s="30" t="str">
        <x:v>Chai</x:v>
      </x:c>
      <x:c r="T493" s="37" t="str">
        <x:v>ĐƠN VỊ</x:v>
      </x:c>
      <x:c r="U493" s="59" t="n">
        <x:v>62000</x:v>
      </x:c>
      <x:c r="V493" s="59"/>
      <x:c r="W493" s="117" t="n">
        <x:v>62000</x:v>
      </x:c>
      <x:c r="X493" s="59" t="str">
        <x:f>IFERROR(IF(OR($N493="ĐÃ GHÉP - AUTO",$N493="ĐÃ GHÉP - QUY TẮC"),IF($V493="","",IF($T493="THÙNG",$V493/$F493,$V493)),""),"")</x:f>
      </x:c>
      <x:c r="Y493" s="117" t="n">
        <x:f>IF(OR(W493="",F493=""),"",W493*F493)</x:f>
        <x:v>744000</x:v>
      </x:c>
      <x:c r="Z493" s="59" t="str">
        <x:f>IFERROR(IF(OR($N493="ĐÃ GHÉP - AUTO",$N493="ĐÃ GHÉP - QUY TẮC"),IF($V493="","",IF($T493="THÙNG",$V493,$V493*$F493)),""),"")</x:f>
      </x:c>
      <x:c r="AA493" s="28" t="str">
        <x:f>IFERROR(IF(OR($K493="",$K493=0,$Y493=""),"",($Y493-$K493)/$K493),"")</x:f>
      </x:c>
      <x:c r="AB493" s="37" t="str">
        <x:f>IFERROR(IF($N493="CẦN DUYỆT","DUYỆT MAP",IF($N493="CHƯA CÓ GIÁ LẺ","THIẾU GIÁ",IF(OR($K493="",$K493=0,$Y493=""),"OK",IF(ABS(($Y493-$K493)/$K493)&gt;0.15,"LỆCH GIÁ CŨ","OK")))),"OK")</x:f>
        <x:v>OK</x:v>
      </x:c>
      <x:c r="AC493" s="30" t="str">
        <x:v>score=0.864; gap=0.801</x:v>
      </x:c>
      <x:c r="AD493" s="37" t="str">
        <x:v>DFGXOA</x:v>
      </x:c>
      <x:c r="AE493" s="38" t="str">
        <x:v>DFGXOAT</x:v>
      </x:c>
      <x:c r="AF493" s="123" t="n">
        <x:v>1050</x:v>
      </x:c>
      <x:c r="AG493" s="112" t="str">
        <x:v>g</x:v>
      </x:c>
      <x:c r="AH493" s="112" t="str">
        <x:v>CHAI</x:v>
      </x:c>
      <x:c r="AI493" s="112" t="str">
        <x:v>1050 g / CHAI</x:v>
      </x:c>
      <x:c r="AJ493" s="120" t="n">
        <x:v>62000</x:v>
      </x:c>
      <x:c r="AK493" s="120" t="n">
        <x:v>62000</x:v>
      </x:c>
      <x:c r="AL493" s="120" t="n">
        <x:v>62000</x:v>
      </x:c>
      <x:c r="AM493" s="112" t="str">
        <x:v>GIỮ NGUYÊN - ĐÃ KHỚP</x:v>
      </x:c>
      <x:c r="AN493" s="126" t="n">
        <x:v>1096</x:v>
      </x:c>
      <x:c r="AO493" s="126" t="n">
        <x:v>1097</x:v>
      </x:c>
      <x:c r="AP493" s="113" t="str">
        <x:v>12 CHAI / THÙNG</x:v>
      </x:c>
    </x:row>
    <x:row r="494">
      <x:c r="A494" s="71" t="str">
        <x:v>DINGFONG VIỆT QUỐC</x:v>
      </x:c>
      <x:c r="B494" s="30" t="str">
        <x:v>DINGFONG VIỆT QUỐC - THÙNG</x:v>
      </x:c>
      <x:c r="C494" s="37" t="str">
        <x:v>DFGVQU</x:v>
      </x:c>
      <x:c r="D494" s="37" t="str">
        <x:v>DFGVQUT</x:v>
      </x:c>
      <x:c r="E494" s="37" t="str">
        <x:v>DFGVQUT</x:v>
      </x:c>
      <x:c r="F494" s="37" t="n">
        <x:v>12</x:v>
      </x:c>
      <x:c r="G494" s="37" t="n">
        <x:v>13000</x:v>
      </x:c>
      <x:c r="H494" s="37" t="str">
        <x:v>g</x:v>
      </x:c>
      <x:c r="I494" s="37" t="str">
        <x:v>THÙNG</x:v>
      </x:c>
      <x:c r="J494" s="59" t="n">
        <x:v>702000</x:v>
      </x:c>
      <x:c r="K494" s="59" t="n">
        <x:v>0</x:v>
      </x:c>
      <x:c r="L494" s="59" t="n">
        <x:v>0</x:v>
      </x:c>
      <x:c r="M494" s="37" t="str">
        <x:v>Siro</x:v>
      </x:c>
      <x:c r="N494" s="37" t="str">
        <x:v>ĐÃ GHÉP - AUTO</x:v>
      </x:c>
      <x:c r="O494" s="61" t="n">
        <x:v>0.848</x:v>
      </x:c>
      <x:c r="P494" s="37" t="n">
        <x:v>6</x:v>
      </x:c>
      <x:c r="Q494" s="30" t="str">
        <x:v>Siro Thái DINGFONG</x:v>
      </x:c>
      <x:c r="R494" s="30" t="str">
        <x:v>Thùng 12 chai</x:v>
      </x:c>
      <x:c r="S494" s="30" t="str">
        <x:v>Chai</x:v>
      </x:c>
      <x:c r="T494" s="37" t="str">
        <x:v>ĐƠN VỊ</x:v>
      </x:c>
      <x:c r="U494" s="59" t="n">
        <x:v>62000</x:v>
      </x:c>
      <x:c r="V494" s="59"/>
      <x:c r="W494" s="117" t="n">
        <x:v>62000</x:v>
      </x:c>
      <x:c r="X494" s="59" t="str">
        <x:f>IFERROR(IF(OR($N494="ĐÃ GHÉP - AUTO",$N494="ĐÃ GHÉP - QUY TẮC"),IF($V494="","",IF($T494="THÙNG",$V494/$F494,$V494)),""),"")</x:f>
      </x:c>
      <x:c r="Y494" s="117" t="n">
        <x:f>IF(OR(W494="",F494=""),"",W494*F494)</x:f>
        <x:v>744000</x:v>
      </x:c>
      <x:c r="Z494" s="59" t="str">
        <x:f>IFERROR(IF(OR($N494="ĐÃ GHÉP - AUTO",$N494="ĐÃ GHÉP - QUY TẮC"),IF($V494="","",IF($T494="THÙNG",$V494,$V494*$F494)),""),"")</x:f>
      </x:c>
      <x:c r="AA494" s="28" t="str">
        <x:f>IFERROR(IF(OR($K494="",$K494=0,$Y494=""),"",($Y494-$K494)/$K494),"")</x:f>
      </x:c>
      <x:c r="AB494" s="37" t="str">
        <x:f>IFERROR(IF($N494="CẦN DUYỆT","DUYỆT MAP",IF($N494="CHƯA CÓ GIÁ LẺ","THIẾU GIÁ",IF(OR($K494="",$K494=0,$Y494=""),"OK",IF(ABS(($Y494-$K494)/$K494)&gt;0.15,"LỆCH GIÁ CŨ","OK")))),"OK")</x:f>
        <x:v>OK</x:v>
      </x:c>
      <x:c r="AC494" s="30" t="str">
        <x:v>score=0.848; gap=0.791</x:v>
      </x:c>
      <x:c r="AD494" s="37" t="str">
        <x:v>DFGVQU</x:v>
      </x:c>
      <x:c r="AE494" s="38" t="str">
        <x:v>DFGVQUT</x:v>
      </x:c>
      <x:c r="AF494" s="123" t="n">
        <x:v>1050</x:v>
      </x:c>
      <x:c r="AG494" s="112" t="str">
        <x:v>g</x:v>
      </x:c>
      <x:c r="AH494" s="112" t="str">
        <x:v>CHAI</x:v>
      </x:c>
      <x:c r="AI494" s="112" t="str">
        <x:v>1050 g / CHAI</x:v>
      </x:c>
      <x:c r="AJ494" s="120" t="n">
        <x:v>62000</x:v>
      </x:c>
      <x:c r="AK494" s="120" t="n">
        <x:v>62000</x:v>
      </x:c>
      <x:c r="AL494" s="120" t="n">
        <x:v>62000</x:v>
      </x:c>
      <x:c r="AM494" s="112" t="str">
        <x:v>GIỮ NGUYÊN - ĐÃ KHỚP</x:v>
      </x:c>
      <x:c r="AN494" s="126" t="n">
        <x:v>1098</x:v>
      </x:c>
      <x:c r="AO494" s="126" t="n">
        <x:v>1099</x:v>
      </x:c>
      <x:c r="AP494" s="113" t="str">
        <x:v>12 CHAI / THÙNG</x:v>
      </x:c>
    </x:row>
    <x:row r="495">
      <x:c r="A495" s="71" t="str">
        <x:v>DINGFONG VẢI</x:v>
      </x:c>
      <x:c r="B495" s="30" t="str">
        <x:v>DINGFONG VẢI - THÙNG</x:v>
      </x:c>
      <x:c r="C495" s="37" t="str">
        <x:v>DFGVAI</x:v>
      </x:c>
      <x:c r="D495" s="37" t="str">
        <x:v>DFGVAIT</x:v>
      </x:c>
      <x:c r="E495" s="37" t="str">
        <x:v>DFGVAIT</x:v>
      </x:c>
      <x:c r="F495" s="37" t="n">
        <x:v>12</x:v>
      </x:c>
      <x:c r="G495" s="37" t="n">
        <x:v>13000</x:v>
      </x:c>
      <x:c r="H495" s="37" t="str">
        <x:v>g</x:v>
      </x:c>
      <x:c r="I495" s="37" t="str">
        <x:v>THÙNG</x:v>
      </x:c>
      <x:c r="J495" s="59" t="n">
        <x:v>702000</x:v>
      </x:c>
      <x:c r="K495" s="59" t="n">
        <x:v>0</x:v>
      </x:c>
      <x:c r="L495" s="59" t="n">
        <x:v>0</x:v>
      </x:c>
      <x:c r="M495" s="37" t="str">
        <x:v>Siro</x:v>
      </x:c>
      <x:c r="N495" s="37" t="str">
        <x:v>ĐÃ GHÉP - AUTO</x:v>
      </x:c>
      <x:c r="O495" s="61" t="n">
        <x:v>0.877</x:v>
      </x:c>
      <x:c r="P495" s="37" t="n">
        <x:v>6</x:v>
      </x:c>
      <x:c r="Q495" s="30" t="str">
        <x:v>Siro Thái DINGFONG</x:v>
      </x:c>
      <x:c r="R495" s="30" t="str">
        <x:v>Thùng 12 chai</x:v>
      </x:c>
      <x:c r="S495" s="30" t="str">
        <x:v>Chai</x:v>
      </x:c>
      <x:c r="T495" s="37" t="str">
        <x:v>ĐƠN VỊ</x:v>
      </x:c>
      <x:c r="U495" s="59" t="n">
        <x:v>62000</x:v>
      </x:c>
      <x:c r="V495" s="59"/>
      <x:c r="W495" s="117" t="n">
        <x:v>62000</x:v>
      </x:c>
      <x:c r="X495" s="59" t="str">
        <x:f>IFERROR(IF(OR($N495="ĐÃ GHÉP - AUTO",$N495="ĐÃ GHÉP - QUY TẮC"),IF($V495="","",IF($T495="THÙNG",$V495/$F495,$V495)),""),"")</x:f>
      </x:c>
      <x:c r="Y495" s="117" t="n">
        <x:f>IF(OR(W495="",F495=""),"",W495*F495)</x:f>
        <x:v>744000</x:v>
      </x:c>
      <x:c r="Z495" s="59" t="str">
        <x:f>IFERROR(IF(OR($N495="ĐÃ GHÉP - AUTO",$N495="ĐÃ GHÉP - QUY TẮC"),IF($V495="","",IF($T495="THÙNG",$V495,$V495*$F495)),""),"")</x:f>
      </x:c>
      <x:c r="AA495" s="28" t="str">
        <x:f>IFERROR(IF(OR($K495="",$K495=0,$Y495=""),"",($Y495-$K495)/$K495),"")</x:f>
      </x:c>
      <x:c r="AB495" s="37" t="str">
        <x:f>IFERROR(IF($N495="CẦN DUYỆT","DUYỆT MAP",IF($N495="CHƯA CÓ GIÁ LẺ","THIẾU GIÁ",IF(OR($K495="",$K495=0,$Y495=""),"OK",IF(ABS(($Y495-$K495)/$K495)&gt;0.15,"LỆCH GIÁ CŨ","OK")))),"OK")</x:f>
        <x:v>OK</x:v>
      </x:c>
      <x:c r="AC495" s="30" t="str">
        <x:v>score=0.877; gap=0.813</x:v>
      </x:c>
      <x:c r="AD495" s="37" t="str">
        <x:v>DFGVAI</x:v>
      </x:c>
      <x:c r="AE495" s="38" t="str">
        <x:v>DFGVAIT</x:v>
      </x:c>
      <x:c r="AF495" s="123" t="n">
        <x:v>1050</x:v>
      </x:c>
      <x:c r="AG495" s="112" t="str">
        <x:v>g</x:v>
      </x:c>
      <x:c r="AH495" s="112" t="str">
        <x:v>CHAI</x:v>
      </x:c>
      <x:c r="AI495" s="112" t="str">
        <x:v>1050 g / CHAI</x:v>
      </x:c>
      <x:c r="AJ495" s="120" t="n">
        <x:v>62000</x:v>
      </x:c>
      <x:c r="AK495" s="120" t="n">
        <x:v>62000</x:v>
      </x:c>
      <x:c r="AL495" s="120" t="n">
        <x:v>62000</x:v>
      </x:c>
      <x:c r="AM495" s="112" t="str">
        <x:v>GIỮ NGUYÊN - ĐÃ KHỚP</x:v>
      </x:c>
      <x:c r="AN495" s="126" t="n">
        <x:v>1100</x:v>
      </x:c>
      <x:c r="AO495" s="126" t="n">
        <x:v>1101</x:v>
      </x:c>
      <x:c r="AP495" s="113" t="str">
        <x:v>12 CHAI / THÙNG</x:v>
      </x:c>
    </x:row>
    <x:row r="496">
      <x:c r="A496" s="71" t="str">
        <x:v>DINGFONG TÁO</x:v>
      </x:c>
      <x:c r="B496" s="30" t="str">
        <x:v>DINGFONG TÁO - THÙNG</x:v>
      </x:c>
      <x:c r="C496" s="37" t="str">
        <x:v>DFGTAO</x:v>
      </x:c>
      <x:c r="D496" s="37" t="str">
        <x:v>DFGTAOT</x:v>
      </x:c>
      <x:c r="E496" s="37" t="str">
        <x:v>DFGTAOT</x:v>
      </x:c>
      <x:c r="F496" s="37" t="n">
        <x:v>12</x:v>
      </x:c>
      <x:c r="G496" s="37" t="n">
        <x:v>13000</x:v>
      </x:c>
      <x:c r="H496" s="37" t="str">
        <x:v>g</x:v>
      </x:c>
      <x:c r="I496" s="37" t="str">
        <x:v>THÙNG</x:v>
      </x:c>
      <x:c r="J496" s="59" t="n">
        <x:v>702000</x:v>
      </x:c>
      <x:c r="K496" s="59" t="n">
        <x:v>0</x:v>
      </x:c>
      <x:c r="L496" s="59" t="n">
        <x:v>0</x:v>
      </x:c>
      <x:c r="M496" s="37" t="str">
        <x:v>Siro</x:v>
      </x:c>
      <x:c r="N496" s="37" t="str">
        <x:v>ĐÃ GHÉP - AUTO</x:v>
      </x:c>
      <x:c r="O496" s="61" t="n">
        <x:v>0.87</x:v>
      </x:c>
      <x:c r="P496" s="37" t="n">
        <x:v>6</x:v>
      </x:c>
      <x:c r="Q496" s="30" t="str">
        <x:v>Siro Thái DINGFONG</x:v>
      </x:c>
      <x:c r="R496" s="30" t="str">
        <x:v>Thùng 12 chai</x:v>
      </x:c>
      <x:c r="S496" s="30" t="str">
        <x:v>Chai</x:v>
      </x:c>
      <x:c r="T496" s="37" t="str">
        <x:v>ĐƠN VỊ</x:v>
      </x:c>
      <x:c r="U496" s="59" t="n">
        <x:v>62000</x:v>
      </x:c>
      <x:c r="V496" s="59"/>
      <x:c r="W496" s="117" t="n">
        <x:v>62000</x:v>
      </x:c>
      <x:c r="X496" s="59" t="str">
        <x:f>IFERROR(IF(OR($N496="ĐÃ GHÉP - AUTO",$N496="ĐÃ GHÉP - QUY TẮC"),IF($V496="","",IF($T496="THÙNG",$V496/$F496,$V496)),""),"")</x:f>
      </x:c>
      <x:c r="Y496" s="117" t="n">
        <x:f>IF(OR(W496="",F496=""),"",W496*F496)</x:f>
        <x:v>744000</x:v>
      </x:c>
      <x:c r="Z496" s="59" t="str">
        <x:f>IFERROR(IF(OR($N496="ĐÃ GHÉP - AUTO",$N496="ĐÃ GHÉP - QUY TẮC"),IF($V496="","",IF($T496="THÙNG",$V496,$V496*$F496)),""),"")</x:f>
      </x:c>
      <x:c r="AA496" s="28" t="str">
        <x:f>IFERROR(IF(OR($K496="",$K496=0,$Y496=""),"",($Y496-$K496)/$K496),"")</x:f>
      </x:c>
      <x:c r="AB496" s="37" t="str">
        <x:f>IFERROR(IF($N496="CẦN DUYỆT","DUYỆT MAP",IF($N496="CHƯA CÓ GIÁ LẺ","THIẾU GIÁ",IF(OR($K496="",$K496=0,$Y496=""),"OK",IF(ABS(($Y496-$K496)/$K496)&gt;0.15,"LỆCH GIÁ CŨ","OK")))),"OK")</x:f>
        <x:v>OK</x:v>
      </x:c>
      <x:c r="AC496" s="30" t="str">
        <x:v>score=0.870; gap=0.452</x:v>
      </x:c>
      <x:c r="AD496" s="37" t="str">
        <x:v>DFGTAO</x:v>
      </x:c>
      <x:c r="AE496" s="38" t="str">
        <x:v>DFGTAOT</x:v>
      </x:c>
      <x:c r="AF496" s="123" t="n">
        <x:v>1050</x:v>
      </x:c>
      <x:c r="AG496" s="112" t="str">
        <x:v>g</x:v>
      </x:c>
      <x:c r="AH496" s="112" t="str">
        <x:v>CHAI</x:v>
      </x:c>
      <x:c r="AI496" s="112" t="str">
        <x:v>1050 g / CHAI</x:v>
      </x:c>
      <x:c r="AJ496" s="120" t="n">
        <x:v>62000</x:v>
      </x:c>
      <x:c r="AK496" s="120" t="n">
        <x:v>62000</x:v>
      </x:c>
      <x:c r="AL496" s="120" t="n">
        <x:v>62000</x:v>
      </x:c>
      <x:c r="AM496" s="112" t="str">
        <x:v>GIỮ NGUYÊN - ĐÃ KHỚP</x:v>
      </x:c>
      <x:c r="AN496" s="126" t="n">
        <x:v>1102</x:v>
      </x:c>
      <x:c r="AO496" s="126" t="n">
        <x:v>1103</x:v>
      </x:c>
      <x:c r="AP496" s="113" t="str">
        <x:v>12 CHAI / THÙNG</x:v>
      </x:c>
    </x:row>
    <x:row r="497">
      <x:c r="A497" s="71" t="str">
        <x:v>DINGFONG SOCOLA</x:v>
      </x:c>
      <x:c r="B497" s="30" t="str">
        <x:v>DINGFONG SOCOLA - THÙNG</x:v>
      </x:c>
      <x:c r="C497" s="37" t="str">
        <x:v>DFGSCL</x:v>
      </x:c>
      <x:c r="D497" s="37" t="str">
        <x:v>DFGSCLT</x:v>
      </x:c>
      <x:c r="E497" s="37" t="str">
        <x:v>DFGSCLT</x:v>
      </x:c>
      <x:c r="F497" s="37" t="n">
        <x:v>12</x:v>
      </x:c>
      <x:c r="G497" s="37" t="n">
        <x:v>13000</x:v>
      </x:c>
      <x:c r="H497" s="37" t="str">
        <x:v>g</x:v>
      </x:c>
      <x:c r="I497" s="37" t="str">
        <x:v>THÙNG</x:v>
      </x:c>
      <x:c r="J497" s="59" t="n">
        <x:v>702000</x:v>
      </x:c>
      <x:c r="K497" s="59" t="n">
        <x:v>0</x:v>
      </x:c>
      <x:c r="L497" s="59" t="n">
        <x:v>0</x:v>
      </x:c>
      <x:c r="M497" s="37" t="str">
        <x:v>Siro</x:v>
      </x:c>
      <x:c r="N497" s="37" t="str">
        <x:v>ĐÃ GHÉP - AUTO</x:v>
      </x:c>
      <x:c r="O497" s="61" t="n">
        <x:v>0.87</x:v>
      </x:c>
      <x:c r="P497" s="37" t="n">
        <x:v>6</x:v>
      </x:c>
      <x:c r="Q497" s="30" t="str">
        <x:v>Siro Thái DINGFONG</x:v>
      </x:c>
      <x:c r="R497" s="30" t="str">
        <x:v>Thùng 12 chai</x:v>
      </x:c>
      <x:c r="S497" s="30" t="str">
        <x:v>Chai</x:v>
      </x:c>
      <x:c r="T497" s="37" t="str">
        <x:v>ĐƠN VỊ</x:v>
      </x:c>
      <x:c r="U497" s="59" t="n">
        <x:v>62000</x:v>
      </x:c>
      <x:c r="V497" s="59"/>
      <x:c r="W497" s="117" t="n">
        <x:v>62000</x:v>
      </x:c>
      <x:c r="X497" s="59" t="str">
        <x:f>IFERROR(IF(OR($N497="ĐÃ GHÉP - AUTO",$N497="ĐÃ GHÉP - QUY TẮC"),IF($V497="","",IF($T497="THÙNG",$V497/$F497,$V497)),""),"")</x:f>
      </x:c>
      <x:c r="Y497" s="117" t="n">
        <x:f>IF(OR(W497="",F497=""),"",W497*F497)</x:f>
        <x:v>744000</x:v>
      </x:c>
      <x:c r="Z497" s="59" t="str">
        <x:f>IFERROR(IF(OR($N497="ĐÃ GHÉP - AUTO",$N497="ĐÃ GHÉP - QUY TẮC"),IF($V497="","",IF($T497="THÙNG",$V497,$V497*$F497)),""),"")</x:f>
      </x:c>
      <x:c r="AA497" s="28" t="str">
        <x:f>IFERROR(IF(OR($K497="",$K497=0,$Y497=""),"",($Y497-$K497)/$K497),"")</x:f>
      </x:c>
      <x:c r="AB497" s="37" t="str">
        <x:f>IFERROR(IF($N497="CẦN DUYỆT","DUYỆT MAP",IF($N497="CHƯA CÓ GIÁ LẺ","THIẾU GIÁ",IF(OR($K497="",$K497=0,$Y497=""),"OK",IF(ABS(($Y497-$K497)/$K497)&gt;0.15,"LỆCH GIÁ CŨ","OK")))),"OK")</x:f>
        <x:v>OK</x:v>
      </x:c>
      <x:c r="AC497" s="30" t="str">
        <x:v>score=0.870; gap=0.810</x:v>
      </x:c>
      <x:c r="AD497" s="37" t="str">
        <x:v>DFGSCL</x:v>
      </x:c>
      <x:c r="AE497" s="38" t="str">
        <x:v>DFGSCLT</x:v>
      </x:c>
      <x:c r="AF497" s="123" t="n">
        <x:v>1050</x:v>
      </x:c>
      <x:c r="AG497" s="112" t="str">
        <x:v>g</x:v>
      </x:c>
      <x:c r="AH497" s="112" t="str">
        <x:v>CHAI</x:v>
      </x:c>
      <x:c r="AI497" s="112" t="str">
        <x:v>1050 g / CHAI</x:v>
      </x:c>
      <x:c r="AJ497" s="120" t="n">
        <x:v>62000</x:v>
      </x:c>
      <x:c r="AK497" s="120" t="n">
        <x:v>62000</x:v>
      </x:c>
      <x:c r="AL497" s="120" t="n">
        <x:v>62000</x:v>
      </x:c>
      <x:c r="AM497" s="112" t="str">
        <x:v>GIỮ NGUYÊN - ĐÃ KHỚP</x:v>
      </x:c>
      <x:c r="AN497" s="126" t="n">
        <x:v>1104</x:v>
      </x:c>
      <x:c r="AO497" s="126" t="n">
        <x:v>1105</x:v>
      </x:c>
      <x:c r="AP497" s="113" t="str">
        <x:v>12 CHAI / THÙNG</x:v>
      </x:c>
    </x:row>
    <x:row r="498">
      <x:c r="A498" s="71" t="str">
        <x:v>DINGFONG NHO</x:v>
      </x:c>
      <x:c r="B498" s="30" t="str">
        <x:v>DINGFONG NHO - THÙNG</x:v>
      </x:c>
      <x:c r="C498" s="37" t="str">
        <x:v>DFGNHO</x:v>
      </x:c>
      <x:c r="D498" s="37" t="str">
        <x:v>DFGNHOT</x:v>
      </x:c>
      <x:c r="E498" s="37" t="str">
        <x:v>DFGNHOT</x:v>
      </x:c>
      <x:c r="F498" s="37" t="n">
        <x:v>12</x:v>
      </x:c>
      <x:c r="G498" s="37" t="n">
        <x:v>13000</x:v>
      </x:c>
      <x:c r="H498" s="37" t="str">
        <x:v>g</x:v>
      </x:c>
      <x:c r="I498" s="37" t="str">
        <x:v>THÙNG</x:v>
      </x:c>
      <x:c r="J498" s="59" t="n">
        <x:v>702000</x:v>
      </x:c>
      <x:c r="K498" s="59" t="n">
        <x:v>0</x:v>
      </x:c>
      <x:c r="L498" s="59" t="n">
        <x:v>0</x:v>
      </x:c>
      <x:c r="M498" s="37" t="str">
        <x:v>Siro</x:v>
      </x:c>
      <x:c r="N498" s="37" t="str">
        <x:v>ĐÃ GHÉP - AUTO</x:v>
      </x:c>
      <x:c r="O498" s="61" t="n">
        <x:v>0.87</x:v>
      </x:c>
      <x:c r="P498" s="37" t="n">
        <x:v>6</x:v>
      </x:c>
      <x:c r="Q498" s="30" t="str">
        <x:v>Siro Thái DINGFONG</x:v>
      </x:c>
      <x:c r="R498" s="30" t="str">
        <x:v>Thùng 12 chai</x:v>
      </x:c>
      <x:c r="S498" s="30" t="str">
        <x:v>Chai</x:v>
      </x:c>
      <x:c r="T498" s="37" t="str">
        <x:v>ĐƠN VỊ</x:v>
      </x:c>
      <x:c r="U498" s="59" t="n">
        <x:v>62000</x:v>
      </x:c>
      <x:c r="V498" s="59"/>
      <x:c r="W498" s="117" t="n">
        <x:v>62000</x:v>
      </x:c>
      <x:c r="X498" s="59" t="str">
        <x:f>IFERROR(IF(OR($N498="ĐÃ GHÉP - AUTO",$N498="ĐÃ GHÉP - QUY TẮC"),IF($V498="","",IF($T498="THÙNG",$V498/$F498,$V498)),""),"")</x:f>
      </x:c>
      <x:c r="Y498" s="117" t="n">
        <x:f>IF(OR(W498="",F498=""),"",W498*F498)</x:f>
        <x:v>744000</x:v>
      </x:c>
      <x:c r="Z498" s="59" t="str">
        <x:f>IFERROR(IF(OR($N498="ĐÃ GHÉP - AUTO",$N498="ĐÃ GHÉP - QUY TẮC"),IF($V498="","",IF($T498="THÙNG",$V498,$V498*$F498)),""),"")</x:f>
      </x:c>
      <x:c r="AA498" s="28" t="str">
        <x:f>IFERROR(IF(OR($K498="",$K498=0,$Y498=""),"",($Y498-$K498)/$K498),"")</x:f>
      </x:c>
      <x:c r="AB498" s="37" t="str">
        <x:f>IFERROR(IF($N498="CẦN DUYỆT","DUYỆT MAP",IF($N498="CHƯA CÓ GIÁ LẺ","THIẾU GIÁ",IF(OR($K498="",$K498=0,$Y498=""),"OK",IF(ABS(($Y498-$K498)/$K498)&gt;0.15,"LỆCH GIÁ CŨ","OK")))),"OK")</x:f>
        <x:v>OK</x:v>
      </x:c>
      <x:c r="AC498" s="30" t="str">
        <x:v>score=0.870; gap=0.813</x:v>
      </x:c>
      <x:c r="AD498" s="37" t="str">
        <x:v>DFGNHO</x:v>
      </x:c>
      <x:c r="AE498" s="38" t="str">
        <x:v>DFGNHOT</x:v>
      </x:c>
      <x:c r="AF498" s="123" t="n">
        <x:v>1050</x:v>
      </x:c>
      <x:c r="AG498" s="112" t="str">
        <x:v>g</x:v>
      </x:c>
      <x:c r="AH498" s="112" t="str">
        <x:v>CHAI</x:v>
      </x:c>
      <x:c r="AI498" s="112" t="str">
        <x:v>1050 g / CHAI</x:v>
      </x:c>
      <x:c r="AJ498" s="120" t="n">
        <x:v>62000</x:v>
      </x:c>
      <x:c r="AK498" s="120" t="n">
        <x:v>62000</x:v>
      </x:c>
      <x:c r="AL498" s="120" t="n">
        <x:v>62000</x:v>
      </x:c>
      <x:c r="AM498" s="112" t="str">
        <x:v>GIỮ NGUYÊN - ĐÃ KHỚP</x:v>
      </x:c>
      <x:c r="AN498" s="126" t="n">
        <x:v>1106</x:v>
      </x:c>
      <x:c r="AO498" s="126" t="n">
        <x:v>1107</x:v>
      </x:c>
      <x:c r="AP498" s="113" t="str">
        <x:v>12 CHAI / THÙNG</x:v>
      </x:c>
    </x:row>
    <x:row r="499">
      <x:c r="A499" s="71" t="str">
        <x:v>DINGFONG KIWI</x:v>
      </x:c>
      <x:c r="B499" s="30" t="str">
        <x:v>DINGFONG KIWI - THÙNG</x:v>
      </x:c>
      <x:c r="C499" s="37" t="str">
        <x:v>DFGKWI</x:v>
      </x:c>
      <x:c r="D499" s="37" t="str">
        <x:v>DFGKWIT</x:v>
      </x:c>
      <x:c r="E499" s="37" t="str">
        <x:v>DFGKWIT</x:v>
      </x:c>
      <x:c r="F499" s="37" t="n">
        <x:v>12</x:v>
      </x:c>
      <x:c r="G499" s="37" t="n">
        <x:v>13000</x:v>
      </x:c>
      <x:c r="H499" s="37" t="str">
        <x:v>g</x:v>
      </x:c>
      <x:c r="I499" s="37" t="str">
        <x:v>THÙNG</x:v>
      </x:c>
      <x:c r="J499" s="59" t="n">
        <x:v>702000</x:v>
      </x:c>
      <x:c r="K499" s="59" t="n">
        <x:v>0</x:v>
      </x:c>
      <x:c r="L499" s="59" t="n">
        <x:v>0</x:v>
      </x:c>
      <x:c r="M499" s="37" t="str">
        <x:v>Siro</x:v>
      </x:c>
      <x:c r="N499" s="37" t="str">
        <x:v>ĐÃ GHÉP - AUTO</x:v>
      </x:c>
      <x:c r="O499" s="61" t="n">
        <x:v>0.869</x:v>
      </x:c>
      <x:c r="P499" s="37" t="n">
        <x:v>6</x:v>
      </x:c>
      <x:c r="Q499" s="30" t="str">
        <x:v>Siro Thái DINGFONG</x:v>
      </x:c>
      <x:c r="R499" s="30" t="str">
        <x:v>Thùng 12 chai</x:v>
      </x:c>
      <x:c r="S499" s="30" t="str">
        <x:v>Chai</x:v>
      </x:c>
      <x:c r="T499" s="37" t="str">
        <x:v>ĐƠN VỊ</x:v>
      </x:c>
      <x:c r="U499" s="59" t="n">
        <x:v>62000</x:v>
      </x:c>
      <x:c r="V499" s="59"/>
      <x:c r="W499" s="117" t="n">
        <x:v>62000</x:v>
      </x:c>
      <x:c r="X499" s="59" t="str">
        <x:f>IFERROR(IF(OR($N499="ĐÃ GHÉP - AUTO",$N499="ĐÃ GHÉP - QUY TẮC"),IF($V499="","",IF($T499="THÙNG",$V499/$F499,$V499)),""),"")</x:f>
      </x:c>
      <x:c r="Y499" s="117" t="n">
        <x:f>IF(OR(W499="",F499=""),"",W499*F499)</x:f>
        <x:v>744000</x:v>
      </x:c>
      <x:c r="Z499" s="59" t="str">
        <x:f>IFERROR(IF(OR($N499="ĐÃ GHÉP - AUTO",$N499="ĐÃ GHÉP - QUY TẮC"),IF($V499="","",IF($T499="THÙNG",$V499,$V499*$F499)),""),"")</x:f>
      </x:c>
      <x:c r="AA499" s="28" t="str">
        <x:f>IFERROR(IF(OR($K499="",$K499=0,$Y499=""),"",($Y499-$K499)/$K499),"")</x:f>
      </x:c>
      <x:c r="AB499" s="37" t="str">
        <x:f>IFERROR(IF($N499="CẦN DUYỆT","DUYỆT MAP",IF($N499="CHƯA CÓ GIÁ LẺ","THIẾU GIÁ",IF(OR($K499="",$K499=0,$Y499=""),"OK",IF(ABS(($Y499-$K499)/$K499)&gt;0.15,"LỆCH GIÁ CŨ","OK")))),"OK")</x:f>
        <x:v>OK</x:v>
      </x:c>
      <x:c r="AC499" s="30" t="str">
        <x:v>score=0.869; gap=0.811</x:v>
      </x:c>
      <x:c r="AD499" s="37" t="str">
        <x:v>DFGKWI</x:v>
      </x:c>
      <x:c r="AE499" s="38" t="str">
        <x:v>DFGKWIT</x:v>
      </x:c>
      <x:c r="AF499" s="123" t="n">
        <x:v>1050</x:v>
      </x:c>
      <x:c r="AG499" s="112" t="str">
        <x:v>g</x:v>
      </x:c>
      <x:c r="AH499" s="112" t="str">
        <x:v>CHAI</x:v>
      </x:c>
      <x:c r="AI499" s="112" t="str">
        <x:v>1050 g / CHAI</x:v>
      </x:c>
      <x:c r="AJ499" s="120" t="n">
        <x:v>62000</x:v>
      </x:c>
      <x:c r="AK499" s="120" t="n">
        <x:v>62000</x:v>
      </x:c>
      <x:c r="AL499" s="120" t="n">
        <x:v>62000</x:v>
      </x:c>
      <x:c r="AM499" s="112" t="str">
        <x:v>GIỮ NGUYÊN - ĐÃ KHỚP</x:v>
      </x:c>
      <x:c r="AN499" s="126" t="n">
        <x:v>1108</x:v>
      </x:c>
      <x:c r="AO499" s="126" t="n">
        <x:v>1109</x:v>
      </x:c>
      <x:c r="AP499" s="113" t="str">
        <x:v>12 CHAI / THÙNG</x:v>
      </x:c>
    </x:row>
    <x:row r="500">
      <x:c r="A500" s="71" t="str">
        <x:v>DINGFONG ĐÀO</x:v>
      </x:c>
      <x:c r="B500" s="30" t="str">
        <x:v>DINGFONG ĐÀO - THÙNG</x:v>
      </x:c>
      <x:c r="C500" s="37" t="str">
        <x:v>DFGDAO</x:v>
      </x:c>
      <x:c r="D500" s="37" t="str">
        <x:v>DFGDAOT</x:v>
      </x:c>
      <x:c r="E500" s="37" t="str">
        <x:v>DFGDAOT</x:v>
      </x:c>
      <x:c r="F500" s="37" t="n">
        <x:v>12</x:v>
      </x:c>
      <x:c r="G500" s="37" t="n">
        <x:v>13000</x:v>
      </x:c>
      <x:c r="H500" s="37" t="str">
        <x:v>g</x:v>
      </x:c>
      <x:c r="I500" s="37" t="str">
        <x:v>THÙNG</x:v>
      </x:c>
      <x:c r="J500" s="59" t="n">
        <x:v>702000</x:v>
      </x:c>
      <x:c r="K500" s="59" t="n">
        <x:v>0</x:v>
      </x:c>
      <x:c r="L500" s="59" t="n">
        <x:v>0</x:v>
      </x:c>
      <x:c r="M500" s="37" t="str">
        <x:v>Siro</x:v>
      </x:c>
      <x:c r="N500" s="37" t="str">
        <x:v>ĐÃ GHÉP - AUTO</x:v>
      </x:c>
      <x:c r="O500" s="61" t="n">
        <x:v>0.878</x:v>
      </x:c>
      <x:c r="P500" s="37" t="n">
        <x:v>6</x:v>
      </x:c>
      <x:c r="Q500" s="30" t="str">
        <x:v>Siro Thái DINGFONG</x:v>
      </x:c>
      <x:c r="R500" s="30" t="str">
        <x:v>Thùng 12 chai</x:v>
      </x:c>
      <x:c r="S500" s="30" t="str">
        <x:v>Chai</x:v>
      </x:c>
      <x:c r="T500" s="37" t="str">
        <x:v>ĐƠN VỊ</x:v>
      </x:c>
      <x:c r="U500" s="59" t="n">
        <x:v>62000</x:v>
      </x:c>
      <x:c r="V500" s="59"/>
      <x:c r="W500" s="117" t="n">
        <x:v>62000</x:v>
      </x:c>
      <x:c r="X500" s="59" t="str">
        <x:f>IFERROR(IF(OR($N500="ĐÃ GHÉP - AUTO",$N500="ĐÃ GHÉP - QUY TẮC"),IF($V500="","",IF($T500="THÙNG",$V500/$F500,$V500)),""),"")</x:f>
      </x:c>
      <x:c r="Y500" s="117" t="n">
        <x:f>IF(OR(W500="",F500=""),"",W500*F500)</x:f>
        <x:v>744000</x:v>
      </x:c>
      <x:c r="Z500" s="59" t="str">
        <x:f>IFERROR(IF(OR($N500="ĐÃ GHÉP - AUTO",$N500="ĐÃ GHÉP - QUY TẮC"),IF($V500="","",IF($T500="THÙNG",$V500,$V500*$F500)),""),"")</x:f>
      </x:c>
      <x:c r="AA500" s="28" t="str">
        <x:f>IFERROR(IF(OR($K500="",$K500=0,$Y500=""),"",($Y500-$K500)/$K500),"")</x:f>
      </x:c>
      <x:c r="AB500" s="37" t="str">
        <x:f>IFERROR(IF($N500="CẦN DUYỆT","DUYỆT MAP",IF($N500="CHƯA CÓ GIÁ LẺ","THIẾU GIÁ",IF(OR($K500="",$K500=0,$Y500=""),"OK",IF(ABS(($Y500-$K500)/$K500)&gt;0.15,"LỆCH GIÁ CŨ","OK")))),"OK")</x:f>
        <x:v>OK</x:v>
      </x:c>
      <x:c r="AC500" s="30" t="str">
        <x:v>score=0.878; gap=0.622</x:v>
      </x:c>
      <x:c r="AD500" s="37" t="str">
        <x:v>DFGDAO</x:v>
      </x:c>
      <x:c r="AE500" s="38" t="str">
        <x:v>DFGDAOT</x:v>
      </x:c>
      <x:c r="AF500" s="123" t="n">
        <x:v>1050</x:v>
      </x:c>
      <x:c r="AG500" s="112" t="str">
        <x:v>g</x:v>
      </x:c>
      <x:c r="AH500" s="112" t="str">
        <x:v>CHAI</x:v>
      </x:c>
      <x:c r="AI500" s="112" t="str">
        <x:v>1050 g / CHAI</x:v>
      </x:c>
      <x:c r="AJ500" s="120" t="n">
        <x:v>62000</x:v>
      </x:c>
      <x:c r="AK500" s="120" t="n">
        <x:v>62000</x:v>
      </x:c>
      <x:c r="AL500" s="120" t="n">
        <x:v>62000</x:v>
      </x:c>
      <x:c r="AM500" s="112" t="str">
        <x:v>GIỮ NGUYÊN - ĐÃ KHỚP</x:v>
      </x:c>
      <x:c r="AN500" s="126" t="n">
        <x:v>1110</x:v>
      </x:c>
      <x:c r="AO500" s="126" t="n">
        <x:v>1111</x:v>
      </x:c>
      <x:c r="AP500" s="113" t="str">
        <x:v>12 CHAI / THÙNG</x:v>
      </x:c>
    </x:row>
    <x:row r="501">
      <x:c r="A501" s="71" t="str">
        <x:v>DINGFONG DƯA LƯỚI</x:v>
      </x:c>
      <x:c r="B501" s="30" t="str">
        <x:v>DINGFONG DƯA LƯỚI - THÙNG</x:v>
      </x:c>
      <x:c r="C501" s="37" t="str">
        <x:v>DFGDLU</x:v>
      </x:c>
      <x:c r="D501" s="37" t="str">
        <x:v>DFGDLUT</x:v>
      </x:c>
      <x:c r="E501" s="37" t="str">
        <x:v>DFGDLUT</x:v>
      </x:c>
      <x:c r="F501" s="37" t="n">
        <x:v>12</x:v>
      </x:c>
      <x:c r="G501" s="37" t="n">
        <x:v>13000</x:v>
      </x:c>
      <x:c r="H501" s="37" t="str">
        <x:v>g</x:v>
      </x:c>
      <x:c r="I501" s="37" t="str">
        <x:v>THÙNG</x:v>
      </x:c>
      <x:c r="J501" s="59" t="n">
        <x:v>702000</x:v>
      </x:c>
      <x:c r="K501" s="59" t="n">
        <x:v>0</x:v>
      </x:c>
      <x:c r="L501" s="59" t="n">
        <x:v>0</x:v>
      </x:c>
      <x:c r="M501" s="37" t="str">
        <x:v>Siro</x:v>
      </x:c>
      <x:c r="N501" s="37" t="str">
        <x:v>ĐÃ GHÉP - AUTO</x:v>
      </x:c>
      <x:c r="O501" s="61" t="n">
        <x:v>0.851</x:v>
      </x:c>
      <x:c r="P501" s="37" t="n">
        <x:v>6</x:v>
      </x:c>
      <x:c r="Q501" s="30" t="str">
        <x:v>Siro Thái DINGFONG</x:v>
      </x:c>
      <x:c r="R501" s="30" t="str">
        <x:v>Thùng 12 chai</x:v>
      </x:c>
      <x:c r="S501" s="30" t="str">
        <x:v>Chai</x:v>
      </x:c>
      <x:c r="T501" s="37" t="str">
        <x:v>ĐƠN VỊ</x:v>
      </x:c>
      <x:c r="U501" s="59" t="n">
        <x:v>62000</x:v>
      </x:c>
      <x:c r="V501" s="59"/>
      <x:c r="W501" s="117" t="n">
        <x:v>62000</x:v>
      </x:c>
      <x:c r="X501" s="59" t="str">
        <x:f>IFERROR(IF(OR($N501="ĐÃ GHÉP - AUTO",$N501="ĐÃ GHÉP - QUY TẮC"),IF($V501="","",IF($T501="THÙNG",$V501/$F501,$V501)),""),"")</x:f>
      </x:c>
      <x:c r="Y501" s="117" t="n">
        <x:f>IF(OR(W501="",F501=""),"",W501*F501)</x:f>
        <x:v>744000</x:v>
      </x:c>
      <x:c r="Z501" s="59" t="str">
        <x:f>IFERROR(IF(OR($N501="ĐÃ GHÉP - AUTO",$N501="ĐÃ GHÉP - QUY TẮC"),IF($V501="","",IF($T501="THÙNG",$V501,$V501*$F501)),""),"")</x:f>
      </x:c>
      <x:c r="AA501" s="28" t="str">
        <x:f>IFERROR(IF(OR($K501="",$K501=0,$Y501=""),"",($Y501-$K501)/$K501),"")</x:f>
      </x:c>
      <x:c r="AB501" s="37" t="str">
        <x:f>IFERROR(IF($N501="CẦN DUYỆT","DUYỆT MAP",IF($N501="CHƯA CÓ GIÁ LẺ","THIẾU GIÁ",IF(OR($K501="",$K501=0,$Y501=""),"OK",IF(ABS(($Y501-$K501)/$K501)&gt;0.15,"LỆCH GIÁ CŨ","OK")))),"OK")</x:f>
        <x:v>OK</x:v>
      </x:c>
      <x:c r="AC501" s="30" t="str">
        <x:v>score=0.851; gap=0.464</x:v>
      </x:c>
      <x:c r="AD501" s="37" t="str">
        <x:v>DFGDLU</x:v>
      </x:c>
      <x:c r="AE501" s="38" t="str">
        <x:v>DFGDLUT</x:v>
      </x:c>
      <x:c r="AF501" s="123" t="n">
        <x:v>1050</x:v>
      </x:c>
      <x:c r="AG501" s="112" t="str">
        <x:v>g</x:v>
      </x:c>
      <x:c r="AH501" s="112" t="str">
        <x:v>CHAI</x:v>
      </x:c>
      <x:c r="AI501" s="112" t="str">
        <x:v>1050 g / CHAI</x:v>
      </x:c>
      <x:c r="AJ501" s="120" t="n">
        <x:v>62000</x:v>
      </x:c>
      <x:c r="AK501" s="120" t="n">
        <x:v>62000</x:v>
      </x:c>
      <x:c r="AL501" s="120" t="n">
        <x:v>62000</x:v>
      </x:c>
      <x:c r="AM501" s="112" t="str">
        <x:v>GIỮ NGUYÊN - ĐÃ KHỚP</x:v>
      </x:c>
      <x:c r="AN501" s="126" t="n">
        <x:v>1112</x:v>
      </x:c>
      <x:c r="AO501" s="126" t="n">
        <x:v>1113</x:v>
      </x:c>
      <x:c r="AP501" s="113" t="str">
        <x:v>12 CHAI / THÙNG</x:v>
      </x:c>
    </x:row>
    <x:row r="502">
      <x:c r="A502" s="71" t="str">
        <x:v>DINGFONG DÂU</x:v>
      </x:c>
      <x:c r="B502" s="30" t="str">
        <x:v>DINGFONG DÂU - THÙNG</x:v>
      </x:c>
      <x:c r="C502" s="37" t="str">
        <x:v>DFGDAU</x:v>
      </x:c>
      <x:c r="D502" s="37" t="str">
        <x:v>DFGDAUT</x:v>
      </x:c>
      <x:c r="E502" s="37" t="str">
        <x:v>DFGDAUT</x:v>
      </x:c>
      <x:c r="F502" s="37" t="n">
        <x:v>12</x:v>
      </x:c>
      <x:c r="G502" s="37" t="n">
        <x:v>13000</x:v>
      </x:c>
      <x:c r="H502" s="37" t="str">
        <x:v>g</x:v>
      </x:c>
      <x:c r="I502" s="37" t="str">
        <x:v>THÙNG</x:v>
      </x:c>
      <x:c r="J502" s="59" t="n">
        <x:v>702000</x:v>
      </x:c>
      <x:c r="K502" s="59" t="n">
        <x:v>0</x:v>
      </x:c>
      <x:c r="L502" s="59" t="n">
        <x:v>0</x:v>
      </x:c>
      <x:c r="M502" s="37" t="str">
        <x:v>Siro</x:v>
      </x:c>
      <x:c r="N502" s="37" t="str">
        <x:v>ĐÃ GHÉP - AUTO</x:v>
      </x:c>
      <x:c r="O502" s="61" t="n">
        <x:v>0.877</x:v>
      </x:c>
      <x:c r="P502" s="37" t="n">
        <x:v>6</x:v>
      </x:c>
      <x:c r="Q502" s="30" t="str">
        <x:v>Siro Thái DINGFONG</x:v>
      </x:c>
      <x:c r="R502" s="30" t="str">
        <x:v>Thùng 12 chai</x:v>
      </x:c>
      <x:c r="S502" s="30" t="str">
        <x:v>Chai</x:v>
      </x:c>
      <x:c r="T502" s="37" t="str">
        <x:v>ĐƠN VỊ</x:v>
      </x:c>
      <x:c r="U502" s="59" t="n">
        <x:v>62000</x:v>
      </x:c>
      <x:c r="V502" s="59"/>
      <x:c r="W502" s="117" t="n">
        <x:v>62000</x:v>
      </x:c>
      <x:c r="X502" s="59" t="str">
        <x:f>IFERROR(IF(OR($N502="ĐÃ GHÉP - AUTO",$N502="ĐÃ GHÉP - QUY TẮC"),IF($V502="","",IF($T502="THÙNG",$V502/$F502,$V502)),""),"")</x:f>
      </x:c>
      <x:c r="Y502" s="117" t="n">
        <x:f>IF(OR(W502="",F502=""),"",W502*F502)</x:f>
        <x:v>744000</x:v>
      </x:c>
      <x:c r="Z502" s="59" t="str">
        <x:f>IFERROR(IF(OR($N502="ĐÃ GHÉP - AUTO",$N502="ĐÃ GHÉP - QUY TẮC"),IF($V502="","",IF($T502="THÙNG",$V502,$V502*$F502)),""),"")</x:f>
      </x:c>
      <x:c r="AA502" s="28" t="str">
        <x:f>IFERROR(IF(OR($K502="",$K502=0,$Y502=""),"",($Y502-$K502)/$K502),"")</x:f>
      </x:c>
      <x:c r="AB502" s="37" t="str">
        <x:f>IFERROR(IF($N502="CẦN DUYỆT","DUYỆT MAP",IF($N502="CHƯA CÓ GIÁ LẺ","THIẾU GIÁ",IF(OR($K502="",$K502=0,$Y502=""),"OK",IF(ABS(($Y502-$K502)/$K502)&gt;0.15,"LỆCH GIÁ CŨ","OK")))),"OK")</x:f>
        <x:v>OK</x:v>
      </x:c>
      <x:c r="AC502" s="30" t="str">
        <x:v>score=0.877; gap=0.519</x:v>
      </x:c>
      <x:c r="AD502" s="37" t="str">
        <x:v>DFGDAU</x:v>
      </x:c>
      <x:c r="AE502" s="38" t="str">
        <x:v>DFGDAUT</x:v>
      </x:c>
      <x:c r="AF502" s="123" t="n">
        <x:v>1050</x:v>
      </x:c>
      <x:c r="AG502" s="112" t="str">
        <x:v>g</x:v>
      </x:c>
      <x:c r="AH502" s="112" t="str">
        <x:v>CHAI</x:v>
      </x:c>
      <x:c r="AI502" s="112" t="str">
        <x:v>1050 g / CHAI</x:v>
      </x:c>
      <x:c r="AJ502" s="120" t="n">
        <x:v>62000</x:v>
      </x:c>
      <x:c r="AK502" s="120" t="n">
        <x:v>62000</x:v>
      </x:c>
      <x:c r="AL502" s="120" t="n">
        <x:v>62000</x:v>
      </x:c>
      <x:c r="AM502" s="112" t="str">
        <x:v>GIỮ NGUYÊN - ĐÃ KHỚP</x:v>
      </x:c>
      <x:c r="AN502" s="126" t="n">
        <x:v>1114</x:v>
      </x:c>
      <x:c r="AO502" s="126" t="n">
        <x:v>1115</x:v>
      </x:c>
      <x:c r="AP502" s="113" t="str">
        <x:v>12 CHAI / THÙNG</x:v>
      </x:c>
    </x:row>
    <x:row r="503">
      <x:c r="A503" s="71" t="str">
        <x:v>DINGFONG CHANH DÂY</x:v>
      </x:c>
      <x:c r="B503" s="30" t="str">
        <x:v>DINGFONG CHANH DÂY - THÙNG</x:v>
      </x:c>
      <x:c r="C503" s="37" t="str">
        <x:v>DFGCDA</x:v>
      </x:c>
      <x:c r="D503" s="37" t="str">
        <x:v>DFGCDAT</x:v>
      </x:c>
      <x:c r="E503" s="37" t="str">
        <x:v>DFGCDAT</x:v>
      </x:c>
      <x:c r="F503" s="37" t="n">
        <x:v>12</x:v>
      </x:c>
      <x:c r="G503" s="37" t="n">
        <x:v>13000</x:v>
      </x:c>
      <x:c r="H503" s="37" t="str">
        <x:v>g</x:v>
      </x:c>
      <x:c r="I503" s="37" t="str">
        <x:v>THÙNG</x:v>
      </x:c>
      <x:c r="J503" s="59" t="n">
        <x:v>702000</x:v>
      </x:c>
      <x:c r="K503" s="59" t="n">
        <x:v>0</x:v>
      </x:c>
      <x:c r="L503" s="59" t="n">
        <x:v>0</x:v>
      </x:c>
      <x:c r="M503" s="37" t="str">
        <x:v>Siro</x:v>
      </x:c>
      <x:c r="N503" s="37" t="str">
        <x:v>ĐÃ GHÉP - AUTO</x:v>
      </x:c>
      <x:c r="O503" s="61" t="n">
        <x:v>0.848</x:v>
      </x:c>
      <x:c r="P503" s="37" t="n">
        <x:v>6</x:v>
      </x:c>
      <x:c r="Q503" s="30" t="str">
        <x:v>Siro Thái DINGFONG</x:v>
      </x:c>
      <x:c r="R503" s="30" t="str">
        <x:v>Thùng 12 chai</x:v>
      </x:c>
      <x:c r="S503" s="30" t="str">
        <x:v>Chai</x:v>
      </x:c>
      <x:c r="T503" s="37" t="str">
        <x:v>ĐƠN VỊ</x:v>
      </x:c>
      <x:c r="U503" s="59" t="n">
        <x:v>62000</x:v>
      </x:c>
      <x:c r="V503" s="59"/>
      <x:c r="W503" s="117" t="n">
        <x:v>62000</x:v>
      </x:c>
      <x:c r="X503" s="59" t="str">
        <x:f>IFERROR(IF(OR($N503="ĐÃ GHÉP - AUTO",$N503="ĐÃ GHÉP - QUY TẮC"),IF($V503="","",IF($T503="THÙNG",$V503/$F503,$V503)),""),"")</x:f>
      </x:c>
      <x:c r="Y503" s="117" t="n">
        <x:f>IF(OR(W503="",F503=""),"",W503*F503)</x:f>
        <x:v>744000</x:v>
      </x:c>
      <x:c r="Z503" s="59" t="str">
        <x:f>IFERROR(IF(OR($N503="ĐÃ GHÉP - AUTO",$N503="ĐÃ GHÉP - QUY TẮC"),IF($V503="","",IF($T503="THÙNG",$V503,$V503*$F503)),""),"")</x:f>
      </x:c>
      <x:c r="AA503" s="28" t="str">
        <x:f>IFERROR(IF(OR($K503="",$K503=0,$Y503=""),"",($Y503-$K503)/$K503),"")</x:f>
      </x:c>
      <x:c r="AB503" s="37" t="str">
        <x:f>IFERROR(IF($N503="CẦN DUYỆT","DUYỆT MAP",IF($N503="CHƯA CÓ GIÁ LẺ","THIẾU GIÁ",IF(OR($K503="",$K503=0,$Y503=""),"OK",IF(ABS(($Y503-$K503)/$K503)&gt;0.15,"LỆCH GIÁ CŨ","OK")))),"OK")</x:f>
        <x:v>OK</x:v>
      </x:c>
      <x:c r="AC503" s="30" t="str">
        <x:v>score=0.848; gap=0.773</x:v>
      </x:c>
      <x:c r="AD503" s="37" t="str">
        <x:v>DFGCDA</x:v>
      </x:c>
      <x:c r="AE503" s="38" t="str">
        <x:v>DFGCDAT</x:v>
      </x:c>
      <x:c r="AF503" s="123" t="n">
        <x:v>1050</x:v>
      </x:c>
      <x:c r="AG503" s="112" t="str">
        <x:v>g</x:v>
      </x:c>
      <x:c r="AH503" s="112" t="str">
        <x:v>CHAI</x:v>
      </x:c>
      <x:c r="AI503" s="112" t="str">
        <x:v>1050 g / CHAI</x:v>
      </x:c>
      <x:c r="AJ503" s="120" t="n">
        <x:v>62000</x:v>
      </x:c>
      <x:c r="AK503" s="120" t="n">
        <x:v>62000</x:v>
      </x:c>
      <x:c r="AL503" s="120" t="n">
        <x:v>62000</x:v>
      </x:c>
      <x:c r="AM503" s="112" t="str">
        <x:v>GIỮ NGUYÊN - ĐÃ KHỚP</x:v>
      </x:c>
      <x:c r="AN503" s="126" t="n">
        <x:v>1116</x:v>
      </x:c>
      <x:c r="AO503" s="126" t="n">
        <x:v>1117</x:v>
      </x:c>
      <x:c r="AP503" s="113" t="str">
        <x:v>12 CHAI / THÙNG</x:v>
      </x:c>
    </x:row>
    <x:row r="504">
      <x:c r="A504" s="71" t="str">
        <x:v>DINGFONG CAM</x:v>
      </x:c>
      <x:c r="B504" s="30" t="str">
        <x:v>DINGFONG CAM - THÙNG</x:v>
      </x:c>
      <x:c r="C504" s="37" t="str">
        <x:v>DFGCAM</x:v>
      </x:c>
      <x:c r="D504" s="37" t="str">
        <x:v>DFGCAMT</x:v>
      </x:c>
      <x:c r="E504" s="37" t="str">
        <x:v>DFGCAMT</x:v>
      </x:c>
      <x:c r="F504" s="37" t="n">
        <x:v>12</x:v>
      </x:c>
      <x:c r="G504" s="37" t="n">
        <x:v>13000</x:v>
      </x:c>
      <x:c r="H504" s="37" t="str">
        <x:v>g</x:v>
      </x:c>
      <x:c r="I504" s="37" t="str">
        <x:v>THÙNG</x:v>
      </x:c>
      <x:c r="J504" s="59" t="n">
        <x:v>702000</x:v>
      </x:c>
      <x:c r="K504" s="59" t="n">
        <x:v>0</x:v>
      </x:c>
      <x:c r="L504" s="59" t="n">
        <x:v>0</x:v>
      </x:c>
      <x:c r="M504" s="37" t="str">
        <x:v>Siro</x:v>
      </x:c>
      <x:c r="N504" s="37" t="str">
        <x:v>ĐÃ GHÉP - AUTO</x:v>
      </x:c>
      <x:c r="O504" s="61" t="n">
        <x:v>0.87</x:v>
      </x:c>
      <x:c r="P504" s="37" t="n">
        <x:v>6</x:v>
      </x:c>
      <x:c r="Q504" s="30" t="str">
        <x:v>Siro Thái DINGFONG</x:v>
      </x:c>
      <x:c r="R504" s="30" t="str">
        <x:v>Thùng 12 chai</x:v>
      </x:c>
      <x:c r="S504" s="30" t="str">
        <x:v>Chai</x:v>
      </x:c>
      <x:c r="T504" s="37" t="str">
        <x:v>ĐƠN VỊ</x:v>
      </x:c>
      <x:c r="U504" s="59" t="n">
        <x:v>62000</x:v>
      </x:c>
      <x:c r="V504" s="59"/>
      <x:c r="W504" s="117" t="n">
        <x:v>62000</x:v>
      </x:c>
      <x:c r="X504" s="59" t="str">
        <x:f>IFERROR(IF(OR($N504="ĐÃ GHÉP - AUTO",$N504="ĐÃ GHÉP - QUY TẮC"),IF($V504="","",IF($T504="THÙNG",$V504/$F504,$V504)),""),"")</x:f>
      </x:c>
      <x:c r="Y504" s="117" t="n">
        <x:f>IF(OR(W504="",F504=""),"",W504*F504)</x:f>
        <x:v>744000</x:v>
      </x:c>
      <x:c r="Z504" s="59" t="str">
        <x:f>IFERROR(IF(OR($N504="ĐÃ GHÉP - AUTO",$N504="ĐÃ GHÉP - QUY TẮC"),IF($V504="","",IF($T504="THÙNG",$V504,$V504*$F504)),""),"")</x:f>
      </x:c>
      <x:c r="AA504" s="28" t="str">
        <x:f>IFERROR(IF(OR($K504="",$K504=0,$Y504=""),"",($Y504-$K504)/$K504),"")</x:f>
      </x:c>
      <x:c r="AB504" s="37" t="str">
        <x:f>IFERROR(IF($N504="CẦN DUYỆT","DUYỆT MAP",IF($N504="CHƯA CÓ GIÁ LẺ","THIẾU GIÁ",IF(OR($K504="",$K504=0,$Y504=""),"OK",IF(ABS(($Y504-$K504)/$K504)&gt;0.15,"LỆCH GIÁ CŨ","OK")))),"OK")</x:f>
        <x:v>OK</x:v>
      </x:c>
      <x:c r="AC504" s="30" t="str">
        <x:v>score=0.870; gap=0.507</x:v>
      </x:c>
      <x:c r="AD504" s="37" t="str">
        <x:v>DFGCAM</x:v>
      </x:c>
      <x:c r="AE504" s="38" t="str">
        <x:v>DFGCAMT</x:v>
      </x:c>
      <x:c r="AF504" s="123" t="n">
        <x:v>1050</x:v>
      </x:c>
      <x:c r="AG504" s="112" t="str">
        <x:v>g</x:v>
      </x:c>
      <x:c r="AH504" s="112" t="str">
        <x:v>CHAI</x:v>
      </x:c>
      <x:c r="AI504" s="112" t="str">
        <x:v>1050 g / CHAI</x:v>
      </x:c>
      <x:c r="AJ504" s="120" t="n">
        <x:v>62000</x:v>
      </x:c>
      <x:c r="AK504" s="120" t="n">
        <x:v>62000</x:v>
      </x:c>
      <x:c r="AL504" s="120" t="n">
        <x:v>62000</x:v>
      </x:c>
      <x:c r="AM504" s="112" t="str">
        <x:v>GIỮ NGUYÊN - ĐÃ KHỚP</x:v>
      </x:c>
      <x:c r="AN504" s="126" t="n">
        <x:v>1118</x:v>
      </x:c>
      <x:c r="AO504" s="126" t="n">
        <x:v>1119</x:v>
      </x:c>
      <x:c r="AP504" s="113" t="str">
        <x:v>12 CHAI / THÙNG</x:v>
      </x:c>
    </x:row>
    <x:row r="505">
      <x:c r="A505" s="71" t="str">
        <x:v>DINGFONG BLUE</x:v>
      </x:c>
      <x:c r="B505" s="30" t="str">
        <x:v>DINGFONG BLUE - THÙNG</x:v>
      </x:c>
      <x:c r="C505" s="37" t="str">
        <x:v>DFGBLU</x:v>
      </x:c>
      <x:c r="D505" s="37" t="str">
        <x:v>DFGBLUT</x:v>
      </x:c>
      <x:c r="E505" s="37" t="str">
        <x:v>DFGBLUT</x:v>
      </x:c>
      <x:c r="F505" s="37" t="n">
        <x:v>12</x:v>
      </x:c>
      <x:c r="G505" s="37" t="n">
        <x:v>13000</x:v>
      </x:c>
      <x:c r="H505" s="37" t="str">
        <x:v>g</x:v>
      </x:c>
      <x:c r="I505" s="37" t="str">
        <x:v>THÙNG</x:v>
      </x:c>
      <x:c r="J505" s="59" t="n">
        <x:v>702000</x:v>
      </x:c>
      <x:c r="K505" s="59" t="n">
        <x:v>0</x:v>
      </x:c>
      <x:c r="L505" s="59" t="n">
        <x:v>0</x:v>
      </x:c>
      <x:c r="M505" s="37" t="str">
        <x:v>Siro</x:v>
      </x:c>
      <x:c r="N505" s="37" t="str">
        <x:v>ĐÃ GHÉP - AUTO</x:v>
      </x:c>
      <x:c r="O505" s="61" t="n">
        <x:v>0.87</x:v>
      </x:c>
      <x:c r="P505" s="37" t="n">
        <x:v>6</x:v>
      </x:c>
      <x:c r="Q505" s="30" t="str">
        <x:v>Siro Thái DINGFONG</x:v>
      </x:c>
      <x:c r="R505" s="30" t="str">
        <x:v>Thùng 12 chai</x:v>
      </x:c>
      <x:c r="S505" s="30" t="str">
        <x:v>Chai</x:v>
      </x:c>
      <x:c r="T505" s="37" t="str">
        <x:v>ĐƠN VỊ</x:v>
      </x:c>
      <x:c r="U505" s="59" t="n">
        <x:v>62000</x:v>
      </x:c>
      <x:c r="V505" s="59"/>
      <x:c r="W505" s="117" t="n">
        <x:v>62000</x:v>
      </x:c>
      <x:c r="X505" s="59" t="str">
        <x:f>IFERROR(IF(OR($N505="ĐÃ GHÉP - AUTO",$N505="ĐÃ GHÉP - QUY TẮC"),IF($V505="","",IF($T505="THÙNG",$V505/$F505,$V505)),""),"")</x:f>
      </x:c>
      <x:c r="Y505" s="117" t="n">
        <x:f>IF(OR(W505="",F505=""),"",W505*F505)</x:f>
        <x:v>744000</x:v>
      </x:c>
      <x:c r="Z505" s="59" t="str">
        <x:f>IFERROR(IF(OR($N505="ĐÃ GHÉP - AUTO",$N505="ĐÃ GHÉP - QUY TẮC"),IF($V505="","",IF($T505="THÙNG",$V505,$V505*$F505)),""),"")</x:f>
      </x:c>
      <x:c r="AA505" s="28" t="str">
        <x:f>IFERROR(IF(OR($K505="",$K505=0,$Y505=""),"",($Y505-$K505)/$K505),"")</x:f>
      </x:c>
      <x:c r="AB505" s="37" t="str">
        <x:f>IFERROR(IF($N505="CẦN DUYỆT","DUYỆT MAP",IF($N505="CHƯA CÓ GIÁ LẺ","THIẾU GIÁ",IF(OR($K505="",$K505=0,$Y505=""),"OK",IF(ABS(($Y505-$K505)/$K505)&gt;0.15,"LỆCH GIÁ CŨ","OK")))),"OK")</x:f>
        <x:v>OK</x:v>
      </x:c>
      <x:c r="AC505" s="30" t="str">
        <x:v>score=0.870; gap=0.813</x:v>
      </x:c>
      <x:c r="AD505" s="37" t="str">
        <x:v>DFGBLU</x:v>
      </x:c>
      <x:c r="AE505" s="38" t="str">
        <x:v>DFGBLUT</x:v>
      </x:c>
      <x:c r="AF505" s="123" t="n">
        <x:v>1050</x:v>
      </x:c>
      <x:c r="AG505" s="112" t="str">
        <x:v>g</x:v>
      </x:c>
      <x:c r="AH505" s="112" t="str">
        <x:v>CHAI</x:v>
      </x:c>
      <x:c r="AI505" s="112" t="str">
        <x:v>1050 g / CHAI</x:v>
      </x:c>
      <x:c r="AJ505" s="120" t="n">
        <x:v>62000</x:v>
      </x:c>
      <x:c r="AK505" s="120" t="n">
        <x:v>62000</x:v>
      </x:c>
      <x:c r="AL505" s="120" t="n">
        <x:v>62000</x:v>
      </x:c>
      <x:c r="AM505" s="112" t="str">
        <x:v>GIỮ NGUYÊN - ĐÃ KHỚP</x:v>
      </x:c>
      <x:c r="AN505" s="126" t="n">
        <x:v>1120</x:v>
      </x:c>
      <x:c r="AO505" s="126" t="n">
        <x:v>1121</x:v>
      </x:c>
      <x:c r="AP505" s="113" t="str">
        <x:v>12 CHAI / THÙNG</x:v>
      </x:c>
    </x:row>
    <x:row r="506">
      <x:c r="A506" s="71" t="str">
        <x:v>DINGFONG BẠC HÀ</x:v>
      </x:c>
      <x:c r="B506" s="30" t="str">
        <x:v>DINGFONG BẠC HÀ - THÙNG</x:v>
      </x:c>
      <x:c r="C506" s="37" t="str">
        <x:v>DFGBHA</x:v>
      </x:c>
      <x:c r="D506" s="37" t="str">
        <x:v>DFGBHAT</x:v>
      </x:c>
      <x:c r="E506" s="37" t="str">
        <x:v>DFGBHAT</x:v>
      </x:c>
      <x:c r="F506" s="37" t="n">
        <x:v>12</x:v>
      </x:c>
      <x:c r="G506" s="37" t="n">
        <x:v>13000</x:v>
      </x:c>
      <x:c r="H506" s="37" t="str">
        <x:v>g</x:v>
      </x:c>
      <x:c r="I506" s="37" t="str">
        <x:v>THÙNG</x:v>
      </x:c>
      <x:c r="J506" s="59" t="n">
        <x:v>702000</x:v>
      </x:c>
      <x:c r="K506" s="59" t="n">
        <x:v>0</x:v>
      </x:c>
      <x:c r="L506" s="59" t="n">
        <x:v>0</x:v>
      </x:c>
      <x:c r="M506" s="37" t="str">
        <x:v>Siro</x:v>
      </x:c>
      <x:c r="N506" s="37" t="str">
        <x:v>ĐÃ GHÉP - AUTO</x:v>
      </x:c>
      <x:c r="O506" s="61" t="n">
        <x:v>0.846</x:v>
      </x:c>
      <x:c r="P506" s="37" t="n">
        <x:v>6</x:v>
      </x:c>
      <x:c r="Q506" s="30" t="str">
        <x:v>Siro Thái DINGFONG</x:v>
      </x:c>
      <x:c r="R506" s="30" t="str">
        <x:v>Thùng 12 chai</x:v>
      </x:c>
      <x:c r="S506" s="30" t="str">
        <x:v>Chai</x:v>
      </x:c>
      <x:c r="T506" s="37" t="str">
        <x:v>ĐƠN VỊ</x:v>
      </x:c>
      <x:c r="U506" s="59" t="n">
        <x:v>62000</x:v>
      </x:c>
      <x:c r="V506" s="59"/>
      <x:c r="W506" s="117" t="n">
        <x:v>62000</x:v>
      </x:c>
      <x:c r="X506" s="59" t="str">
        <x:f>IFERROR(IF(OR($N506="ĐÃ GHÉP - AUTO",$N506="ĐÃ GHÉP - QUY TẮC"),IF($V506="","",IF($T506="THÙNG",$V506/$F506,$V506)),""),"")</x:f>
      </x:c>
      <x:c r="Y506" s="117" t="n">
        <x:f>IF(OR(W506="",F506=""),"",W506*F506)</x:f>
        <x:v>744000</x:v>
      </x:c>
      <x:c r="Z506" s="59" t="str">
        <x:f>IFERROR(IF(OR($N506="ĐÃ GHÉP - AUTO",$N506="ĐÃ GHÉP - QUY TẮC"),IF($V506="","",IF($T506="THÙNG",$V506,$V506*$F506)),""),"")</x:f>
      </x:c>
      <x:c r="AA506" s="28" t="str">
        <x:f>IFERROR(IF(OR($K506="",$K506=0,$Y506=""),"",($Y506-$K506)/$K506),"")</x:f>
      </x:c>
      <x:c r="AB506" s="37" t="str">
        <x:f>IFERROR(IF($N506="CẦN DUYỆT","DUYỆT MAP",IF($N506="CHƯA CÓ GIÁ LẺ","THIẾU GIÁ",IF(OR($K506="",$K506=0,$Y506=""),"OK",IF(ABS(($Y506-$K506)/$K506)&gt;0.15,"LỆCH GIÁ CŨ","OK")))),"OK")</x:f>
        <x:v>OK</x:v>
      </x:c>
      <x:c r="AC506" s="30" t="str">
        <x:v>score=0.846; gap=0.780</x:v>
      </x:c>
      <x:c r="AD506" s="37" t="str">
        <x:v>DFGBHA</x:v>
      </x:c>
      <x:c r="AE506" s="38" t="str">
        <x:v>DFGBHAT</x:v>
      </x:c>
      <x:c r="AF506" s="123" t="n">
        <x:v>1050</x:v>
      </x:c>
      <x:c r="AG506" s="112" t="str">
        <x:v>g</x:v>
      </x:c>
      <x:c r="AH506" s="112" t="str">
        <x:v>CHAI</x:v>
      </x:c>
      <x:c r="AI506" s="112" t="str">
        <x:v>1050 g / CHAI</x:v>
      </x:c>
      <x:c r="AJ506" s="120" t="n">
        <x:v>62000</x:v>
      </x:c>
      <x:c r="AK506" s="120" t="n">
        <x:v>62000</x:v>
      </x:c>
      <x:c r="AL506" s="120" t="n">
        <x:v>62000</x:v>
      </x:c>
      <x:c r="AM506" s="112" t="str">
        <x:v>GIỮ NGUYÊN - ĐÃ KHỚP</x:v>
      </x:c>
      <x:c r="AN506" s="126" t="n">
        <x:v>1122</x:v>
      </x:c>
      <x:c r="AO506" s="126" t="n">
        <x:v>1123</x:v>
      </x:c>
      <x:c r="AP506" s="113" t="str">
        <x:v>12 CHAI / THÙNG</x:v>
      </x:c>
    </x:row>
    <x:row r="507">
      <x:c r="A507" s="71" t="str">
        <x:v>DINGFONG DƯA HẤU</x:v>
      </x:c>
      <x:c r="B507" s="30" t="str">
        <x:v>DINGFONG DƯA HẤU - THÙNG</x:v>
      </x:c>
      <x:c r="C507" s="37" t="str">
        <x:v>DFGDHA</x:v>
      </x:c>
      <x:c r="D507" s="37" t="str">
        <x:v>DFGDHAT</x:v>
      </x:c>
      <x:c r="E507" s="37" t="str">
        <x:v>DFGDHAT</x:v>
      </x:c>
      <x:c r="F507" s="37" t="n">
        <x:v>12</x:v>
      </x:c>
      <x:c r="G507" s="37" t="n">
        <x:v>13000</x:v>
      </x:c>
      <x:c r="H507" s="37" t="str">
        <x:v>g</x:v>
      </x:c>
      <x:c r="I507" s="37" t="str">
        <x:v>THÙNG</x:v>
      </x:c>
      <x:c r="J507" s="59" t="n">
        <x:v>702000</x:v>
      </x:c>
      <x:c r="K507" s="59" t="n">
        <x:v>0</x:v>
      </x:c>
      <x:c r="L507" s="59" t="n">
        <x:v>0</x:v>
      </x:c>
      <x:c r="M507" s="37" t="str">
        <x:v>Siro</x:v>
      </x:c>
      <x:c r="N507" s="37" t="str">
        <x:v>ĐÃ GHÉP - AUTO</x:v>
      </x:c>
      <x:c r="O507" s="61" t="n">
        <x:v>0.845</x:v>
      </x:c>
      <x:c r="P507" s="37" t="n">
        <x:v>6</x:v>
      </x:c>
      <x:c r="Q507" s="30" t="str">
        <x:v>Siro Thái DINGFONG</x:v>
      </x:c>
      <x:c r="R507" s="30" t="str">
        <x:v>Thùng 12 chai</x:v>
      </x:c>
      <x:c r="S507" s="30" t="str">
        <x:v>Chai</x:v>
      </x:c>
      <x:c r="T507" s="37" t="str">
        <x:v>ĐƠN VỊ</x:v>
      </x:c>
      <x:c r="U507" s="59" t="n">
        <x:v>62000</x:v>
      </x:c>
      <x:c r="V507" s="59"/>
      <x:c r="W507" s="117" t="n">
        <x:v>62000</x:v>
      </x:c>
      <x:c r="X507" s="59" t="str">
        <x:f>IFERROR(IF(OR($N507="ĐÃ GHÉP - AUTO",$N507="ĐÃ GHÉP - QUY TẮC"),IF($V507="","",IF($T507="THÙNG",$V507/$F507,$V507)),""),"")</x:f>
      </x:c>
      <x:c r="Y507" s="117" t="n">
        <x:f>IF(OR(W507="",F507=""),"",W507*F507)</x:f>
        <x:v>744000</x:v>
      </x:c>
      <x:c r="Z507" s="59" t="str">
        <x:f>IFERROR(IF(OR($N507="ĐÃ GHÉP - AUTO",$N507="ĐÃ GHÉP - QUY TẮC"),IF($V507="","",IF($T507="THÙNG",$V507,$V507*$F507)),""),"")</x:f>
      </x:c>
      <x:c r="AA507" s="28" t="str">
        <x:f>IFERROR(IF(OR($K507="",$K507=0,$Y507=""),"",($Y507-$K507)/$K507),"")</x:f>
      </x:c>
      <x:c r="AB507" s="37" t="str">
        <x:f>IFERROR(IF($N507="CẦN DUYỆT","DUYỆT MAP",IF($N507="CHƯA CÓ GIÁ LẺ","THIẾU GIÁ",IF(OR($K507="",$K507=0,$Y507=""),"OK",IF(ABS(($Y507-$K507)/$K507)&gt;0.15,"LỆCH GIÁ CŨ","OK")))),"OK")</x:f>
        <x:v>OK</x:v>
      </x:c>
      <x:c r="AC507" s="30" t="str">
        <x:v>score=0.845; gap=0.434</x:v>
      </x:c>
      <x:c r="AD507" s="37" t="str">
        <x:v>DFGDHA</x:v>
      </x:c>
      <x:c r="AE507" s="38" t="str">
        <x:v>DFGDHAT</x:v>
      </x:c>
      <x:c r="AF507" s="123" t="n">
        <x:v>1050</x:v>
      </x:c>
      <x:c r="AG507" s="112" t="str">
        <x:v>g</x:v>
      </x:c>
      <x:c r="AH507" s="112" t="str">
        <x:v>CHAI</x:v>
      </x:c>
      <x:c r="AI507" s="112" t="str">
        <x:v>1050 g / CHAI</x:v>
      </x:c>
      <x:c r="AJ507" s="120" t="n">
        <x:v>62000</x:v>
      </x:c>
      <x:c r="AK507" s="120" t="n">
        <x:v>62000</x:v>
      </x:c>
      <x:c r="AL507" s="120" t="n">
        <x:v>62000</x:v>
      </x:c>
      <x:c r="AM507" s="112" t="str">
        <x:v>GIỮ NGUYÊN - ĐÃ KHỚP</x:v>
      </x:c>
      <x:c r="AN507" s="126" t="n">
        <x:v>1124</x:v>
      </x:c>
      <x:c r="AO507" s="126" t="n">
        <x:v>1125</x:v>
      </x:c>
      <x:c r="AP507" s="113" t="str">
        <x:v>12 CHAI / THÙNG</x:v>
      </x:c>
    </x:row>
    <x:row r="508">
      <x:c r="A508" s="71" t="str">
        <x:v>GTP DÂU</x:v>
      </x:c>
      <x:c r="B508" s="30" t="str">
        <x:v>GTP DÂU - THÙNG</x:v>
      </x:c>
      <x:c r="C508" s="37" t="str">
        <x:v>GTPDAU</x:v>
      </x:c>
      <x:c r="D508" s="37" t="str">
        <x:v>GTPDAUT</x:v>
      </x:c>
      <x:c r="E508" s="37" t="str">
        <x:v>GTPDAUT</x:v>
      </x:c>
      <x:c r="F508" s="37" t="n">
        <x:v>6</x:v>
      </x:c>
      <x:c r="G508" s="37" t="n">
        <x:v>16000</x:v>
      </x:c>
      <x:c r="H508" s="37" t="str">
        <x:v>g</x:v>
      </x:c>
      <x:c r="I508" s="37" t="str">
        <x:v>THÙNG</x:v>
      </x:c>
      <x:c r="J508" s="59" t="n">
        <x:v>0</x:v>
      </x:c>
      <x:c r="K508" s="59" t="n">
        <x:v>0</x:v>
      </x:c>
      <x:c r="L508" s="59" t="n">
        <x:v>0</x:v>
      </x:c>
      <x:c r="M508" s="37" t="str">
        <x:v>Siro</x:v>
      </x:c>
      <x:c r="N508" s="37" t="str">
        <x:v>ĐÃ GHÉP - QUY TẮC</x:v>
      </x:c>
      <x:c r="O508" s="61" t="n">
        <x:v>0.99</x:v>
      </x:c>
      <x:c r="P508" s="37" t="n">
        <x:v>11</x:v>
      </x:c>
      <x:c r="Q508" s="30" t="str">
        <x:v>Siro GTP dâu , duong den</x:v>
      </x:c>
      <x:c r="R508" s="30" t="str">
        <x:v>Thùng 6chai</x:v>
      </x:c>
      <x:c r="S508" s="30" t="str">
        <x:v>Chai</x:v>
      </x:c>
      <x:c r="T508" s="37" t="str">
        <x:v>ĐƠN VỊ</x:v>
      </x:c>
      <x:c r="U508" s="59" t="n">
        <x:v>146000</x:v>
      </x:c>
      <x:c r="V508" s="59"/>
      <x:c r="W508" s="117" t="n">
        <x:v>146000</x:v>
      </x:c>
      <x:c r="X508" s="59" t="str">
        <x:f>IFERROR(IF(OR($N508="ĐÃ GHÉP - AUTO",$N508="ĐÃ GHÉP - QUY TẮC"),IF($V508="","",IF($T508="THÙNG",$V508/$F508,$V508)),""),"")</x:f>
      </x:c>
      <x:c r="Y508" s="117" t="n">
        <x:f>IF(OR(W508="",F508=""),"",W508*F508)</x:f>
        <x:v>876000</x:v>
      </x:c>
      <x:c r="Z508" s="59" t="str">
        <x:f>IFERROR(IF(OR($N508="ĐÃ GHÉP - AUTO",$N508="ĐÃ GHÉP - QUY TẮC"),IF($V508="","",IF($T508="THÙNG",$V508,$V508*$F508)),""),"")</x:f>
      </x:c>
      <x:c r="AA508" s="28" t="str">
        <x:f>IFERROR(IF(OR($K508="",$K508=0,$Y508=""),"",($Y508-$K508)/$K508),"")</x:f>
      </x:c>
      <x:c r="AB508" s="37" t="str">
        <x:f>IFERROR(IF($N508="CẦN DUYỆT","DUYỆT MAP",IF($N508="CHƯA CÓ GIÁ LẺ","THIẾU GIÁ",IF(OR($K508="",$K508=0,$Y508=""),"OK",IF(ABS(($Y508-$K508)/$K508)&gt;0.15,"LỆCH GIÁ CŨ","OK")))),"OK")</x:f>
        <x:v>OK</x:v>
      </x:c>
      <x:c r="AC508" s="30" t="str">
        <x:v>GTP giá riêng dâu/đường đen</x:v>
      </x:c>
      <x:c r="AD508" s="37" t="str">
        <x:v>GTPDAU</x:v>
      </x:c>
      <x:c r="AE508" s="38" t="str">
        <x:v>GTPDAUT</x:v>
      </x:c>
      <x:c r="AF508" s="123" t="n">
        <x:v>2550</x:v>
      </x:c>
      <x:c r="AG508" s="112" t="str">
        <x:v>g</x:v>
      </x:c>
      <x:c r="AH508" s="112" t="str">
        <x:v>BÌNH</x:v>
      </x:c>
      <x:c r="AI508" s="112" t="str">
        <x:v>2550 g / BÌNH</x:v>
      </x:c>
      <x:c r="AJ508" s="120" t="n">
        <x:v>146000</x:v>
      </x:c>
      <x:c r="AK508" s="120" t="n">
        <x:v>146000</x:v>
      </x:c>
      <x:c r="AL508" s="120" t="n">
        <x:v>146000</x:v>
      </x:c>
      <x:c r="AM508" s="112" t="str">
        <x:v>GIỮ NGUYÊN - ĐÃ KHỚP</x:v>
      </x:c>
      <x:c r="AN508" s="126" t="n">
        <x:v>1126</x:v>
      </x:c>
      <x:c r="AO508" s="126" t="n">
        <x:v>1127</x:v>
      </x:c>
      <x:c r="AP508" s="113" t="str">
        <x:v>6 BÌNH / THÙNG</x:v>
      </x:c>
    </x:row>
    <x:row r="509">
      <x:c r="A509" s="71" t="str">
        <x:v>GTP CHANH DÂY</x:v>
      </x:c>
      <x:c r="B509" s="30" t="str">
        <x:v>GTP CHANH DÂY - THÙNG</x:v>
      </x:c>
      <x:c r="C509" s="37" t="str">
        <x:v>GTPCDA</x:v>
      </x:c>
      <x:c r="D509" s="37" t="str">
        <x:v>GTPCDAT</x:v>
      </x:c>
      <x:c r="E509" s="37" t="str">
        <x:v>GTPCDAT</x:v>
      </x:c>
      <x:c r="F509" s="37" t="n">
        <x:v>6</x:v>
      </x:c>
      <x:c r="G509" s="37" t="n">
        <x:v>16000</x:v>
      </x:c>
      <x:c r="H509" s="37" t="str">
        <x:v>g</x:v>
      </x:c>
      <x:c r="I509" s="37" t="str">
        <x:v>THÙNG</x:v>
      </x:c>
      <x:c r="J509" s="59" t="n">
        <x:v>0</x:v>
      </x:c>
      <x:c r="K509" s="59" t="n">
        <x:v>834000</x:v>
      </x:c>
      <x:c r="L509" s="59" t="n">
        <x:v>0</x:v>
      </x:c>
      <x:c r="M509" s="37" t="str">
        <x:v>Siro</x:v>
      </x:c>
      <x:c r="N509" s="37" t="str">
        <x:v>ĐÃ GHÉP - AUTO</x:v>
      </x:c>
      <x:c r="O509" s="61" t="n">
        <x:v>0.879</x:v>
      </x:c>
      <x:c r="P509" s="37" t="n">
        <x:v>10</x:v>
      </x:c>
      <x:c r="Q509" s="30" t="str">
        <x:v>Siro GTP</x:v>
      </x:c>
      <x:c r="R509" s="30" t="str">
        <x:v>Thùng 6 bình</x:v>
      </x:c>
      <x:c r="S509" s="30" t="str">
        <x:v>Chai</x:v>
      </x:c>
      <x:c r="T509" s="37" t="str">
        <x:v>ĐƠN VỊ</x:v>
      </x:c>
      <x:c r="U509" s="59" t="n">
        <x:v>140000</x:v>
      </x:c>
      <x:c r="V509" s="59"/>
      <x:c r="W509" s="117" t="n">
        <x:v>140000</x:v>
      </x:c>
      <x:c r="X509" s="59" t="str">
        <x:f>IFERROR(IF(OR($N509="ĐÃ GHÉP - AUTO",$N509="ĐÃ GHÉP - QUY TẮC"),IF($V509="","",IF($T509="THÙNG",$V509/$F509,$V509)),""),"")</x:f>
      </x:c>
      <x:c r="Y509" s="117" t="n">
        <x:f>IF(OR(W509="",F509=""),"",W509*F509)</x:f>
        <x:v>840000</x:v>
      </x:c>
      <x:c r="Z509" s="59" t="str">
        <x:f>IFERROR(IF(OR($N509="ĐÃ GHÉP - AUTO",$N509="ĐÃ GHÉP - QUY TẮC"),IF($V509="","",IF($T509="THÙNG",$V509,$V509*$F509)),""),"")</x:f>
      </x:c>
      <x:c r="AA509" s="28" t="n">
        <x:f>IFERROR(IF(OR($K509="",$K509=0,$Y509=""),"",($Y509-$K509)/$K509),"")</x:f>
        <x:v>0.007194244604316547</x:v>
      </x:c>
      <x:c r="AB509" s="37" t="str">
        <x:f>IFERROR(IF($N509="CẦN DUYỆT","DUYỆT MAP",IF($N509="CHƯA CÓ GIÁ LẺ","THIẾU GIÁ",IF(OR($K509="",$K509=0,$Y509=""),"OK",IF(ABS(($Y509-$K509)/$K509)&gt;0.15,"LỆCH GIÁ CŨ","OK")))),"OK")</x:f>
        <x:v>OK</x:v>
      </x:c>
      <x:c r="AC509" s="30" t="str">
        <x:v>score=0.879; gap=0.459</x:v>
      </x:c>
      <x:c r="AD509" s="37" t="str">
        <x:v>GTPCDA</x:v>
      </x:c>
      <x:c r="AE509" s="38" t="str">
        <x:v>GTPCDAT</x:v>
      </x:c>
      <x:c r="AF509" s="123" t="n">
        <x:v>2550</x:v>
      </x:c>
      <x:c r="AG509" s="112" t="str">
        <x:v>g</x:v>
      </x:c>
      <x:c r="AH509" s="112" t="str">
        <x:v>BÌNH</x:v>
      </x:c>
      <x:c r="AI509" s="112" t="str">
        <x:v>2550 g / BÌNH</x:v>
      </x:c>
      <x:c r="AJ509" s="120" t="n">
        <x:v>140000</x:v>
      </x:c>
      <x:c r="AK509" s="120" t="n">
        <x:v>140000</x:v>
      </x:c>
      <x:c r="AL509" s="120" t="n">
        <x:v>140000</x:v>
      </x:c>
      <x:c r="AM509" s="112" t="str">
        <x:v>GIỮ NGUYÊN - ĐÃ KHỚP</x:v>
      </x:c>
      <x:c r="AN509" s="126" t="n">
        <x:v>1129</x:v>
      </x:c>
      <x:c r="AO509" s="126" t="n">
        <x:v>1130</x:v>
      </x:c>
      <x:c r="AP509" s="113" t="str">
        <x:v>6 BÌNH / THÙNG</x:v>
      </x:c>
    </x:row>
    <x:row r="510">
      <x:c r="A510" s="71" t="str">
        <x:v>CHANG THÁI VIỆT QUỐC</x:v>
      </x:c>
      <x:c r="B510" s="30" t="str">
        <x:v>CHANG THÁI VIỆT QUỐC - THÙNG</x:v>
      </x:c>
      <x:c r="C510" s="37" t="str">
        <x:v>CTHVQU</x:v>
      </x:c>
      <x:c r="D510" s="37" t="str">
        <x:v>CTHVQUT</x:v>
      </x:c>
      <x:c r="E510" s="37" t="str">
        <x:v>CTHVQUT</x:v>
      </x:c>
      <x:c r="F510" s="37" t="n">
        <x:v>12</x:v>
      </x:c>
      <x:c r="G510" s="37" t="n">
        <x:v>16000</x:v>
      </x:c>
      <x:c r="H510" s="37" t="str">
        <x:v>g</x:v>
      </x:c>
      <x:c r="I510" s="37" t="str">
        <x:v>THÙNG</x:v>
      </x:c>
      <x:c r="J510" s="59" t="n">
        <x:v>0</x:v>
      </x:c>
      <x:c r="K510" s="59" t="n">
        <x:v>0</x:v>
      </x:c>
      <x:c r="L510" s="59" t="n">
        <x:v>0</x:v>
      </x:c>
      <x:c r="M510" s="37" t="str">
        <x:v>Siro</x:v>
      </x:c>
      <x:c r="N510" s="37" t="str">
        <x:v>CHƯA CÓ GIÁ LẺ</x:v>
      </x:c>
      <x:c r="O510" s="61" t="n">
        <x:v>0.074</x:v>
      </x:c>
      <x:c r="P510" s="37"/>
      <x:c r="Q510" s="30"/>
      <x:c r="R510" s="30"/>
      <x:c r="S510" s="30"/>
      <x:c r="T510" s="37"/>
      <x:c r="U510" s="59"/>
      <x:c r="V510" s="59"/>
      <x:c r="W510" s="117" t="n">
        <x:v>57000</x:v>
      </x:c>
      <x:c r="X510" s="59" t="str">
        <x:f>IFERROR(IF(OR($N510="ĐÃ GHÉP - AUTO",$N510="ĐÃ GHÉP - QUY TẮC"),IF($V510="","",IF($T510="THÙNG",$V510/$F510,$V510)),""),"")</x:f>
      </x:c>
      <x:c r="Y510" s="117" t="n">
        <x:f>IF(OR(W510="",F510=""),"",W510*F510)</x:f>
        <x:v>684000</x:v>
      </x:c>
      <x:c r="Z510" s="59" t="str">
        <x:f>IFERROR(IF(OR($N510="ĐÃ GHÉP - AUTO",$N510="ĐÃ GHÉP - QUY TẮC"),IF($V510="","",IF($T510="THÙNG",$V510,$V510*$F510)),""),"")</x:f>
      </x:c>
      <x:c r="AA510" s="28" t="str">
        <x:f>IFERROR(IF(OR($K510="",$K510=0,$Y510=""),"",($Y510-$K510)/$K510),"")</x:f>
      </x:c>
      <x:c r="AB510" s="37" t="str">
        <x:f>IFERROR(IF($N510="CẦN DUYỆT","DUYỆT MAP",IF($N510="CHƯA CÓ GIÁ LẺ","THIẾU GIÁ",IF(OR($K510="",$K510=0,$Y510=""),"OK",IF(ABS(($Y510-$K510)/$K510)&gt;0.15,"LỆCH GIÁ CŨ","OK")))),"OK")</x:f>
        <x:v>THIẾU GIÁ</x:v>
      </x:c>
      <x:c r="AC510" s="30" t="str">
        <x:v>ứng viên gần nhất=Siro Changthai; score=0.074</x:v>
      </x:c>
      <x:c r="AD510" s="37" t="str">
        <x:v>CTHVQU</x:v>
      </x:c>
      <x:c r="AE510" s="38" t="str">
        <x:v>CTHVQUT</x:v>
      </x:c>
      <x:c r="AF510" s="123" t="n">
        <x:v>1400</x:v>
      </x:c>
      <x:c r="AG510" s="112" t="str">
        <x:v>g</x:v>
      </x:c>
      <x:c r="AH510" s="112" t="str">
        <x:v>CHAI</x:v>
      </x:c>
      <x:c r="AI510" s="112" t="str">
        <x:v>1400 g / CHAI</x:v>
      </x:c>
      <x:c r="AJ510" s="120" t="n">
        <x:v>57000</x:v>
      </x:c>
      <x:c r="AK510" s="120"/>
      <x:c r="AL510" s="120" t="n">
        <x:v>57000</x:v>
      </x:c>
      <x:c r="AM510" s="112" t="str">
        <x:v>BỔ SUNG GIÁ</x:v>
      </x:c>
      <x:c r="AN510" s="126" t="n">
        <x:v>1131</x:v>
      </x:c>
      <x:c r="AO510" s="126" t="n">
        <x:v>1132</x:v>
      </x:c>
      <x:c r="AP510" s="113" t="str">
        <x:v>12 CHAI / THÙNG</x:v>
      </x:c>
    </x:row>
    <x:row r="511">
      <x:c r="A511" s="71" t="str">
        <x:v>CHANG THÁI VẢI</x:v>
      </x:c>
      <x:c r="B511" s="30" t="str">
        <x:v>CHANG THÁI VẢI - THÙNG</x:v>
      </x:c>
      <x:c r="C511" s="37" t="str">
        <x:v>CTHVAI</x:v>
      </x:c>
      <x:c r="D511" s="37" t="str">
        <x:v>CTHVAIT</x:v>
      </x:c>
      <x:c r="E511" s="37" t="str">
        <x:v>CTHVAIT</x:v>
      </x:c>
      <x:c r="F511" s="37" t="n">
        <x:v>12</x:v>
      </x:c>
      <x:c r="G511" s="37" t="n">
        <x:v>16000</x:v>
      </x:c>
      <x:c r="H511" s="37" t="str">
        <x:v>g</x:v>
      </x:c>
      <x:c r="I511" s="37" t="str">
        <x:v>THÙNG</x:v>
      </x:c>
      <x:c r="J511" s="59" t="n">
        <x:v>0</x:v>
      </x:c>
      <x:c r="K511" s="59" t="n">
        <x:v>0</x:v>
      </x:c>
      <x:c r="L511" s="59" t="n">
        <x:v>0</x:v>
      </x:c>
      <x:c r="M511" s="37" t="str">
        <x:v>Siro</x:v>
      </x:c>
      <x:c r="N511" s="37" t="str">
        <x:v>CHƯA CÓ GIÁ LẺ</x:v>
      </x:c>
      <x:c r="O511" s="61" t="n">
        <x:v>0.094</x:v>
      </x:c>
      <x:c r="P511" s="37"/>
      <x:c r="Q511" s="30"/>
      <x:c r="R511" s="30"/>
      <x:c r="S511" s="30"/>
      <x:c r="T511" s="37"/>
      <x:c r="U511" s="59"/>
      <x:c r="V511" s="59"/>
      <x:c r="W511" s="117" t="n">
        <x:v>57000</x:v>
      </x:c>
      <x:c r="X511" s="59" t="str">
        <x:f>IFERROR(IF(OR($N511="ĐÃ GHÉP - AUTO",$N511="ĐÃ GHÉP - QUY TẮC"),IF($V511="","",IF($T511="THÙNG",$V511/$F511,$V511)),""),"")</x:f>
      </x:c>
      <x:c r="Y511" s="117" t="n">
        <x:f>IF(OR(W511="",F511=""),"",W511*F511)</x:f>
        <x:v>684000</x:v>
      </x:c>
      <x:c r="Z511" s="59" t="str">
        <x:f>IFERROR(IF(OR($N511="ĐÃ GHÉP - AUTO",$N511="ĐÃ GHÉP - QUY TẮC"),IF($V511="","",IF($T511="THÙNG",$V511,$V511*$F511)),""),"")</x:f>
      </x:c>
      <x:c r="AA511" s="28" t="str">
        <x:f>IFERROR(IF(OR($K511="",$K511=0,$Y511=""),"",($Y511-$K511)/$K511),"")</x:f>
      </x:c>
      <x:c r="AB511" s="37" t="str">
        <x:f>IFERROR(IF($N511="CẦN DUYỆT","DUYỆT MAP",IF($N511="CHƯA CÓ GIÁ LẺ","THIẾU GIÁ",IF(OR($K511="",$K511=0,$Y511=""),"OK",IF(ABS(($Y511-$K511)/$K511)&gt;0.15,"LỆCH GIÁ CŨ","OK")))),"OK")</x:f>
        <x:v>THIẾU GIÁ</x:v>
      </x:c>
      <x:c r="AC511" s="30" t="str">
        <x:v>ứng viên gần nhất=Siro Changthai; score=0.094</x:v>
      </x:c>
      <x:c r="AD511" s="37" t="str">
        <x:v>CTHVAI</x:v>
      </x:c>
      <x:c r="AE511" s="38" t="str">
        <x:v>CTHVAIT</x:v>
      </x:c>
      <x:c r="AF511" s="123" t="n">
        <x:v>1400</x:v>
      </x:c>
      <x:c r="AG511" s="112" t="str">
        <x:v>g</x:v>
      </x:c>
      <x:c r="AH511" s="112" t="str">
        <x:v>CHAI</x:v>
      </x:c>
      <x:c r="AI511" s="112" t="str">
        <x:v>1400 g / CHAI</x:v>
      </x:c>
      <x:c r="AJ511" s="120" t="n">
        <x:v>57000</x:v>
      </x:c>
      <x:c r="AK511" s="120"/>
      <x:c r="AL511" s="120" t="n">
        <x:v>57000</x:v>
      </x:c>
      <x:c r="AM511" s="112" t="str">
        <x:v>BỔ SUNG GIÁ</x:v>
      </x:c>
      <x:c r="AN511" s="126" t="n">
        <x:v>1133</x:v>
      </x:c>
      <x:c r="AO511" s="126" t="n">
        <x:v>1134</x:v>
      </x:c>
      <x:c r="AP511" s="113" t="str">
        <x:v>12 CHAI / THÙNG</x:v>
      </x:c>
    </x:row>
    <x:row r="512">
      <x:c r="A512" s="71" t="str">
        <x:v>CHANG THÁI ỔI</x:v>
      </x:c>
      <x:c r="B512" s="30" t="str">
        <x:v>CHANG THÁI ỔI - THÙNG</x:v>
      </x:c>
      <x:c r="C512" s="37" t="str">
        <x:v>CTHOIH</x:v>
      </x:c>
      <x:c r="D512" s="37" t="str">
        <x:v>CTHOIHT</x:v>
      </x:c>
      <x:c r="E512" s="37" t="str">
        <x:v>CTHOIHT</x:v>
      </x:c>
      <x:c r="F512" s="37" t="n">
        <x:v>12</x:v>
      </x:c>
      <x:c r="G512" s="37" t="n">
        <x:v>16000</x:v>
      </x:c>
      <x:c r="H512" s="37" t="str">
        <x:v>g</x:v>
      </x:c>
      <x:c r="I512" s="37" t="str">
        <x:v>THÙNG</x:v>
      </x:c>
      <x:c r="J512" s="59" t="n">
        <x:v>0</x:v>
      </x:c>
      <x:c r="K512" s="59" t="n">
        <x:v>0</x:v>
      </x:c>
      <x:c r="L512" s="59" t="n">
        <x:v>0</x:v>
      </x:c>
      <x:c r="M512" s="37" t="str">
        <x:v>Siro</x:v>
      </x:c>
      <x:c r="N512" s="37" t="str">
        <x:v>CHƯA CÓ GIÁ LẺ</x:v>
      </x:c>
      <x:c r="O512" s="61" t="n">
        <x:v>0.087</x:v>
      </x:c>
      <x:c r="P512" s="37"/>
      <x:c r="Q512" s="30"/>
      <x:c r="R512" s="30"/>
      <x:c r="S512" s="30"/>
      <x:c r="T512" s="37"/>
      <x:c r="U512" s="59"/>
      <x:c r="V512" s="59"/>
      <x:c r="W512" s="117"/>
      <x:c r="X512" s="59" t="str">
        <x:f>IFERROR(IF(OR($N512="ĐÃ GHÉP - AUTO",$N512="ĐÃ GHÉP - QUY TẮC"),IF($V512="","",IF($T512="THÙNG",$V512/$F512,$V512)),""),"")</x:f>
      </x:c>
      <x:c r="Y512" s="117" t="str">
        <x:f>IF(OR(W512="",F512=""),"",W512*F512)</x:f>
      </x:c>
      <x:c r="Z512" s="59" t="str">
        <x:f>IFERROR(IF(OR($N512="ĐÃ GHÉP - AUTO",$N512="ĐÃ GHÉP - QUY TẮC"),IF($V512="","",IF($T512="THÙNG",$V512,$V512*$F512)),""),"")</x:f>
      </x:c>
      <x:c r="AA512" s="28" t="str">
        <x:f>IFERROR(IF(OR($K512="",$K512=0,$Y512=""),"",($Y512-$K512)/$K512),"")</x:f>
      </x:c>
      <x:c r="AB512" s="37" t="str">
        <x:f>IFERROR(IF($N512="CẦN DUYỆT","DUYỆT MAP",IF($N512="CHƯA CÓ GIÁ LẺ","THIẾU GIÁ",IF(OR($K512="",$K512=0,$Y512=""),"OK",IF(ABS(($Y512-$K512)/$K512)&gt;0.15,"LỆCH GIÁ CŨ","OK")))),"OK")</x:f>
        <x:v>THIẾU GIÁ</x:v>
      </x:c>
      <x:c r="AC512" s="30" t="str">
        <x:v>ứng viên gần nhất=Siro Changthai; score=0.087</x:v>
      </x:c>
      <x:c r="AD512" s="37" t="str">
        <x:v>CTHOIH</x:v>
      </x:c>
      <x:c r="AE512" s="38" t="str">
        <x:v>CTHOIHT</x:v>
      </x:c>
      <x:c r="AF512" s="123" t="n">
        <x:v>1400</x:v>
      </x:c>
      <x:c r="AG512" s="112" t="str">
        <x:v>g</x:v>
      </x:c>
      <x:c r="AH512" s="112" t="str">
        <x:v>CHAI</x:v>
      </x:c>
      <x:c r="AI512" s="112" t="str">
        <x:v>1400 g / CHAI</x:v>
      </x:c>
      <x:c r="AJ512" s="120" t="n">
        <x:v>0</x:v>
      </x:c>
      <x:c r="AK512" s="120"/>
      <x:c r="AL512" s="120"/>
      <x:c r="AM512" s="112" t="str">
        <x:v>DS SP GIÁ 0 - VẪN THIẾU GIÁ</x:v>
      </x:c>
      <x:c r="AN512" s="126" t="n">
        <x:v>1135</x:v>
      </x:c>
      <x:c r="AO512" s="126" t="n">
        <x:v>1136</x:v>
      </x:c>
      <x:c r="AP512" s="113" t="str">
        <x:v>12 CHAI / THÙNG</x:v>
      </x:c>
    </x:row>
    <x:row r="513">
      <x:c r="A513" s="71" t="str">
        <x:v>CHANG THÁI MÔN</x:v>
      </x:c>
      <x:c r="B513" s="30" t="str">
        <x:v>CHANG THÁI MÔN - THÙNG</x:v>
      </x:c>
      <x:c r="C513" s="37" t="str">
        <x:v>CTHMON</x:v>
      </x:c>
      <x:c r="D513" s="37" t="str">
        <x:v>CTHMONT</x:v>
      </x:c>
      <x:c r="E513" s="37" t="str">
        <x:v>CTHMONT</x:v>
      </x:c>
      <x:c r="F513" s="37" t="n">
        <x:v>12</x:v>
      </x:c>
      <x:c r="G513" s="37" t="n">
        <x:v>16000</x:v>
      </x:c>
      <x:c r="H513" s="37" t="str">
        <x:v>g</x:v>
      </x:c>
      <x:c r="I513" s="37" t="str">
        <x:v>THÙNG</x:v>
      </x:c>
      <x:c r="J513" s="59" t="n">
        <x:v>0</x:v>
      </x:c>
      <x:c r="K513" s="59" t="n">
        <x:v>0</x:v>
      </x:c>
      <x:c r="L513" s="59" t="n">
        <x:v>0</x:v>
      </x:c>
      <x:c r="M513" s="37" t="str">
        <x:v>Siro</x:v>
      </x:c>
      <x:c r="N513" s="37" t="str">
        <x:v>CHƯA CÓ GIÁ LẺ</x:v>
      </x:c>
      <x:c r="O513" s="61" t="n">
        <x:v>0.075</x:v>
      </x:c>
      <x:c r="P513" s="37"/>
      <x:c r="Q513" s="30"/>
      <x:c r="R513" s="30"/>
      <x:c r="S513" s="30"/>
      <x:c r="T513" s="37"/>
      <x:c r="U513" s="59"/>
      <x:c r="V513" s="59"/>
      <x:c r="W513" s="117"/>
      <x:c r="X513" s="59" t="str">
        <x:f>IFERROR(IF(OR($N513="ĐÃ GHÉP - AUTO",$N513="ĐÃ GHÉP - QUY TẮC"),IF($V513="","",IF($T513="THÙNG",$V513/$F513,$V513)),""),"")</x:f>
      </x:c>
      <x:c r="Y513" s="117" t="str">
        <x:f>IF(OR(W513="",F513=""),"",W513*F513)</x:f>
      </x:c>
      <x:c r="Z513" s="59" t="str">
        <x:f>IFERROR(IF(OR($N513="ĐÃ GHÉP - AUTO",$N513="ĐÃ GHÉP - QUY TẮC"),IF($V513="","",IF($T513="THÙNG",$V513,$V513*$F513)),""),"")</x:f>
      </x:c>
      <x:c r="AA513" s="28" t="str">
        <x:f>IFERROR(IF(OR($K513="",$K513=0,$Y513=""),"",($Y513-$K513)/$K513),"")</x:f>
      </x:c>
      <x:c r="AB513" s="37" t="str">
        <x:f>IFERROR(IF($N513="CẦN DUYỆT","DUYỆT MAP",IF($N513="CHƯA CÓ GIÁ LẺ","THIẾU GIÁ",IF(OR($K513="",$K513=0,$Y513=""),"OK",IF(ABS(($Y513-$K513)/$K513)&gt;0.15,"LỆCH GIÁ CŨ","OK")))),"OK")</x:f>
        <x:v>THIẾU GIÁ</x:v>
      </x:c>
      <x:c r="AC513" s="30" t="str">
        <x:v>ứng viên gần nhất=Siro Changthai; score=0.075</x:v>
      </x:c>
      <x:c r="AD513" s="37" t="str">
        <x:v>CTHMON</x:v>
      </x:c>
      <x:c r="AE513" s="38" t="str">
        <x:v>CTHMONT</x:v>
      </x:c>
      <x:c r="AF513" s="123" t="n">
        <x:v>1400</x:v>
      </x:c>
      <x:c r="AG513" s="112" t="str">
        <x:v>g</x:v>
      </x:c>
      <x:c r="AH513" s="112" t="str">
        <x:v>CHAI</x:v>
      </x:c>
      <x:c r="AI513" s="112" t="str">
        <x:v>1400 g / CHAI</x:v>
      </x:c>
      <x:c r="AJ513" s="120" t="n">
        <x:v>0</x:v>
      </x:c>
      <x:c r="AK513" s="120"/>
      <x:c r="AL513" s="120"/>
      <x:c r="AM513" s="112" t="str">
        <x:v>DS SP GIÁ 0 - VẪN THIẾU GIÁ</x:v>
      </x:c>
      <x:c r="AN513" s="126" t="n">
        <x:v>1137</x:v>
      </x:c>
      <x:c r="AO513" s="126" t="n">
        <x:v>1138</x:v>
      </x:c>
      <x:c r="AP513" s="113" t="str">
        <x:v>12 CHAI / THÙNG</x:v>
      </x:c>
    </x:row>
    <x:row r="514">
      <x:c r="A514" s="71" t="str">
        <x:v>CHANG THÁI MÃNG CẦU</x:v>
      </x:c>
      <x:c r="B514" s="30" t="str">
        <x:v>CHANG THÁI MÃNG CẦU - THÙNG</x:v>
      </x:c>
      <x:c r="C514" s="37" t="str">
        <x:v>CTHMCA</x:v>
      </x:c>
      <x:c r="D514" s="37" t="str">
        <x:v>CTHMCAT</x:v>
      </x:c>
      <x:c r="E514" s="37" t="str">
        <x:v>CTHMCAT</x:v>
      </x:c>
      <x:c r="F514" s="37" t="n">
        <x:v>12</x:v>
      </x:c>
      <x:c r="G514" s="37" t="n">
        <x:v>16000</x:v>
      </x:c>
      <x:c r="H514" s="37" t="str">
        <x:v>g</x:v>
      </x:c>
      <x:c r="I514" s="37" t="str">
        <x:v>THÙNG</x:v>
      </x:c>
      <x:c r="J514" s="59" t="n">
        <x:v>0</x:v>
      </x:c>
      <x:c r="K514" s="59" t="n">
        <x:v>0</x:v>
      </x:c>
      <x:c r="L514" s="59" t="n">
        <x:v>0</x:v>
      </x:c>
      <x:c r="M514" s="37" t="str">
        <x:v>Siro</x:v>
      </x:c>
      <x:c r="N514" s="37" t="str">
        <x:v>CHƯA CÓ GIÁ LẺ</x:v>
      </x:c>
      <x:c r="O514" s="61" t="n">
        <x:v>0.075</x:v>
      </x:c>
      <x:c r="P514" s="37"/>
      <x:c r="Q514" s="30"/>
      <x:c r="R514" s="30"/>
      <x:c r="S514" s="30"/>
      <x:c r="T514" s="37"/>
      <x:c r="U514" s="59"/>
      <x:c r="V514" s="59"/>
      <x:c r="W514" s="117" t="n">
        <x:v>57000</x:v>
      </x:c>
      <x:c r="X514" s="59" t="str">
        <x:f>IFERROR(IF(OR($N514="ĐÃ GHÉP - AUTO",$N514="ĐÃ GHÉP - QUY TẮC"),IF($V514="","",IF($T514="THÙNG",$V514/$F514,$V514)),""),"")</x:f>
      </x:c>
      <x:c r="Y514" s="117" t="n">
        <x:f>IF(OR(W514="",F514=""),"",W514*F514)</x:f>
        <x:v>684000</x:v>
      </x:c>
      <x:c r="Z514" s="59" t="str">
        <x:f>IFERROR(IF(OR($N514="ĐÃ GHÉP - AUTO",$N514="ĐÃ GHÉP - QUY TẮC"),IF($V514="","",IF($T514="THÙNG",$V514,$V514*$F514)),""),"")</x:f>
      </x:c>
      <x:c r="AA514" s="28" t="str">
        <x:f>IFERROR(IF(OR($K514="",$K514=0,$Y514=""),"",($Y514-$K514)/$K514),"")</x:f>
      </x:c>
      <x:c r="AB514" s="37" t="str">
        <x:f>IFERROR(IF($N514="CẦN DUYỆT","DUYỆT MAP",IF($N514="CHƯA CÓ GIÁ LẺ","THIẾU GIÁ",IF(OR($K514="",$K514=0,$Y514=""),"OK",IF(ABS(($Y514-$K514)/$K514)&gt;0.15,"LỆCH GIÁ CŨ","OK")))),"OK")</x:f>
        <x:v>THIẾU GIÁ</x:v>
      </x:c>
      <x:c r="AC514" s="30" t="str">
        <x:v>ứng viên gần nhất=Siro Changthai; score=0.075</x:v>
      </x:c>
      <x:c r="AD514" s="37" t="str">
        <x:v>CTHMCA</x:v>
      </x:c>
      <x:c r="AE514" s="38" t="str">
        <x:v>CTHMCAT</x:v>
      </x:c>
      <x:c r="AF514" s="123" t="n">
        <x:v>1400</x:v>
      </x:c>
      <x:c r="AG514" s="112" t="str">
        <x:v>g</x:v>
      </x:c>
      <x:c r="AH514" s="112" t="str">
        <x:v>CHAI</x:v>
      </x:c>
      <x:c r="AI514" s="112" t="str">
        <x:v>1400 g / CHAI</x:v>
      </x:c>
      <x:c r="AJ514" s="120" t="n">
        <x:v>57000</x:v>
      </x:c>
      <x:c r="AK514" s="120"/>
      <x:c r="AL514" s="120" t="n">
        <x:v>57000</x:v>
      </x:c>
      <x:c r="AM514" s="112" t="str">
        <x:v>BỔ SUNG GIÁ</x:v>
      </x:c>
      <x:c r="AN514" s="126" t="n">
        <x:v>1139</x:v>
      </x:c>
      <x:c r="AO514" s="126" t="n">
        <x:v>1140</x:v>
      </x:c>
      <x:c r="AP514" s="113" t="str">
        <x:v>12 CHAI / THÙNG</x:v>
      </x:c>
    </x:row>
    <x:row r="515">
      <x:c r="A515" s="71" t="str">
        <x:v>CHANG THÁI ĐÀO</x:v>
      </x:c>
      <x:c r="B515" s="30" t="str">
        <x:v>CHANG THÁI ĐÀO - THÙNG</x:v>
      </x:c>
      <x:c r="C515" s="37" t="str">
        <x:v>CTHDAO</x:v>
      </x:c>
      <x:c r="D515" s="37" t="str">
        <x:v>CTHDAOT</x:v>
      </x:c>
      <x:c r="E515" s="37" t="str">
        <x:v>CTHDAOT</x:v>
      </x:c>
      <x:c r="F515" s="37" t="n">
        <x:v>12</x:v>
      </x:c>
      <x:c r="G515" s="37" t="n">
        <x:v>16000</x:v>
      </x:c>
      <x:c r="H515" s="37" t="str">
        <x:v>g</x:v>
      </x:c>
      <x:c r="I515" s="37" t="str">
        <x:v>THÙNG</x:v>
      </x:c>
      <x:c r="J515" s="59" t="n">
        <x:v>0</x:v>
      </x:c>
      <x:c r="K515" s="59" t="n">
        <x:v>0</x:v>
      </x:c>
      <x:c r="L515" s="59" t="n">
        <x:v>0</x:v>
      </x:c>
      <x:c r="M515" s="37" t="str">
        <x:v>Siro</x:v>
      </x:c>
      <x:c r="N515" s="37" t="str">
        <x:v>CHƯA CÓ GIÁ LẺ</x:v>
      </x:c>
      <x:c r="O515" s="61" t="n">
        <x:v>0.234</x:v>
      </x:c>
      <x:c r="P515" s="37"/>
      <x:c r="Q515" s="30"/>
      <x:c r="R515" s="30"/>
      <x:c r="S515" s="30"/>
      <x:c r="T515" s="37"/>
      <x:c r="U515" s="59"/>
      <x:c r="V515" s="59"/>
      <x:c r="W515" s="117" t="n">
        <x:v>57000</x:v>
      </x:c>
      <x:c r="X515" s="59" t="str">
        <x:f>IFERROR(IF(OR($N515="ĐÃ GHÉP - AUTO",$N515="ĐÃ GHÉP - QUY TẮC"),IF($V515="","",IF($T515="THÙNG",$V515/$F515,$V515)),""),"")</x:f>
      </x:c>
      <x:c r="Y515" s="117" t="n">
        <x:f>IF(OR(W515="",F515=""),"",W515*F515)</x:f>
        <x:v>684000</x:v>
      </x:c>
      <x:c r="Z515" s="59" t="str">
        <x:f>IFERROR(IF(OR($N515="ĐÃ GHÉP - AUTO",$N515="ĐÃ GHÉP - QUY TẮC"),IF($V515="","",IF($T515="THÙNG",$V515,$V515*$F515)),""),"")</x:f>
      </x:c>
      <x:c r="AA515" s="28" t="str">
        <x:f>IFERROR(IF(OR($K515="",$K515=0,$Y515=""),"",($Y515-$K515)/$K515),"")</x:f>
      </x:c>
      <x:c r="AB515" s="37" t="str">
        <x:f>IFERROR(IF($N515="CẦN DUYỆT","DUYỆT MAP",IF($N515="CHƯA CÓ GIÁ LẺ","THIẾU GIÁ",IF(OR($K515="",$K515=0,$Y515=""),"OK",IF(ABS(($Y515-$K515)/$K515)&gt;0.15,"LỆCH GIÁ CŨ","OK")))),"OK")</x:f>
        <x:v>THIẾU GIÁ</x:v>
      </x:c>
      <x:c r="AC515" s="30" t="str">
        <x:v>ứng viên gần nhất=CỐT bí đao wonderfull; score=0.234</x:v>
      </x:c>
      <x:c r="AD515" s="37" t="str">
        <x:v>CTHDAO</x:v>
      </x:c>
      <x:c r="AE515" s="38" t="str">
        <x:v>CTHDAOT</x:v>
      </x:c>
      <x:c r="AF515" s="123" t="n">
        <x:v>1400</x:v>
      </x:c>
      <x:c r="AG515" s="112" t="str">
        <x:v>g</x:v>
      </x:c>
      <x:c r="AH515" s="112" t="str">
        <x:v>CHAI</x:v>
      </x:c>
      <x:c r="AI515" s="112" t="str">
        <x:v>1400 g / CHAI</x:v>
      </x:c>
      <x:c r="AJ515" s="120" t="n">
        <x:v>57000</x:v>
      </x:c>
      <x:c r="AK515" s="120"/>
      <x:c r="AL515" s="120" t="n">
        <x:v>57000</x:v>
      </x:c>
      <x:c r="AM515" s="112" t="str">
        <x:v>BỔ SUNG GIÁ</x:v>
      </x:c>
      <x:c r="AN515" s="126" t="n">
        <x:v>1141</x:v>
      </x:c>
      <x:c r="AO515" s="126" t="n">
        <x:v>1142</x:v>
      </x:c>
      <x:c r="AP515" s="113" t="str">
        <x:v>12 CHAI / THÙNG</x:v>
      </x:c>
    </x:row>
    <x:row r="516">
      <x:c r="A516" s="71" t="str">
        <x:v>CHANG THÁI DÂU</x:v>
      </x:c>
      <x:c r="B516" s="30" t="str">
        <x:v>CHANG THÁI DÂU - THÙNG</x:v>
      </x:c>
      <x:c r="C516" s="37" t="str">
        <x:v>CTHDAU</x:v>
      </x:c>
      <x:c r="D516" s="37" t="str">
        <x:v>CTHDAUT</x:v>
      </x:c>
      <x:c r="E516" s="37" t="str">
        <x:v>CTHDAUT</x:v>
      </x:c>
      <x:c r="F516" s="37" t="n">
        <x:v>12</x:v>
      </x:c>
      <x:c r="G516" s="37" t="n">
        <x:v>16000</x:v>
      </x:c>
      <x:c r="H516" s="37" t="str">
        <x:v>g</x:v>
      </x:c>
      <x:c r="I516" s="37" t="str">
        <x:v>THÙNG</x:v>
      </x:c>
      <x:c r="J516" s="59" t="n">
        <x:v>0</x:v>
      </x:c>
      <x:c r="K516" s="59" t="n">
        <x:v>0</x:v>
      </x:c>
      <x:c r="L516" s="59" t="n">
        <x:v>0</x:v>
      </x:c>
      <x:c r="M516" s="37" t="str">
        <x:v>Siro</x:v>
      </x:c>
      <x:c r="N516" s="37" t="str">
        <x:v>CHƯA CÓ GIÁ LẺ</x:v>
      </x:c>
      <x:c r="O516" s="61" t="n">
        <x:v>0.363</x:v>
      </x:c>
      <x:c r="P516" s="37"/>
      <x:c r="Q516" s="30"/>
      <x:c r="R516" s="30"/>
      <x:c r="S516" s="30"/>
      <x:c r="T516" s="37"/>
      <x:c r="U516" s="59"/>
      <x:c r="V516" s="59"/>
      <x:c r="W516" s="117" t="n">
        <x:v>57000</x:v>
      </x:c>
      <x:c r="X516" s="59" t="str">
        <x:f>IFERROR(IF(OR($N516="ĐÃ GHÉP - AUTO",$N516="ĐÃ GHÉP - QUY TẮC"),IF($V516="","",IF($T516="THÙNG",$V516/$F516,$V516)),""),"")</x:f>
      </x:c>
      <x:c r="Y516" s="117" t="n">
        <x:f>IF(OR(W516="",F516=""),"",W516*F516)</x:f>
        <x:v>684000</x:v>
      </x:c>
      <x:c r="Z516" s="59" t="str">
        <x:f>IFERROR(IF(OR($N516="ĐÃ GHÉP - AUTO",$N516="ĐÃ GHÉP - QUY TẮC"),IF($V516="","",IF($T516="THÙNG",$V516,$V516*$F516)),""),"")</x:f>
      </x:c>
      <x:c r="AA516" s="28" t="str">
        <x:f>IFERROR(IF(OR($K516="",$K516=0,$Y516=""),"",($Y516-$K516)/$K516),"")</x:f>
      </x:c>
      <x:c r="AB516" s="37" t="str">
        <x:f>IFERROR(IF($N516="CẦN DUYỆT","DUYỆT MAP",IF($N516="CHƯA CÓ GIÁ LẺ","THIẾU GIÁ",IF(OR($K516="",$K516=0,$Y516=""),"OK",IF(ABS(($Y516-$K516)/$K516)&gt;0.15,"LỆCH GIÁ CŨ","OK")))),"OK")</x:f>
        <x:v>THIẾU GIÁ</x:v>
      </x:c>
      <x:c r="AC516" s="30" t="str">
        <x:v>ứng viên gần nhất=Siro GTP dâu , duong den; score=0.363</x:v>
      </x:c>
      <x:c r="AD516" s="37" t="str">
        <x:v>CTHDAU</x:v>
      </x:c>
      <x:c r="AE516" s="38" t="str">
        <x:v>CTHDAUT</x:v>
      </x:c>
      <x:c r="AF516" s="123" t="n">
        <x:v>1400</x:v>
      </x:c>
      <x:c r="AG516" s="112" t="str">
        <x:v>g</x:v>
      </x:c>
      <x:c r="AH516" s="112" t="str">
        <x:v>CHAI</x:v>
      </x:c>
      <x:c r="AI516" s="112" t="str">
        <x:v>1400 g / CHAI</x:v>
      </x:c>
      <x:c r="AJ516" s="120" t="n">
        <x:v>57000</x:v>
      </x:c>
      <x:c r="AK516" s="120"/>
      <x:c r="AL516" s="120" t="n">
        <x:v>57000</x:v>
      </x:c>
      <x:c r="AM516" s="112" t="str">
        <x:v>BỔ SUNG GIÁ</x:v>
      </x:c>
      <x:c r="AN516" s="126" t="n">
        <x:v>1143</x:v>
      </x:c>
      <x:c r="AO516" s="126" t="n">
        <x:v>1144</x:v>
      </x:c>
      <x:c r="AP516" s="113" t="str">
        <x:v>12 CHAI / THÙNG</x:v>
      </x:c>
    </x:row>
    <x:row r="517">
      <x:c r="A517" s="71" t="str">
        <x:v>CHANG THÁI BLUE</x:v>
      </x:c>
      <x:c r="B517" s="30" t="str">
        <x:v>CHANG THÁI BLUE - THÙNG</x:v>
      </x:c>
      <x:c r="C517" s="37" t="str">
        <x:v>CTHBLU</x:v>
      </x:c>
      <x:c r="D517" s="37" t="str">
        <x:v>CTHBLUT</x:v>
      </x:c>
      <x:c r="E517" s="37" t="str">
        <x:v>CTHBLUT</x:v>
      </x:c>
      <x:c r="F517" s="37" t="n">
        <x:v>12</x:v>
      </x:c>
      <x:c r="G517" s="37" t="n">
        <x:v>16000</x:v>
      </x:c>
      <x:c r="H517" s="37" t="str">
        <x:v>g</x:v>
      </x:c>
      <x:c r="I517" s="37" t="str">
        <x:v>THÙNG</x:v>
      </x:c>
      <x:c r="J517" s="59" t="n">
        <x:v>0</x:v>
      </x:c>
      <x:c r="K517" s="59" t="n">
        <x:v>0</x:v>
      </x:c>
      <x:c r="L517" s="59" t="n">
        <x:v>0</x:v>
      </x:c>
      <x:c r="M517" s="37" t="str">
        <x:v>Siro</x:v>
      </x:c>
      <x:c r="N517" s="37" t="str">
        <x:v>CHƯA CÓ GIÁ LẺ</x:v>
      </x:c>
      <x:c r="O517" s="61" t="n">
        <x:v>0.072</x:v>
      </x:c>
      <x:c r="P517" s="37"/>
      <x:c r="Q517" s="30"/>
      <x:c r="R517" s="30"/>
      <x:c r="S517" s="30"/>
      <x:c r="T517" s="37"/>
      <x:c r="U517" s="59"/>
      <x:c r="V517" s="59"/>
      <x:c r="W517" s="117" t="n">
        <x:v>57000</x:v>
      </x:c>
      <x:c r="X517" s="59" t="str">
        <x:f>IFERROR(IF(OR($N517="ĐÃ GHÉP - AUTO",$N517="ĐÃ GHÉP - QUY TẮC"),IF($V517="","",IF($T517="THÙNG",$V517/$F517,$V517)),""),"")</x:f>
      </x:c>
      <x:c r="Y517" s="117" t="n">
        <x:f>IF(OR(W517="",F517=""),"",W517*F517)</x:f>
        <x:v>684000</x:v>
      </x:c>
      <x:c r="Z517" s="59" t="str">
        <x:f>IFERROR(IF(OR($N517="ĐÃ GHÉP - AUTO",$N517="ĐÃ GHÉP - QUY TẮC"),IF($V517="","",IF($T517="THÙNG",$V517,$V517*$F517)),""),"")</x:f>
      </x:c>
      <x:c r="AA517" s="28" t="str">
        <x:f>IFERROR(IF(OR($K517="",$K517=0,$Y517=""),"",($Y517-$K517)/$K517),"")</x:f>
      </x:c>
      <x:c r="AB517" s="37" t="str">
        <x:f>IFERROR(IF($N517="CẦN DUYỆT","DUYỆT MAP",IF($N517="CHƯA CÓ GIÁ LẺ","THIẾU GIÁ",IF(OR($K517="",$K517=0,$Y517=""),"OK",IF(ABS(($Y517-$K517)/$K517)&gt;0.15,"LỆCH GIÁ CŨ","OK")))),"OK")</x:f>
        <x:v>THIẾU GIÁ</x:v>
      </x:c>
      <x:c r="AC517" s="30" t="str">
        <x:v>ứng viên gần nhất=Siro Changthai; score=0.072</x:v>
      </x:c>
      <x:c r="AD517" s="37" t="str">
        <x:v>CTHBLU</x:v>
      </x:c>
      <x:c r="AE517" s="38" t="str">
        <x:v>CTHBLUT</x:v>
      </x:c>
      <x:c r="AF517" s="123" t="n">
        <x:v>1400</x:v>
      </x:c>
      <x:c r="AG517" s="112" t="str">
        <x:v>g</x:v>
      </x:c>
      <x:c r="AH517" s="112" t="str">
        <x:v>CHAI</x:v>
      </x:c>
      <x:c r="AI517" s="112" t="str">
        <x:v>1400 g / CHAI</x:v>
      </x:c>
      <x:c r="AJ517" s="120" t="n">
        <x:v>57000</x:v>
      </x:c>
      <x:c r="AK517" s="120"/>
      <x:c r="AL517" s="120" t="n">
        <x:v>57000</x:v>
      </x:c>
      <x:c r="AM517" s="112" t="str">
        <x:v>BỔ SUNG GIÁ</x:v>
      </x:c>
      <x:c r="AN517" s="126" t="n">
        <x:v>1145</x:v>
      </x:c>
      <x:c r="AO517" s="126" t="n">
        <x:v>1146</x:v>
      </x:c>
      <x:c r="AP517" s="113" t="str">
        <x:v>12 CHAI / THÙNG</x:v>
      </x:c>
    </x:row>
    <x:row r="518">
      <x:c r="A518" s="71" t="str">
        <x:v>HẠT NỔ HỒNG DAKA</x:v>
      </x:c>
      <x:c r="B518" s="30" t="str">
        <x:v>HẠT NỔ HỒNG DAKA - THÙNG</x:v>
      </x:c>
      <x:c r="C518" s="37" t="str">
        <x:v>NOHGDK</x:v>
      </x:c>
      <x:c r="D518" s="37" t="str">
        <x:v>NOHGDKT</x:v>
      </x:c>
      <x:c r="E518" s="37" t="str">
        <x:v>NOHGDKT</x:v>
      </x:c>
      <x:c r="F518" s="37" t="n">
        <x:v>12</x:v>
      </x:c>
      <x:c r="G518" s="37" t="n">
        <x:v>12000</x:v>
      </x:c>
      <x:c r="H518" s="37" t="str">
        <x:v>g</x:v>
      </x:c>
      <x:c r="I518" s="37" t="str">
        <x:v>THÙNG</x:v>
      </x:c>
      <x:c r="J518" s="59" t="n">
        <x:v>0</x:v>
      </x:c>
      <x:c r="K518" s="59" t="n">
        <x:v>770000</x:v>
      </x:c>
      <x:c r="L518" s="59" t="n">
        <x:v>0</x:v>
      </x:c>
      <x:c r="M518" s="37" t="str">
        <x:v>Khác</x:v>
      </x:c>
      <x:c r="N518" s="37" t="str">
        <x:v>CHƯA CÓ GIÁ LẺ</x:v>
      </x:c>
      <x:c r="O518" s="61" t="n">
        <x:v>0.409</x:v>
      </x:c>
      <x:c r="P518" s="37"/>
      <x:c r="Q518" s="30"/>
      <x:c r="R518" s="30"/>
      <x:c r="S518" s="30"/>
      <x:c r="T518" s="37"/>
      <x:c r="U518" s="59"/>
      <x:c r="V518" s="59"/>
      <x:c r="W518" s="117" t="n">
        <x:v>66000</x:v>
      </x:c>
      <x:c r="X518" s="59" t="str">
        <x:f>IFERROR(IF(OR($N518="ĐÃ GHÉP - AUTO",$N518="ĐÃ GHÉP - QUY TẮC"),IF($V518="","",IF($T518="THÙNG",$V518/$F518,$V518)),""),"")</x:f>
      </x:c>
      <x:c r="Y518" s="117" t="n">
        <x:f>IF(OR(W518="",F518=""),"",W518*F518)</x:f>
        <x:v>792000</x:v>
      </x:c>
      <x:c r="Z518" s="59" t="str">
        <x:f>IFERROR(IF(OR($N518="ĐÃ GHÉP - AUTO",$N518="ĐÃ GHÉP - QUY TẮC"),IF($V518="","",IF($T518="THÙNG",$V518,$V518*$F518)),""),"")</x:f>
      </x:c>
      <x:c r="AA518" s="28" t="n">
        <x:f>IFERROR(IF(OR($K518="",$K518=0,$Y518=""),"",($Y518-$K518)/$K518),"")</x:f>
        <x:v>0.02857142857142857</x:v>
      </x:c>
      <x:c r="AB518" s="37" t="str">
        <x:f>IFERROR(IF($N518="CẦN DUYỆT","DUYỆT MAP",IF($N518="CHƯA CÓ GIÁ LẺ","THIẾU GIÁ",IF(OR($K518="",$K518=0,$Y518=""),"OK",IF(ABS(($Y518-$K518)/$K518)&gt;0.15,"LỆCH GIÁ CŨ","OK")))),"OK")</x:f>
        <x:v>THIẾU GIÁ</x:v>
      </x:c>
      <x:c r="AC518" s="30" t="str">
        <x:v>ứng viên gần nhất=Hạt Chia; score=0.409</x:v>
      </x:c>
      <x:c r="AD518" s="37" t="str">
        <x:v>NOHGDK</x:v>
      </x:c>
      <x:c r="AE518" s="38" t="str">
        <x:v>NOHGDKT</x:v>
      </x:c>
      <x:c r="AF518" s="123" t="n">
        <x:v>900</x:v>
      </x:c>
      <x:c r="AG518" s="112" t="str">
        <x:v>g</x:v>
      </x:c>
      <x:c r="AH518" s="112" t="str">
        <x:v>LON</x:v>
      </x:c>
      <x:c r="AI518" s="112" t="str">
        <x:v>900 g / LON</x:v>
      </x:c>
      <x:c r="AJ518" s="120" t="n">
        <x:v>66000</x:v>
      </x:c>
      <x:c r="AK518" s="120"/>
      <x:c r="AL518" s="120" t="n">
        <x:v>66000</x:v>
      </x:c>
      <x:c r="AM518" s="112" t="str">
        <x:v>BỔ SUNG GIÁ</x:v>
      </x:c>
      <x:c r="AN518" s="126" t="n">
        <x:v>1154</x:v>
      </x:c>
      <x:c r="AO518" s="126" t="n">
        <x:v>1155</x:v>
      </x:c>
      <x:c r="AP518" s="113" t="str">
        <x:v>12 LON / THÙNG</x:v>
      </x:c>
    </x:row>
    <x:row r="519">
      <x:c r="A519" s="71" t="str">
        <x:v>CỐT DỪA HỘP 1L CHAOKO</x:v>
      </x:c>
      <x:c r="B519" s="30" t="str">
        <x:v>CỐT DỪA HỘP 1L CHAOKO - THÙNG</x:v>
      </x:c>
      <x:c r="C519" s="37" t="str">
        <x:v>CDCHKO</x:v>
      </x:c>
      <x:c r="D519" s="37" t="str">
        <x:v>CDCHKOT</x:v>
      </x:c>
      <x:c r="E519" s="37" t="str">
        <x:v>CDCHKOT</x:v>
      </x:c>
      <x:c r="F519" s="37" t="n">
        <x:v>12</x:v>
      </x:c>
      <x:c r="G519" s="37" t="n">
        <x:v>13000</x:v>
      </x:c>
      <x:c r="H519" s="37" t="str">
        <x:v>g</x:v>
      </x:c>
      <x:c r="I519" s="37" t="str">
        <x:v>THÙNG</x:v>
      </x:c>
      <x:c r="J519" s="59" t="n">
        <x:v>0</x:v>
      </x:c>
      <x:c r="K519" s="59" t="n">
        <x:v>850000</x:v>
      </x:c>
      <x:c r="L519" s="59" t="n">
        <x:v>0</x:v>
      </x:c>
      <x:c r="M519" s="37" t="str">
        <x:v>Khác</x:v>
      </x:c>
      <x:c r="N519" s="37" t="str">
        <x:v>ĐÃ GHÉP - QUY TẮC</x:v>
      </x:c>
      <x:c r="O519" s="61" t="n">
        <x:v>0.99</x:v>
      </x:c>
      <x:c r="P519" s="37" t="n">
        <x:v>116</x:v>
      </x:c>
      <x:c r="Q519" s="30" t="str">
        <x:v>Nước cốt dừa thai 1 lit</x:v>
      </x:c>
      <x:c r="R519" s="30" t="str">
        <x:v>Thung 12 hop</x:v>
      </x:c>
      <x:c r="S519" s="30" t="str">
        <x:v>hộp</x:v>
      </x:c>
      <x:c r="T519" s="37" t="str">
        <x:v>ĐƠN VỊ</x:v>
      </x:c>
      <x:c r="U519" s="59" t="n">
        <x:v>71000</x:v>
      </x:c>
      <x:c r="V519" s="59"/>
      <x:c r="W519" s="117" t="n">
        <x:v>71000</x:v>
      </x:c>
      <x:c r="X519" s="59" t="str">
        <x:f>IFERROR(IF(OR($N519="ĐÃ GHÉP - AUTO",$N519="ĐÃ GHÉP - QUY TẮC"),IF($V519="","",IF($T519="THÙNG",$V519/$F519,$V519)),""),"")</x:f>
      </x:c>
      <x:c r="Y519" s="117" t="n">
        <x:f>IF(OR(W519="",F519=""),"",W519*F519)</x:f>
        <x:v>852000</x:v>
      </x:c>
      <x:c r="Z519" s="59" t="str">
        <x:f>IFERROR(IF(OR($N519="ĐÃ GHÉP - AUTO",$N519="ĐÃ GHÉP - QUY TẮC"),IF($V519="","",IF($T519="THÙNG",$V519,$V519*$F519)),""),"")</x:f>
      </x:c>
      <x:c r="AA519" s="28" t="n">
        <x:f>IFERROR(IF(OR($K519="",$K519=0,$Y519=""),"",($Y519-$K519)/$K519),"")</x:f>
        <x:v>0.002352941176470588</x:v>
      </x:c>
      <x:c r="AB519" s="37" t="str">
        <x:f>IFERROR(IF($N519="CẦN DUYỆT","DUYỆT MAP",IF($N519="CHƯA CÓ GIÁ LẺ","THIẾU GIÁ",IF(OR($K519="",$K519=0,$Y519=""),"OK",IF(ABS(($Y519-$K519)/$K519)&gt;0.15,"LỆCH GIÁ CŨ","OK")))),"OK")</x:f>
        <x:v>OK</x:v>
      </x:c>
      <x:c r="AC519" s="30" t="str">
        <x:v>Giá cũ kiểm chứng: 71.000/đơn vị</x:v>
      </x:c>
      <x:c r="AD519" s="37" t="str">
        <x:v>CDCHKO</x:v>
      </x:c>
      <x:c r="AE519" s="38" t="str">
        <x:v>CDCHKOT</x:v>
      </x:c>
      <x:c r="AF519" s="123" t="n">
        <x:v>1000</x:v>
      </x:c>
      <x:c r="AG519" s="112" t="str">
        <x:v>g</x:v>
      </x:c>
      <x:c r="AH519" s="112" t="str">
        <x:v>HỘP</x:v>
      </x:c>
      <x:c r="AI519" s="112" t="str">
        <x:v>1000 g / HỘP</x:v>
      </x:c>
      <x:c r="AJ519" s="120" t="n">
        <x:v>71000</x:v>
      </x:c>
      <x:c r="AK519" s="120" t="n">
        <x:v>71000</x:v>
      </x:c>
      <x:c r="AL519" s="120" t="n">
        <x:v>71000</x:v>
      </x:c>
      <x:c r="AM519" s="112" t="str">
        <x:v>GIỮ NGUYÊN - ĐÃ KHỚP</x:v>
      </x:c>
      <x:c r="AN519" s="126" t="n">
        <x:v>1156</x:v>
      </x:c>
      <x:c r="AO519" s="126" t="n">
        <x:v>1157</x:v>
      </x:c>
      <x:c r="AP519" s="113" t="str">
        <x:v>12 HỘP / THÙNG</x:v>
      </x:c>
    </x:row>
    <x:row r="520">
      <x:c r="A520" s="71" t="str">
        <x:v>CỐT BÍ ĐAO WONDERFUL</x:v>
      </x:c>
      <x:c r="B520" s="30" t="str">
        <x:v>CỐT BÍ ĐAO WONDERFUL - THÙNG</x:v>
      </x:c>
      <x:c r="C520" s="37" t="str">
        <x:v>CBDWDF</x:v>
      </x:c>
      <x:c r="D520" s="37" t="str">
        <x:v>CBDWDFT</x:v>
      </x:c>
      <x:c r="E520" s="37" t="str">
        <x:v>CBDWDFT</x:v>
      </x:c>
      <x:c r="F520" s="37" t="n">
        <x:v>30</x:v>
      </x:c>
      <x:c r="G520" s="37" t="n">
        <x:v>18000</x:v>
      </x:c>
      <x:c r="H520" s="37" t="str">
        <x:v>g</x:v>
      </x:c>
      <x:c r="I520" s="37" t="str">
        <x:v>THÙNG</x:v>
      </x:c>
      <x:c r="J520" s="59" t="n">
        <x:v>0</x:v>
      </x:c>
      <x:c r="K520" s="59" t="n">
        <x:v>0</x:v>
      </x:c>
      <x:c r="L520" s="59" t="n">
        <x:v>0</x:v>
      </x:c>
      <x:c r="M520" s="37" t="str">
        <x:v>Khác</x:v>
      </x:c>
      <x:c r="N520" s="37" t="str">
        <x:v>ĐÃ GHÉP - AUTO</x:v>
      </x:c>
      <x:c r="O520" s="61" t="n">
        <x:v>0.772</x:v>
      </x:c>
      <x:c r="P520" s="37" t="n">
        <x:v>222</x:v>
      </x:c>
      <x:c r="Q520" s="30" t="str">
        <x:v>CỐT bí đao wonderfull</x:v>
      </x:c>
      <x:c r="R520" s="30" t="str">
        <x:v>thùng 30 GÓI</x:v>
      </x:c>
      <x:c r="S520" s="30" t="str">
        <x:v>gói</x:v>
      </x:c>
      <x:c r="T520" s="37" t="str">
        <x:v>ĐƠN VỊ</x:v>
      </x:c>
      <x:c r="U520" s="59" t="n">
        <x:v>47000</x:v>
      </x:c>
      <x:c r="V520" s="59"/>
      <x:c r="W520" s="117" t="n">
        <x:v>47000</x:v>
      </x:c>
      <x:c r="X520" s="59" t="str">
        <x:f>IFERROR(IF(OR($N520="ĐÃ GHÉP - AUTO",$N520="ĐÃ GHÉP - QUY TẮC"),IF($V520="","",IF($T520="THÙNG",$V520/$F520,$V520)),""),"")</x:f>
      </x:c>
      <x:c r="Y520" s="117" t="n">
        <x:f>IF(OR(W520="",F520=""),"",W520*F520)</x:f>
        <x:v>1410000</x:v>
      </x:c>
      <x:c r="Z520" s="59" t="str">
        <x:f>IFERROR(IF(OR($N520="ĐÃ GHÉP - AUTO",$N520="ĐÃ GHÉP - QUY TẮC"),IF($V520="","",IF($T520="THÙNG",$V520,$V520*$F520)),""),"")</x:f>
      </x:c>
      <x:c r="AA520" s="28" t="str">
        <x:f>IFERROR(IF(OR($K520="",$K520=0,$Y520=""),"",($Y520-$K520)/$K520),"")</x:f>
      </x:c>
      <x:c r="AB520" s="37" t="str">
        <x:f>IFERROR(IF($N520="CẦN DUYỆT","DUYỆT MAP",IF($N520="CHƯA CÓ GIÁ LẺ","THIẾU GIÁ",IF(OR($K520="",$K520=0,$Y520=""),"OK",IF(ABS(($Y520-$K520)/$K520)&gt;0.15,"LỆCH GIÁ CŨ","OK")))),"OK")</x:f>
        <x:v>OK</x:v>
      </x:c>
      <x:c r="AC520" s="30" t="str">
        <x:v>score=0.772; gap=0.299</x:v>
      </x:c>
      <x:c r="AD520" s="37" t="str">
        <x:v>CBDWDF</x:v>
      </x:c>
      <x:c r="AE520" s="38" t="str">
        <x:v>CBDWDFT</x:v>
      </x:c>
      <x:c r="AF520" s="123" t="n">
        <x:v>600</x:v>
      </x:c>
      <x:c r="AG520" s="112" t="str">
        <x:v>g</x:v>
      </x:c>
      <x:c r="AH520" s="112" t="str">
        <x:v>BỊCH</x:v>
      </x:c>
      <x:c r="AI520" s="112" t="str">
        <x:v>600 g / BỊCH</x:v>
      </x:c>
      <x:c r="AJ520" s="120" t="n">
        <x:v>47000</x:v>
      </x:c>
      <x:c r="AK520" s="120" t="n">
        <x:v>47000</x:v>
      </x:c>
      <x:c r="AL520" s="120" t="n">
        <x:v>47000</x:v>
      </x:c>
      <x:c r="AM520" s="112" t="str">
        <x:v>GIỮ NGUYÊN - ĐÃ KHỚP</x:v>
      </x:c>
      <x:c r="AN520" s="126" t="n">
        <x:v>1158</x:v>
      </x:c>
      <x:c r="AO520" s="126" t="n">
        <x:v>1159</x:v>
      </x:c>
      <x:c r="AP520" s="113" t="str">
        <x:v>30 BỊCH / THÙNG</x:v>
      </x:c>
    </x:row>
    <x:row r="521">
      <x:c r="A521" s="71" t="str">
        <x:v>COZY HOÀ TAN VẢI</x:v>
      </x:c>
      <x:c r="B521" s="30" t="str">
        <x:v>COZY HOÀ TAN VẢI - THÙNG</x:v>
      </x:c>
      <x:c r="C521" s="37" t="str">
        <x:v>COHTVA</x:v>
      </x:c>
      <x:c r="D521" s="37" t="str">
        <x:v>COHTVAT</x:v>
      </x:c>
      <x:c r="E521" s="37" t="str">
        <x:v>COHTVAT</x:v>
      </x:c>
      <x:c r="F521" s="37" t="n">
        <x:v>30</x:v>
      </x:c>
      <x:c r="G521" s="37" t="n">
        <x:v>10000</x:v>
      </x:c>
      <x:c r="H521" s="37" t="str">
        <x:v>g</x:v>
      </x:c>
      <x:c r="I521" s="37" t="str">
        <x:v>THÙNG</x:v>
      </x:c>
      <x:c r="J521" s="59" t="n">
        <x:v>0</x:v>
      </x:c>
      <x:c r="K521" s="59" t="n">
        <x:v>0</x:v>
      </x:c>
      <x:c r="L521" s="59" t="n">
        <x:v>0</x:v>
      </x:c>
      <x:c r="M521" s="37" t="str">
        <x:v>Trà</x:v>
      </x:c>
      <x:c r="N521" s="37" t="str">
        <x:v>ĐÃ GHÉP - AUTO</x:v>
      </x:c>
      <x:c r="O521" s="61" t="n">
        <x:v>0.911</x:v>
      </x:c>
      <x:c r="P521" s="37" t="n">
        <x:v>186</x:v>
      </x:c>
      <x:c r="Q521" s="30" t="str">
        <x:v>Trà Cozy Hòa tan</x:v>
      </x:c>
      <x:c r="R521" s="30" t="str">
        <x:v>Thùng 30 gói</x:v>
      </x:c>
      <x:c r="S521" s="30" t="str">
        <x:v>hộp</x:v>
      </x:c>
      <x:c r="T521" s="37" t="str">
        <x:v>ĐƠN VỊ</x:v>
      </x:c>
      <x:c r="U521" s="59" t="n">
        <x:v>36000</x:v>
      </x:c>
      <x:c r="V521" s="59"/>
      <x:c r="W521" s="117" t="n">
        <x:v>36000</x:v>
      </x:c>
      <x:c r="X521" s="59" t="str">
        <x:f>IFERROR(IF(OR($N521="ĐÃ GHÉP - AUTO",$N521="ĐÃ GHÉP - QUY TẮC"),IF($V521="","",IF($T521="THÙNG",$V521/$F521,$V521)),""),"")</x:f>
      </x:c>
      <x:c r="Y521" s="117" t="n">
        <x:f>IF(OR(W521="",F521=""),"",W521*F521)</x:f>
        <x:v>1080000</x:v>
      </x:c>
      <x:c r="Z521" s="59" t="str">
        <x:f>IFERROR(IF(OR($N521="ĐÃ GHÉP - AUTO",$N521="ĐÃ GHÉP - QUY TẮC"),IF($V521="","",IF($T521="THÙNG",$V521,$V521*$F521)),""),"")</x:f>
      </x:c>
      <x:c r="AA521" s="28" t="str">
        <x:f>IFERROR(IF(OR($K521="",$K521=0,$Y521=""),"",($Y521-$K521)/$K521),"")</x:f>
      </x:c>
      <x:c r="AB521" s="37" t="str">
        <x:f>IFERROR(IF($N521="CẦN DUYỆT","DUYỆT MAP",IF($N521="CHƯA CÓ GIÁ LẺ","THIẾU GIÁ",IF(OR($K521="",$K521=0,$Y521=""),"OK",IF(ABS(($Y521-$K521)/$K521)&gt;0.15,"LỆCH GIÁ CŨ","OK")))),"OK")</x:f>
        <x:v>OK</x:v>
      </x:c>
      <x:c r="AC521" s="30" t="str">
        <x:v>score=0.911; gap=0.148</x:v>
      </x:c>
      <x:c r="AD521" s="37" t="str">
        <x:v>COHTVA</x:v>
      </x:c>
      <x:c r="AE521" s="38" t="str">
        <x:v>COHTVAT</x:v>
      </x:c>
      <x:c r="AF521" s="123" t="n">
        <x:v>0</x:v>
      </x:c>
      <x:c r="AG521" s="112" t="str">
        <x:v>g</x:v>
      </x:c>
      <x:c r="AH521" s="112" t="str">
        <x:v>HỘP</x:v>
      </x:c>
      <x:c r="AI521" s="112" t="str">
        <x:v>0 g / HỘP</x:v>
      </x:c>
      <x:c r="AJ521" s="120" t="n">
        <x:v>36000</x:v>
      </x:c>
      <x:c r="AK521" s="120" t="n">
        <x:v>36000</x:v>
      </x:c>
      <x:c r="AL521" s="120" t="n">
        <x:v>36000</x:v>
      </x:c>
      <x:c r="AM521" s="112" t="str">
        <x:v>GIỮ NGUYÊN - ĐÃ KHỚP</x:v>
      </x:c>
      <x:c r="AN521" s="126" t="n">
        <x:v>1162</x:v>
      </x:c>
      <x:c r="AO521" s="126" t="n">
        <x:v>1163</x:v>
      </x:c>
      <x:c r="AP521" s="113" t="str">
        <x:v>30 HỘP / THÙNG</x:v>
      </x:c>
    </x:row>
    <x:row r="522">
      <x:c r="A522" s="71" t="str">
        <x:v>COZY HOÀ TAN ỔI</x:v>
      </x:c>
      <x:c r="B522" s="30" t="str">
        <x:v>COZY HOÀ TAN ỔI - THÙNG</x:v>
      </x:c>
      <x:c r="C522" s="37" t="str">
        <x:v>COHTOI</x:v>
      </x:c>
      <x:c r="D522" s="37" t="str">
        <x:v>COHTOIT</x:v>
      </x:c>
      <x:c r="E522" s="37" t="str">
        <x:v>COHTOIT</x:v>
      </x:c>
      <x:c r="F522" s="37" t="n">
        <x:v>30</x:v>
      </x:c>
      <x:c r="G522" s="37" t="n">
        <x:v>10000</x:v>
      </x:c>
      <x:c r="H522" s="37" t="str">
        <x:v>g</x:v>
      </x:c>
      <x:c r="I522" s="37" t="str">
        <x:v>THÙNG</x:v>
      </x:c>
      <x:c r="J522" s="59" t="n">
        <x:v>0</x:v>
      </x:c>
      <x:c r="K522" s="59" t="n">
        <x:v>0</x:v>
      </x:c>
      <x:c r="L522" s="59" t="n">
        <x:v>0</x:v>
      </x:c>
      <x:c r="M522" s="37" t="str">
        <x:v>Trà</x:v>
      </x:c>
      <x:c r="N522" s="37" t="str">
        <x:v>ĐÃ GHÉP - AUTO</x:v>
      </x:c>
      <x:c r="O522" s="61" t="n">
        <x:v>0.907</x:v>
      </x:c>
      <x:c r="P522" s="37" t="n">
        <x:v>186</x:v>
      </x:c>
      <x:c r="Q522" s="30" t="str">
        <x:v>Trà Cozy Hòa tan</x:v>
      </x:c>
      <x:c r="R522" s="30" t="str">
        <x:v>Thùng 30 gói</x:v>
      </x:c>
      <x:c r="S522" s="30" t="str">
        <x:v>hộp</x:v>
      </x:c>
      <x:c r="T522" s="37" t="str">
        <x:v>ĐƠN VỊ</x:v>
      </x:c>
      <x:c r="U522" s="59" t="n">
        <x:v>36000</x:v>
      </x:c>
      <x:c r="V522" s="59"/>
      <x:c r="W522" s="117" t="n">
        <x:v>36000</x:v>
      </x:c>
      <x:c r="X522" s="59" t="str">
        <x:f>IFERROR(IF(OR($N522="ĐÃ GHÉP - AUTO",$N522="ĐÃ GHÉP - QUY TẮC"),IF($V522="","",IF($T522="THÙNG",$V522/$F522,$V522)),""),"")</x:f>
      </x:c>
      <x:c r="Y522" s="117" t="n">
        <x:f>IF(OR(W522="",F522=""),"",W522*F522)</x:f>
        <x:v>1080000</x:v>
      </x:c>
      <x:c r="Z522" s="59" t="str">
        <x:f>IFERROR(IF(OR($N522="ĐÃ GHÉP - AUTO",$N522="ĐÃ GHÉP - QUY TẮC"),IF($V522="","",IF($T522="THÙNG",$V522,$V522*$F522)),""),"")</x:f>
      </x:c>
      <x:c r="AA522" s="28" t="str">
        <x:f>IFERROR(IF(OR($K522="",$K522=0,$Y522=""),"",($Y522-$K522)/$K522),"")</x:f>
      </x:c>
      <x:c r="AB522" s="37" t="str">
        <x:f>IFERROR(IF($N522="CẦN DUYỆT","DUYỆT MAP",IF($N522="CHƯA CÓ GIÁ LẺ","THIẾU GIÁ",IF(OR($K522="",$K522=0,$Y522=""),"OK",IF(ABS(($Y522-$K522)/$K522)&gt;0.15,"LỆCH GIÁ CŨ","OK")))),"OK")</x:f>
        <x:v>OK</x:v>
      </x:c>
      <x:c r="AC522" s="30" t="str">
        <x:v>score=0.907; gap=0.145</x:v>
      </x:c>
      <x:c r="AD522" s="37" t="str">
        <x:v>COHTOI</x:v>
      </x:c>
      <x:c r="AE522" s="38" t="str">
        <x:v>COHTOIT</x:v>
      </x:c>
      <x:c r="AF522" s="123" t="n">
        <x:v>0</x:v>
      </x:c>
      <x:c r="AG522" s="112" t="str">
        <x:v>g</x:v>
      </x:c>
      <x:c r="AH522" s="112" t="str">
        <x:v>HỘP</x:v>
      </x:c>
      <x:c r="AI522" s="112" t="str">
        <x:v>0 g / HỘP</x:v>
      </x:c>
      <x:c r="AJ522" s="120" t="n">
        <x:v>36000</x:v>
      </x:c>
      <x:c r="AK522" s="120" t="n">
        <x:v>36000</x:v>
      </x:c>
      <x:c r="AL522" s="120" t="n">
        <x:v>36000</x:v>
      </x:c>
      <x:c r="AM522" s="112" t="str">
        <x:v>GIỮ NGUYÊN - ĐÃ KHỚP</x:v>
      </x:c>
      <x:c r="AN522" s="126" t="n">
        <x:v>1164</x:v>
      </x:c>
      <x:c r="AO522" s="126" t="n">
        <x:v>1165</x:v>
      </x:c>
      <x:c r="AP522" s="113" t="str">
        <x:v>30 HỘP / THÙNG</x:v>
      </x:c>
    </x:row>
    <x:row r="523">
      <x:c r="A523" s="71" t="str">
        <x:v>COZY HOÀ TAN ĐÀO</x:v>
      </x:c>
      <x:c r="B523" s="30" t="str">
        <x:v>COZY HOÀ TAN ĐÀO - THÙNG</x:v>
      </x:c>
      <x:c r="C523" s="37" t="str">
        <x:v>COHTDO</x:v>
      </x:c>
      <x:c r="D523" s="37" t="str">
        <x:v>COHTDOT</x:v>
      </x:c>
      <x:c r="E523" s="37" t="str">
        <x:v>COHTDOT</x:v>
      </x:c>
      <x:c r="F523" s="37" t="n">
        <x:v>30</x:v>
      </x:c>
      <x:c r="G523" s="37" t="n">
        <x:v>10000</x:v>
      </x:c>
      <x:c r="H523" s="37" t="str">
        <x:v>g</x:v>
      </x:c>
      <x:c r="I523" s="37" t="str">
        <x:v>THÙNG</x:v>
      </x:c>
      <x:c r="J523" s="59" t="n">
        <x:v>0</x:v>
      </x:c>
      <x:c r="K523" s="59" t="n">
        <x:v>0</x:v>
      </x:c>
      <x:c r="L523" s="59" t="n">
        <x:v>0</x:v>
      </x:c>
      <x:c r="M523" s="37" t="str">
        <x:v>Trà</x:v>
      </x:c>
      <x:c r="N523" s="37" t="str">
        <x:v>ĐÃ GHÉP - AUTO</x:v>
      </x:c>
      <x:c r="O523" s="61" t="n">
        <x:v>0.918</x:v>
      </x:c>
      <x:c r="P523" s="37" t="n">
        <x:v>186</x:v>
      </x:c>
      <x:c r="Q523" s="30" t="str">
        <x:v>Trà Cozy Hòa tan</x:v>
      </x:c>
      <x:c r="R523" s="30" t="str">
        <x:v>Thùng 30 gói</x:v>
      </x:c>
      <x:c r="S523" s="30" t="str">
        <x:v>hộp</x:v>
      </x:c>
      <x:c r="T523" s="37" t="str">
        <x:v>ĐƠN VỊ</x:v>
      </x:c>
      <x:c r="U523" s="59" t="n">
        <x:v>36000</x:v>
      </x:c>
      <x:c r="V523" s="59"/>
      <x:c r="W523" s="117" t="n">
        <x:v>36000</x:v>
      </x:c>
      <x:c r="X523" s="59" t="str">
        <x:f>IFERROR(IF(OR($N523="ĐÃ GHÉP - AUTO",$N523="ĐÃ GHÉP - QUY TẮC"),IF($V523="","",IF($T523="THÙNG",$V523/$F523,$V523)),""),"")</x:f>
      </x:c>
      <x:c r="Y523" s="117" t="n">
        <x:f>IF(OR(W523="",F523=""),"",W523*F523)</x:f>
        <x:v>1080000</x:v>
      </x:c>
      <x:c r="Z523" s="59" t="str">
        <x:f>IFERROR(IF(OR($N523="ĐÃ GHÉP - AUTO",$N523="ĐÃ GHÉP - QUY TẮC"),IF($V523="","",IF($T523="THÙNG",$V523,$V523*$F523)),""),"")</x:f>
      </x:c>
      <x:c r="AA523" s="28" t="str">
        <x:f>IFERROR(IF(OR($K523="",$K523=0,$Y523=""),"",($Y523-$K523)/$K523),"")</x:f>
      </x:c>
      <x:c r="AB523" s="37" t="str">
        <x:f>IFERROR(IF($N523="CẦN DUYỆT","DUYỆT MAP",IF($N523="CHƯA CÓ GIÁ LẺ","THIẾU GIÁ",IF(OR($K523="",$K523=0,$Y523=""),"OK",IF(ABS(($Y523-$K523)/$K523)&gt;0.15,"LỆCH GIÁ CŨ","OK")))),"OK")</x:f>
        <x:v>OK</x:v>
      </x:c>
      <x:c r="AC523" s="30" t="str">
        <x:v>score=0.918; gap=0.153</x:v>
      </x:c>
      <x:c r="AD523" s="37" t="str">
        <x:v>COHTDO</x:v>
      </x:c>
      <x:c r="AE523" s="38" t="str">
        <x:v>COHTDOT</x:v>
      </x:c>
      <x:c r="AF523" s="123" t="n">
        <x:v>0</x:v>
      </x:c>
      <x:c r="AG523" s="112" t="str">
        <x:v>g</x:v>
      </x:c>
      <x:c r="AH523" s="112" t="str">
        <x:v>HỘP</x:v>
      </x:c>
      <x:c r="AI523" s="112" t="str">
        <x:v>0 g / HỘP</x:v>
      </x:c>
      <x:c r="AJ523" s="120" t="n">
        <x:v>36000</x:v>
      </x:c>
      <x:c r="AK523" s="120" t="n">
        <x:v>36000</x:v>
      </x:c>
      <x:c r="AL523" s="120" t="n">
        <x:v>36000</x:v>
      </x:c>
      <x:c r="AM523" s="112" t="str">
        <x:v>GIỮ NGUYÊN - ĐÃ KHỚP</x:v>
      </x:c>
      <x:c r="AN523" s="126" t="n">
        <x:v>1166</x:v>
      </x:c>
      <x:c r="AO523" s="126" t="n">
        <x:v>1167</x:v>
      </x:c>
      <x:c r="AP523" s="113" t="str">
        <x:v>30 HỘP / THÙNG</x:v>
      </x:c>
    </x:row>
    <x:row r="524">
      <x:c r="A524" s="71" t="str">
        <x:v>COZY HOÀ TAN DÂU</x:v>
      </x:c>
      <x:c r="B524" s="30" t="str">
        <x:v>COZY HOÀ TAN DÂU - THÙNG</x:v>
      </x:c>
      <x:c r="C524" s="37" t="str">
        <x:v>COHTDA</x:v>
      </x:c>
      <x:c r="D524" s="37" t="str">
        <x:v>COHTDAT</x:v>
      </x:c>
      <x:c r="E524" s="37" t="str">
        <x:v>COHTDAT</x:v>
      </x:c>
      <x:c r="F524" s="37" t="n">
        <x:v>30</x:v>
      </x:c>
      <x:c r="G524" s="37" t="n">
        <x:v>10000</x:v>
      </x:c>
      <x:c r="H524" s="37" t="str">
        <x:v>g</x:v>
      </x:c>
      <x:c r="I524" s="37" t="str">
        <x:v>THÙNG</x:v>
      </x:c>
      <x:c r="J524" s="59" t="n">
        <x:v>0</x:v>
      </x:c>
      <x:c r="K524" s="59" t="n">
        <x:v>0</x:v>
      </x:c>
      <x:c r="L524" s="59" t="n">
        <x:v>0</x:v>
      </x:c>
      <x:c r="M524" s="37" t="str">
        <x:v>Trà</x:v>
      </x:c>
      <x:c r="N524" s="37" t="str">
        <x:v>ĐÃ GHÉP - AUTO</x:v>
      </x:c>
      <x:c r="O524" s="61" t="n">
        <x:v>0.911</x:v>
      </x:c>
      <x:c r="P524" s="37" t="n">
        <x:v>186</x:v>
      </x:c>
      <x:c r="Q524" s="30" t="str">
        <x:v>Trà Cozy Hòa tan</x:v>
      </x:c>
      <x:c r="R524" s="30" t="str">
        <x:v>Thùng 30 gói</x:v>
      </x:c>
      <x:c r="S524" s="30" t="str">
        <x:v>hộp</x:v>
      </x:c>
      <x:c r="T524" s="37" t="str">
        <x:v>ĐƠN VỊ</x:v>
      </x:c>
      <x:c r="U524" s="59" t="n">
        <x:v>36000</x:v>
      </x:c>
      <x:c r="V524" s="59"/>
      <x:c r="W524" s="117" t="n">
        <x:v>36000</x:v>
      </x:c>
      <x:c r="X524" s="59" t="str">
        <x:f>IFERROR(IF(OR($N524="ĐÃ GHÉP - AUTO",$N524="ĐÃ GHÉP - QUY TẮC"),IF($V524="","",IF($T524="THÙNG",$V524/$F524,$V524)),""),"")</x:f>
      </x:c>
      <x:c r="Y524" s="117" t="n">
        <x:f>IF(OR(W524="",F524=""),"",W524*F524)</x:f>
        <x:v>1080000</x:v>
      </x:c>
      <x:c r="Z524" s="59" t="str">
        <x:f>IFERROR(IF(OR($N524="ĐÃ GHÉP - AUTO",$N524="ĐÃ GHÉP - QUY TẮC"),IF($V524="","",IF($T524="THÙNG",$V524,$V524*$F524)),""),"")</x:f>
      </x:c>
      <x:c r="AA524" s="28" t="str">
        <x:f>IFERROR(IF(OR($K524="",$K524=0,$Y524=""),"",($Y524-$K524)/$K524),"")</x:f>
      </x:c>
      <x:c r="AB524" s="37" t="str">
        <x:f>IFERROR(IF($N524="CẦN DUYỆT","DUYỆT MAP",IF($N524="CHƯA CÓ GIÁ LẺ","THIẾU GIÁ",IF(OR($K524="",$K524=0,$Y524=""),"OK",IF(ABS(($Y524-$K524)/$K524)&gt;0.15,"LỆCH GIÁ CŨ","OK")))),"OK")</x:f>
        <x:v>OK</x:v>
      </x:c>
      <x:c r="AC524" s="30" t="str">
        <x:v>score=0.911; gap=0.148</x:v>
      </x:c>
      <x:c r="AD524" s="37" t="str">
        <x:v>COHTDA</x:v>
      </x:c>
      <x:c r="AE524" s="38" t="str">
        <x:v>COHTDAT</x:v>
      </x:c>
      <x:c r="AF524" s="123" t="n">
        <x:v>0</x:v>
      </x:c>
      <x:c r="AG524" s="112" t="str">
        <x:v>g</x:v>
      </x:c>
      <x:c r="AH524" s="112" t="str">
        <x:v>HỘP</x:v>
      </x:c>
      <x:c r="AI524" s="112" t="str">
        <x:v>0 g / HỘP</x:v>
      </x:c>
      <x:c r="AJ524" s="120" t="n">
        <x:v>36000</x:v>
      </x:c>
      <x:c r="AK524" s="120" t="n">
        <x:v>36000</x:v>
      </x:c>
      <x:c r="AL524" s="120" t="n">
        <x:v>36000</x:v>
      </x:c>
      <x:c r="AM524" s="112" t="str">
        <x:v>GIỮ NGUYÊN - ĐÃ KHỚP</x:v>
      </x:c>
      <x:c r="AN524" s="126" t="n">
        <x:v>1168</x:v>
      </x:c>
      <x:c r="AO524" s="126" t="n">
        <x:v>1169</x:v>
      </x:c>
      <x:c r="AP524" s="113" t="str">
        <x:v>30 HỘP / THÙNG</x:v>
      </x:c>
    </x:row>
    <x:row r="525">
      <x:c r="A525" s="71" t="str">
        <x:v>COZY HOÀ TAN CHANH</x:v>
      </x:c>
      <x:c r="B525" s="30" t="str">
        <x:v>COZY HOÀ TAN CHANH - THÙNG</x:v>
      </x:c>
      <x:c r="C525" s="37" t="str">
        <x:v>COHTCH</x:v>
      </x:c>
      <x:c r="D525" s="37" t="str">
        <x:v>COHTCHT</x:v>
      </x:c>
      <x:c r="E525" s="37" t="str">
        <x:v>COHTCHT</x:v>
      </x:c>
      <x:c r="F525" s="37" t="n">
        <x:v>30</x:v>
      </x:c>
      <x:c r="G525" s="37" t="n">
        <x:v>10000</x:v>
      </x:c>
      <x:c r="H525" s="37" t="str">
        <x:v>g</x:v>
      </x:c>
      <x:c r="I525" s="37" t="str">
        <x:v>THÙNG</x:v>
      </x:c>
      <x:c r="J525" s="59" t="n">
        <x:v>0</x:v>
      </x:c>
      <x:c r="K525" s="59" t="n">
        <x:v>0</x:v>
      </x:c>
      <x:c r="L525" s="59" t="n">
        <x:v>0</x:v>
      </x:c>
      <x:c r="M525" s="37" t="str">
        <x:v>Trà</x:v>
      </x:c>
      <x:c r="N525" s="37" t="str">
        <x:v>ĐÃ GHÉP - AUTO</x:v>
      </x:c>
      <x:c r="O525" s="61" t="n">
        <x:v>0.905</x:v>
      </x:c>
      <x:c r="P525" s="37" t="n">
        <x:v>186</x:v>
      </x:c>
      <x:c r="Q525" s="30" t="str">
        <x:v>Trà Cozy Hòa tan</x:v>
      </x:c>
      <x:c r="R525" s="30" t="str">
        <x:v>Thùng 30 gói</x:v>
      </x:c>
      <x:c r="S525" s="30" t="str">
        <x:v>hộp</x:v>
      </x:c>
      <x:c r="T525" s="37" t="str">
        <x:v>ĐƠN VỊ</x:v>
      </x:c>
      <x:c r="U525" s="59" t="n">
        <x:v>36000</x:v>
      </x:c>
      <x:c r="V525" s="59"/>
      <x:c r="W525" s="117" t="n">
        <x:v>36000</x:v>
      </x:c>
      <x:c r="X525" s="59" t="str">
        <x:f>IFERROR(IF(OR($N525="ĐÃ GHÉP - AUTO",$N525="ĐÃ GHÉP - QUY TẮC"),IF($V525="","",IF($T525="THÙNG",$V525/$F525,$V525)),""),"")</x:f>
      </x:c>
      <x:c r="Y525" s="117" t="n">
        <x:f>IF(OR(W525="",F525=""),"",W525*F525)</x:f>
        <x:v>1080000</x:v>
      </x:c>
      <x:c r="Z525" s="59" t="str">
        <x:f>IFERROR(IF(OR($N525="ĐÃ GHÉP - AUTO",$N525="ĐÃ GHÉP - QUY TẮC"),IF($V525="","",IF($T525="THÙNG",$V525,$V525*$F525)),""),"")</x:f>
      </x:c>
      <x:c r="AA525" s="28" t="str">
        <x:f>IFERROR(IF(OR($K525="",$K525=0,$Y525=""),"",($Y525-$K525)/$K525),"")</x:f>
      </x:c>
      <x:c r="AB525" s="37" t="str">
        <x:f>IFERROR(IF($N525="CẦN DUYỆT","DUYỆT MAP",IF($N525="CHƯA CÓ GIÁ LẺ","THIẾU GIÁ",IF(OR($K525="",$K525=0,$Y525=""),"OK",IF(ABS(($Y525-$K525)/$K525)&gt;0.15,"LỆCH GIÁ CŨ","OK")))),"OK")</x:f>
        <x:v>OK</x:v>
      </x:c>
      <x:c r="AC525" s="30" t="str">
        <x:v>score=0.905; gap=0.142</x:v>
      </x:c>
      <x:c r="AD525" s="37" t="str">
        <x:v>COHTCH</x:v>
      </x:c>
      <x:c r="AE525" s="38" t="str">
        <x:v>COHTCHT</x:v>
      </x:c>
      <x:c r="AF525" s="123" t="n">
        <x:v>0</x:v>
      </x:c>
      <x:c r="AG525" s="112" t="str">
        <x:v>g</x:v>
      </x:c>
      <x:c r="AH525" s="112" t="str">
        <x:v>HỘP</x:v>
      </x:c>
      <x:c r="AI525" s="112" t="str">
        <x:v>0 g / HỘP</x:v>
      </x:c>
      <x:c r="AJ525" s="120" t="n">
        <x:v>36000</x:v>
      </x:c>
      <x:c r="AK525" s="120" t="n">
        <x:v>36000</x:v>
      </x:c>
      <x:c r="AL525" s="120" t="n">
        <x:v>36000</x:v>
      </x:c>
      <x:c r="AM525" s="112" t="str">
        <x:v>GIỮ NGUYÊN - ĐÃ KHỚP</x:v>
      </x:c>
      <x:c r="AN525" s="126" t="n">
        <x:v>1170</x:v>
      </x:c>
      <x:c r="AO525" s="126" t="n">
        <x:v>1171</x:v>
      </x:c>
      <x:c r="AP525" s="113" t="str">
        <x:v>30 HỘP / THÙNG</x:v>
      </x:c>
    </x:row>
    <x:row r="526">
      <x:c r="A526" s="71" t="str">
        <x:v>COZY HOÀ TAN CHANH DÂY</x:v>
      </x:c>
      <x:c r="B526" s="30" t="str">
        <x:v>COZY HOÀ TAN CHANH DÂY - THÙNG</x:v>
      </x:c>
      <x:c r="C526" s="37" t="str">
        <x:v>COHTCD</x:v>
      </x:c>
      <x:c r="D526" s="37" t="str">
        <x:v>COHTCDT</x:v>
      </x:c>
      <x:c r="E526" s="37" t="str">
        <x:v>COHTCDT</x:v>
      </x:c>
      <x:c r="F526" s="37" t="n">
        <x:v>30</x:v>
      </x:c>
      <x:c r="G526" s="37" t="n">
        <x:v>10000</x:v>
      </x:c>
      <x:c r="H526" s="37" t="str">
        <x:v>g</x:v>
      </x:c>
      <x:c r="I526" s="37" t="str">
        <x:v>THÙNG</x:v>
      </x:c>
      <x:c r="J526" s="59" t="n">
        <x:v>0</x:v>
      </x:c>
      <x:c r="K526" s="59" t="n">
        <x:v>0</x:v>
      </x:c>
      <x:c r="L526" s="59" t="n">
        <x:v>0</x:v>
      </x:c>
      <x:c r="M526" s="37" t="str">
        <x:v>Trà</x:v>
      </x:c>
      <x:c r="N526" s="37" t="str">
        <x:v>ĐÃ GHÉP - AUTO</x:v>
      </x:c>
      <x:c r="O526" s="61" t="n">
        <x:v>0.876</x:v>
      </x:c>
      <x:c r="P526" s="37" t="n">
        <x:v>186</x:v>
      </x:c>
      <x:c r="Q526" s="30" t="str">
        <x:v>Trà Cozy Hòa tan</x:v>
      </x:c>
      <x:c r="R526" s="30" t="str">
        <x:v>Thùng 30 gói</x:v>
      </x:c>
      <x:c r="S526" s="30" t="str">
        <x:v>hộp</x:v>
      </x:c>
      <x:c r="T526" s="37" t="str">
        <x:v>ĐƠN VỊ</x:v>
      </x:c>
      <x:c r="U526" s="59" t="n">
        <x:v>36000</x:v>
      </x:c>
      <x:c r="V526" s="59"/>
      <x:c r="W526" s="117" t="n">
        <x:v>36000</x:v>
      </x:c>
      <x:c r="X526" s="59" t="str">
        <x:f>IFERROR(IF(OR($N526="ĐÃ GHÉP - AUTO",$N526="ĐÃ GHÉP - QUY TẮC"),IF($V526="","",IF($T526="THÙNG",$V526/$F526,$V526)),""),"")</x:f>
      </x:c>
      <x:c r="Y526" s="117" t="n">
        <x:f>IF(OR(W526="",F526=""),"",W526*F526)</x:f>
        <x:v>1080000</x:v>
      </x:c>
      <x:c r="Z526" s="59" t="str">
        <x:f>IFERROR(IF(OR($N526="ĐÃ GHÉP - AUTO",$N526="ĐÃ GHÉP - QUY TẮC"),IF($V526="","",IF($T526="THÙNG",$V526,$V526*$F526)),""),"")</x:f>
      </x:c>
      <x:c r="AA526" s="28" t="str">
        <x:f>IFERROR(IF(OR($K526="",$K526=0,$Y526=""),"",($Y526-$K526)/$K526),"")</x:f>
      </x:c>
      <x:c r="AB526" s="37" t="str">
        <x:f>IFERROR(IF($N526="CẦN DUYỆT","DUYỆT MAP",IF($N526="CHƯA CÓ GIÁ LẺ","THIẾU GIÁ",IF(OR($K526="",$K526=0,$Y526=""),"OK",IF(ABS(($Y526-$K526)/$K526)&gt;0.15,"LỆCH GIÁ CŨ","OK")))),"OK")</x:f>
        <x:v>OK</x:v>
      </x:c>
      <x:c r="AC526" s="30" t="str">
        <x:v>score=0.876; gap=0.122</x:v>
      </x:c>
      <x:c r="AD526" s="37" t="str">
        <x:v>COHTCD</x:v>
      </x:c>
      <x:c r="AE526" s="38" t="str">
        <x:v>COHTCDT</x:v>
      </x:c>
      <x:c r="AF526" s="123" t="n">
        <x:v>0</x:v>
      </x:c>
      <x:c r="AG526" s="112" t="str">
        <x:v>g</x:v>
      </x:c>
      <x:c r="AH526" s="112" t="str">
        <x:v>HỘP</x:v>
      </x:c>
      <x:c r="AI526" s="112" t="str">
        <x:v>0 g / HỘP</x:v>
      </x:c>
      <x:c r="AJ526" s="120" t="n">
        <x:v>36000</x:v>
      </x:c>
      <x:c r="AK526" s="120" t="n">
        <x:v>36000</x:v>
      </x:c>
      <x:c r="AL526" s="120" t="n">
        <x:v>36000</x:v>
      </x:c>
      <x:c r="AM526" s="112" t="str">
        <x:v>GIỮ NGUYÊN - ĐÃ KHỚP</x:v>
      </x:c>
      <x:c r="AN526" s="126" t="n">
        <x:v>1172</x:v>
      </x:c>
      <x:c r="AO526" s="126" t="n">
        <x:v>1173</x:v>
      </x:c>
      <x:c r="AP526" s="113" t="str">
        <x:v>30 HỘP / THÙNG</x:v>
      </x:c>
    </x:row>
    <x:row r="527">
      <x:c r="A527" s="71" t="str">
        <x:v>CARISA CHANH</x:v>
      </x:c>
      <x:c r="B527" s="30" t="str">
        <x:v>CARISA CHANH - THÙNG</x:v>
      </x:c>
      <x:c r="C527" s="37" t="str">
        <x:v>CRSCHA</x:v>
      </x:c>
      <x:c r="D527" s="37" t="str">
        <x:v>CRSCHAT</x:v>
      </x:c>
      <x:c r="E527" s="37" t="str">
        <x:v>CRSCHAT</x:v>
      </x:c>
      <x:c r="F527" s="37" t="n">
        <x:v>30</x:v>
      </x:c>
      <x:c r="G527" s="37" t="n">
        <x:v>0</x:v>
      </x:c>
      <x:c r="H527" s="37" t="str">
        <x:v>g</x:v>
      </x:c>
      <x:c r="I527" s="37" t="str">
        <x:v>THÙNG</x:v>
      </x:c>
      <x:c r="J527" s="59" t="n">
        <x:v>0</x:v>
      </x:c>
      <x:c r="K527" s="59" t="n">
        <x:v>0</x:v>
      </x:c>
      <x:c r="L527" s="59" t="n">
        <x:v>0</x:v>
      </x:c>
      <x:c r="M527" s="37" t="str">
        <x:v>Siro</x:v>
      </x:c>
      <x:c r="N527" s="37" t="str">
        <x:v>ĐÃ GHÉP - AUTO</x:v>
      </x:c>
      <x:c r="O527" s="61" t="n">
        <x:v>0.809</x:v>
      </x:c>
      <x:c r="P527" s="37" t="n">
        <x:v>14</x:v>
      </x:c>
      <x:c r="Q527" s="30" t="str">
        <x:v>Siro Carisa</x:v>
      </x:c>
      <x:c r="R527" s="30" t="str">
        <x:v>Thùng 24 chai</x:v>
      </x:c>
      <x:c r="S527" s="30" t="str">
        <x:v>Chai</x:v>
      </x:c>
      <x:c r="T527" s="37" t="str">
        <x:v>ĐƠN VỊ</x:v>
      </x:c>
      <x:c r="U527" s="59" t="n">
        <x:v>30000</x:v>
      </x:c>
      <x:c r="V527" s="59"/>
      <x:c r="W527" s="117" t="n">
        <x:v>30000</x:v>
      </x:c>
      <x:c r="X527" s="59" t="str">
        <x:f>IFERROR(IF(OR($N527="ĐÃ GHÉP - AUTO",$N527="ĐÃ GHÉP - QUY TẮC"),IF($V527="","",IF($T527="THÙNG",$V527/$F527,$V527)),""),"")</x:f>
      </x:c>
      <x:c r="Y527" s="117" t="n">
        <x:f>IF(OR(W527="",F527=""),"",W527*F527)</x:f>
        <x:v>900000</x:v>
      </x:c>
      <x:c r="Z527" s="59" t="str">
        <x:f>IFERROR(IF(OR($N527="ĐÃ GHÉP - AUTO",$N527="ĐÃ GHÉP - QUY TẮC"),IF($V527="","",IF($T527="THÙNG",$V527,$V527*$F527)),""),"")</x:f>
      </x:c>
      <x:c r="AA527" s="28" t="str">
        <x:f>IFERROR(IF(OR($K527="",$K527=0,$Y527=""),"",($Y527-$K527)/$K527),"")</x:f>
      </x:c>
      <x:c r="AB527" s="37" t="str">
        <x:f>IFERROR(IF($N527="CẦN DUYỆT","DUYỆT MAP",IF($N527="CHƯA CÓ GIÁ LẺ","THIẾU GIÁ",IF(OR($K527="",$K527=0,$Y527=""),"OK",IF(ABS(($Y527-$K527)/$K527)&gt;0.15,"LỆCH GIÁ CŨ","OK")))),"OK")</x:f>
        <x:v>OK</x:v>
      </x:c>
      <x:c r="AC527" s="30" t="str">
        <x:v>score=0.809; gap=0.758</x:v>
      </x:c>
      <x:c r="AD527" s="37" t="str">
        <x:v>CRSCHA</x:v>
      </x:c>
      <x:c r="AE527" s="38" t="str">
        <x:v>CRSCHAT</x:v>
      </x:c>
      <x:c r="AF527" s="123" t="n">
        <x:v>0</x:v>
      </x:c>
      <x:c r="AG527" s="112" t="str">
        <x:v>g</x:v>
      </x:c>
      <x:c r="AH527" s="112" t="str">
        <x:v>CHAI</x:v>
      </x:c>
      <x:c r="AI527" s="112" t="str">
        <x:v>0 g / CHAI</x:v>
      </x:c>
      <x:c r="AJ527" s="120" t="n">
        <x:v>0</x:v>
      </x:c>
      <x:c r="AK527" s="120" t="n">
        <x:v>30000</x:v>
      </x:c>
      <x:c r="AL527" s="120" t="n">
        <x:v>30000</x:v>
      </x:c>
      <x:c r="AM527" s="112" t="str">
        <x:v>DS SP GIÁ 0 - GIỮ GIÁ CŨ</x:v>
      </x:c>
      <x:c r="AN527" s="126" t="n">
        <x:v>1174</x:v>
      </x:c>
      <x:c r="AO527" s="126" t="n">
        <x:v>1175</x:v>
      </x:c>
      <x:c r="AP527" s="113" t="str">
        <x:v>30 CHAI / THÙNG</x:v>
      </x:c>
    </x:row>
    <x:row r="528">
      <x:c r="A528" s="71" t="str">
        <x:v>CARISA VIỆT QUỐC</x:v>
      </x:c>
      <x:c r="B528" s="30" t="str">
        <x:v>CARISA VIỆT QUỐC - THÙNG</x:v>
      </x:c>
      <x:c r="C528" s="37" t="str">
        <x:v>CRSVQU</x:v>
      </x:c>
      <x:c r="D528" s="37" t="str">
        <x:v>CRSVQUT</x:v>
      </x:c>
      <x:c r="E528" s="37" t="str">
        <x:v>CRSVQUT</x:v>
      </x:c>
      <x:c r="F528" s="37" t="n">
        <x:v>24</x:v>
      </x:c>
      <x:c r="G528" s="37" t="n">
        <x:v>0</x:v>
      </x:c>
      <x:c r="H528" s="37" t="str">
        <x:v>g</x:v>
      </x:c>
      <x:c r="I528" s="37" t="str">
        <x:v>THÙNG</x:v>
      </x:c>
      <x:c r="J528" s="59" t="n">
        <x:v>0</x:v>
      </x:c>
      <x:c r="K528" s="59" t="n">
        <x:v>0</x:v>
      </x:c>
      <x:c r="L528" s="59" t="n">
        <x:v>0</x:v>
      </x:c>
      <x:c r="M528" s="37" t="str">
        <x:v>Siro</x:v>
      </x:c>
      <x:c r="N528" s="37" t="str">
        <x:v>ĐÃ GHÉP - AUTO</x:v>
      </x:c>
      <x:c r="O528" s="61" t="n">
        <x:v>0.85</x:v>
      </x:c>
      <x:c r="P528" s="37" t="n">
        <x:v>14</x:v>
      </x:c>
      <x:c r="Q528" s="30" t="str">
        <x:v>Siro Carisa</x:v>
      </x:c>
      <x:c r="R528" s="30" t="str">
        <x:v>Thùng 24 chai</x:v>
      </x:c>
      <x:c r="S528" s="30" t="str">
        <x:v>Chai</x:v>
      </x:c>
      <x:c r="T528" s="37" t="str">
        <x:v>ĐƠN VỊ</x:v>
      </x:c>
      <x:c r="U528" s="59" t="n">
        <x:v>30000</x:v>
      </x:c>
      <x:c r="V528" s="59"/>
      <x:c r="W528" s="117" t="n">
        <x:v>30000</x:v>
      </x:c>
      <x:c r="X528" s="59" t="str">
        <x:f>IFERROR(IF(OR($N528="ĐÃ GHÉP - AUTO",$N528="ĐÃ GHÉP - QUY TẮC"),IF($V528="","",IF($T528="THÙNG",$V528/$F528,$V528)),""),"")</x:f>
      </x:c>
      <x:c r="Y528" s="117" t="n">
        <x:f>IF(OR(W528="",F528=""),"",W528*F528)</x:f>
        <x:v>720000</x:v>
      </x:c>
      <x:c r="Z528" s="59" t="str">
        <x:f>IFERROR(IF(OR($N528="ĐÃ GHÉP - AUTO",$N528="ĐÃ GHÉP - QUY TẮC"),IF($V528="","",IF($T528="THÙNG",$V528,$V528*$F528)),""),"")</x:f>
      </x:c>
      <x:c r="AA528" s="28" t="str">
        <x:f>IFERROR(IF(OR($K528="",$K528=0,$Y528=""),"",($Y528-$K528)/$K528),"")</x:f>
      </x:c>
      <x:c r="AB528" s="37" t="str">
        <x:f>IFERROR(IF($N528="CẦN DUYỆT","DUYỆT MAP",IF($N528="CHƯA CÓ GIÁ LẺ","THIẾU GIÁ",IF(OR($K528="",$K528=0,$Y528=""),"OK",IF(ABS(($Y528-$K528)/$K528)&gt;0.15,"LỆCH GIÁ CŨ","OK")))),"OK")</x:f>
        <x:v>OK</x:v>
      </x:c>
      <x:c r="AC528" s="30" t="str">
        <x:v>score=0.850; gap=0.804</x:v>
      </x:c>
      <x:c r="AD528" s="37" t="str">
        <x:v>CRSVQU</x:v>
      </x:c>
      <x:c r="AE528" s="38" t="str">
        <x:v>CRSVQUT</x:v>
      </x:c>
      <x:c r="AF528" s="123" t="n">
        <x:v>0</x:v>
      </x:c>
      <x:c r="AG528" s="112" t="str">
        <x:v>g</x:v>
      </x:c>
      <x:c r="AH528" s="112" t="str">
        <x:v>CHAI</x:v>
      </x:c>
      <x:c r="AI528" s="112" t="str">
        <x:v>0 g / CHAI</x:v>
      </x:c>
      <x:c r="AJ528" s="120" t="n">
        <x:v>30000</x:v>
      </x:c>
      <x:c r="AK528" s="120" t="n">
        <x:v>30000</x:v>
      </x:c>
      <x:c r="AL528" s="120" t="n">
        <x:v>30000</x:v>
      </x:c>
      <x:c r="AM528" s="112" t="str">
        <x:v>GIỮ NGUYÊN - ĐÃ KHỚP</x:v>
      </x:c>
      <x:c r="AN528" s="126" t="n">
        <x:v>1176</x:v>
      </x:c>
      <x:c r="AO528" s="126" t="n">
        <x:v>1177</x:v>
      </x:c>
      <x:c r="AP528" s="113" t="str">
        <x:v>24 CHAI / THÙNG</x:v>
      </x:c>
    </x:row>
    <x:row r="529">
      <x:c r="A529" s="71" t="str">
        <x:v>CARISA VẢI</x:v>
      </x:c>
      <x:c r="B529" s="30" t="str">
        <x:v>CARISA VẢI - THÙNG</x:v>
      </x:c>
      <x:c r="C529" s="37" t="str">
        <x:v>CRSVAI</x:v>
      </x:c>
      <x:c r="D529" s="37" t="str">
        <x:v>CRSVAIT</x:v>
      </x:c>
      <x:c r="E529" s="37" t="str">
        <x:v>CRSVAIT</x:v>
      </x:c>
      <x:c r="F529" s="37" t="n">
        <x:v>24</x:v>
      </x:c>
      <x:c r="G529" s="37" t="n">
        <x:v>0</x:v>
      </x:c>
      <x:c r="H529" s="37" t="str">
        <x:v>g</x:v>
      </x:c>
      <x:c r="I529" s="37" t="str">
        <x:v>THÙNG</x:v>
      </x:c>
      <x:c r="J529" s="59" t="n">
        <x:v>0</x:v>
      </x:c>
      <x:c r="K529" s="59" t="n">
        <x:v>0</x:v>
      </x:c>
      <x:c r="L529" s="59" t="n">
        <x:v>0</x:v>
      </x:c>
      <x:c r="M529" s="37" t="str">
        <x:v>Siro</x:v>
      </x:c>
      <x:c r="N529" s="37" t="str">
        <x:v>ĐÃ GHÉP - AUTO</x:v>
      </x:c>
      <x:c r="O529" s="61" t="n">
        <x:v>0.879</x:v>
      </x:c>
      <x:c r="P529" s="37" t="n">
        <x:v>14</x:v>
      </x:c>
      <x:c r="Q529" s="30" t="str">
        <x:v>Siro Carisa</x:v>
      </x:c>
      <x:c r="R529" s="30" t="str">
        <x:v>Thùng 24 chai</x:v>
      </x:c>
      <x:c r="S529" s="30" t="str">
        <x:v>Chai</x:v>
      </x:c>
      <x:c r="T529" s="37" t="str">
        <x:v>ĐƠN VỊ</x:v>
      </x:c>
      <x:c r="U529" s="59" t="n">
        <x:v>30000</x:v>
      </x:c>
      <x:c r="V529" s="59"/>
      <x:c r="W529" s="117" t="n">
        <x:v>30000</x:v>
      </x:c>
      <x:c r="X529" s="59" t="str">
        <x:f>IFERROR(IF(OR($N529="ĐÃ GHÉP - AUTO",$N529="ĐÃ GHÉP - QUY TẮC"),IF($V529="","",IF($T529="THÙNG",$V529/$F529,$V529)),""),"")</x:f>
      </x:c>
      <x:c r="Y529" s="117" t="n">
        <x:f>IF(OR(W529="",F529=""),"",W529*F529)</x:f>
        <x:v>720000</x:v>
      </x:c>
      <x:c r="Z529" s="59" t="str">
        <x:f>IFERROR(IF(OR($N529="ĐÃ GHÉP - AUTO",$N529="ĐÃ GHÉP - QUY TẮC"),IF($V529="","",IF($T529="THÙNG",$V529,$V529*$F529)),""),"")</x:f>
      </x:c>
      <x:c r="AA529" s="28" t="str">
        <x:f>IFERROR(IF(OR($K529="",$K529=0,$Y529=""),"",($Y529-$K529)/$K529),"")</x:f>
      </x:c>
      <x:c r="AB529" s="37" t="str">
        <x:f>IFERROR(IF($N529="CẦN DUYỆT","DUYỆT MAP",IF($N529="CHƯA CÓ GIÁ LẺ","THIẾU GIÁ",IF(OR($K529="",$K529=0,$Y529=""),"OK",IF(ABS(($Y529-$K529)/$K529)&gt;0.15,"LỆCH GIÁ CŨ","OK")))),"OK")</x:f>
        <x:v>OK</x:v>
      </x:c>
      <x:c r="AC529" s="30" t="str">
        <x:v>score=0.879; gap=0.823</x:v>
      </x:c>
      <x:c r="AD529" s="37" t="str">
        <x:v>CRSVAI</x:v>
      </x:c>
      <x:c r="AE529" s="38" t="str">
        <x:v>CRSVAIT</x:v>
      </x:c>
      <x:c r="AF529" s="123" t="n">
        <x:v>0</x:v>
      </x:c>
      <x:c r="AG529" s="112" t="str">
        <x:v>g</x:v>
      </x:c>
      <x:c r="AH529" s="112" t="str">
        <x:v>CHAI</x:v>
      </x:c>
      <x:c r="AI529" s="112" t="str">
        <x:v>0 g / CHAI</x:v>
      </x:c>
      <x:c r="AJ529" s="120" t="n">
        <x:v>30000</x:v>
      </x:c>
      <x:c r="AK529" s="120" t="n">
        <x:v>30000</x:v>
      </x:c>
      <x:c r="AL529" s="120" t="n">
        <x:v>30000</x:v>
      </x:c>
      <x:c r="AM529" s="112" t="str">
        <x:v>GIỮ NGUYÊN - ĐÃ KHỚP</x:v>
      </x:c>
      <x:c r="AN529" s="126" t="n">
        <x:v>1178</x:v>
      </x:c>
      <x:c r="AO529" s="126" t="n">
        <x:v>1179</x:v>
      </x:c>
      <x:c r="AP529" s="113" t="str">
        <x:v>24 CHAI / THÙNG</x:v>
      </x:c>
    </x:row>
    <x:row r="530">
      <x:c r="A530" s="71" t="str">
        <x:v>CARISA SÂM DỨA</x:v>
      </x:c>
      <x:c r="B530" s="30" t="str">
        <x:v>CARISA SÂM DỨA - THÙNG</x:v>
      </x:c>
      <x:c r="C530" s="37" t="str">
        <x:v>CRSSDU</x:v>
      </x:c>
      <x:c r="D530" s="37" t="str">
        <x:v>CRSSDUT</x:v>
      </x:c>
      <x:c r="E530" s="37" t="str">
        <x:v>CRSSDUT</x:v>
      </x:c>
      <x:c r="F530" s="37" t="n">
        <x:v>24</x:v>
      </x:c>
      <x:c r="G530" s="37" t="n">
        <x:v>0</x:v>
      </x:c>
      <x:c r="H530" s="37" t="str">
        <x:v>g</x:v>
      </x:c>
      <x:c r="I530" s="37" t="str">
        <x:v>THÙNG</x:v>
      </x:c>
      <x:c r="J530" s="59" t="n">
        <x:v>0</x:v>
      </x:c>
      <x:c r="K530" s="59" t="n">
        <x:v>0</x:v>
      </x:c>
      <x:c r="L530" s="59" t="n">
        <x:v>0</x:v>
      </x:c>
      <x:c r="M530" s="37" t="str">
        <x:v>Siro</x:v>
      </x:c>
      <x:c r="N530" s="37" t="str">
        <x:v>ĐÃ GHÉP - AUTO</x:v>
      </x:c>
      <x:c r="O530" s="61" t="n">
        <x:v>0.85</x:v>
      </x:c>
      <x:c r="P530" s="37" t="n">
        <x:v>14</x:v>
      </x:c>
      <x:c r="Q530" s="30" t="str">
        <x:v>Siro Carisa</x:v>
      </x:c>
      <x:c r="R530" s="30" t="str">
        <x:v>Thùng 24 chai</x:v>
      </x:c>
      <x:c r="S530" s="30" t="str">
        <x:v>Chai</x:v>
      </x:c>
      <x:c r="T530" s="37" t="str">
        <x:v>ĐƠN VỊ</x:v>
      </x:c>
      <x:c r="U530" s="59" t="n">
        <x:v>30000</x:v>
      </x:c>
      <x:c r="V530" s="59"/>
      <x:c r="W530" s="117" t="n">
        <x:v>30000</x:v>
      </x:c>
      <x:c r="X530" s="59" t="str">
        <x:f>IFERROR(IF(OR($N530="ĐÃ GHÉP - AUTO",$N530="ĐÃ GHÉP - QUY TẮC"),IF($V530="","",IF($T530="THÙNG",$V530/$F530,$V530)),""),"")</x:f>
      </x:c>
      <x:c r="Y530" s="117" t="n">
        <x:f>IF(OR(W530="",F530=""),"",W530*F530)</x:f>
        <x:v>720000</x:v>
      </x:c>
      <x:c r="Z530" s="59" t="str">
        <x:f>IFERROR(IF(OR($N530="ĐÃ GHÉP - AUTO",$N530="ĐÃ GHÉP - QUY TẮC"),IF($V530="","",IF($T530="THÙNG",$V530,$V530*$F530)),""),"")</x:f>
      </x:c>
      <x:c r="AA530" s="28" t="str">
        <x:f>IFERROR(IF(OR($K530="",$K530=0,$Y530=""),"",($Y530-$K530)/$K530),"")</x:f>
      </x:c>
      <x:c r="AB530" s="37" t="str">
        <x:f>IFERROR(IF($N530="CẦN DUYỆT","DUYỆT MAP",IF($N530="CHƯA CÓ GIÁ LẺ","THIẾU GIÁ",IF(OR($K530="",$K530=0,$Y530=""),"OK",IF(ABS(($Y530-$K530)/$K530)&gt;0.15,"LỆCH GIÁ CŨ","OK")))),"OK")</x:f>
        <x:v>OK</x:v>
      </x:c>
      <x:c r="AC530" s="30" t="str">
        <x:v>score=0.850; gap=0.213</x:v>
      </x:c>
      <x:c r="AD530" s="37" t="str">
        <x:v>CRSSDU</x:v>
      </x:c>
      <x:c r="AE530" s="38" t="str">
        <x:v>CRSSDUT</x:v>
      </x:c>
      <x:c r="AF530" s="123" t="n">
        <x:v>0</x:v>
      </x:c>
      <x:c r="AG530" s="112" t="str">
        <x:v>g</x:v>
      </x:c>
      <x:c r="AH530" s="112" t="str">
        <x:v>CHAI</x:v>
      </x:c>
      <x:c r="AI530" s="112" t="str">
        <x:v>0 g / CHAI</x:v>
      </x:c>
      <x:c r="AJ530" s="120" t="n">
        <x:v>30000</x:v>
      </x:c>
      <x:c r="AK530" s="120" t="n">
        <x:v>30000</x:v>
      </x:c>
      <x:c r="AL530" s="120" t="n">
        <x:v>30000</x:v>
      </x:c>
      <x:c r="AM530" s="112" t="str">
        <x:v>GIỮ NGUYÊN - ĐÃ KHỚP</x:v>
      </x:c>
      <x:c r="AN530" s="126" t="n">
        <x:v>1180</x:v>
      </x:c>
      <x:c r="AO530" s="126" t="n">
        <x:v>1181</x:v>
      </x:c>
      <x:c r="AP530" s="113" t="str">
        <x:v>24 CHAI / THÙNG</x:v>
      </x:c>
    </x:row>
    <x:row r="531">
      <x:c r="A531" s="71" t="str">
        <x:v>CARISA ỔI</x:v>
      </x:c>
      <x:c r="B531" s="30" t="str">
        <x:v>CARISA ỔI - THÙNG</x:v>
      </x:c>
      <x:c r="C531" s="37" t="str">
        <x:v>CRSOIH</x:v>
      </x:c>
      <x:c r="D531" s="37" t="str">
        <x:v>CRSOIHT</x:v>
      </x:c>
      <x:c r="E531" s="37" t="str">
        <x:v>CRSOIHT</x:v>
      </x:c>
      <x:c r="F531" s="37" t="n">
        <x:v>24</x:v>
      </x:c>
      <x:c r="G531" s="37" t="n">
        <x:v>0</x:v>
      </x:c>
      <x:c r="H531" s="37" t="str">
        <x:v>g</x:v>
      </x:c>
      <x:c r="I531" s="37" t="str">
        <x:v>THÙNG</x:v>
      </x:c>
      <x:c r="J531" s="59" t="n">
        <x:v>0</x:v>
      </x:c>
      <x:c r="K531" s="59" t="n">
        <x:v>0</x:v>
      </x:c>
      <x:c r="L531" s="59" t="n">
        <x:v>0</x:v>
      </x:c>
      <x:c r="M531" s="37" t="str">
        <x:v>Siro</x:v>
      </x:c>
      <x:c r="N531" s="37" t="str">
        <x:v>ĐÃ GHÉP - AUTO</x:v>
      </x:c>
      <x:c r="O531" s="61" t="n">
        <x:v>0.873</x:v>
      </x:c>
      <x:c r="P531" s="37" t="n">
        <x:v>14</x:v>
      </x:c>
      <x:c r="Q531" s="30" t="str">
        <x:v>Siro Carisa</x:v>
      </x:c>
      <x:c r="R531" s="30" t="str">
        <x:v>Thùng 24 chai</x:v>
      </x:c>
      <x:c r="S531" s="30" t="str">
        <x:v>Chai</x:v>
      </x:c>
      <x:c r="T531" s="37" t="str">
        <x:v>ĐƠN VỊ</x:v>
      </x:c>
      <x:c r="U531" s="59" t="n">
        <x:v>30000</x:v>
      </x:c>
      <x:c r="V531" s="59"/>
      <x:c r="W531" s="117" t="n">
        <x:v>30000</x:v>
      </x:c>
      <x:c r="X531" s="59" t="str">
        <x:f>IFERROR(IF(OR($N531="ĐÃ GHÉP - AUTO",$N531="ĐÃ GHÉP - QUY TẮC"),IF($V531="","",IF($T531="THÙNG",$V531/$F531,$V531)),""),"")</x:f>
      </x:c>
      <x:c r="Y531" s="117" t="n">
        <x:f>IF(OR(W531="",F531=""),"",W531*F531)</x:f>
        <x:v>720000</x:v>
      </x:c>
      <x:c r="Z531" s="59" t="str">
        <x:f>IFERROR(IF(OR($N531="ĐÃ GHÉP - AUTO",$N531="ĐÃ GHÉP - QUY TẮC"),IF($V531="","",IF($T531="THÙNG",$V531,$V531*$F531)),""),"")</x:f>
      </x:c>
      <x:c r="AA531" s="28" t="str">
        <x:f>IFERROR(IF(OR($K531="",$K531=0,$Y531=""),"",($Y531-$K531)/$K531),"")</x:f>
      </x:c>
      <x:c r="AB531" s="37" t="str">
        <x:f>IFERROR(IF($N531="CẦN DUYỆT","DUYỆT MAP",IF($N531="CHƯA CÓ GIÁ LẺ","THIẾU GIÁ",IF(OR($K531="",$K531=0,$Y531=""),"OK",IF(ABS(($Y531-$K531)/$K531)&gt;0.15,"LỆCH GIÁ CŨ","OK")))),"OK")</x:f>
        <x:v>OK</x:v>
      </x:c>
      <x:c r="AC531" s="30" t="str">
        <x:v>score=0.873; gap=0.823</x:v>
      </x:c>
      <x:c r="AD531" s="37" t="str">
        <x:v>CRSOIH</x:v>
      </x:c>
      <x:c r="AE531" s="38" t="str">
        <x:v>CRSOIHT</x:v>
      </x:c>
      <x:c r="AF531" s="123" t="n">
        <x:v>0</x:v>
      </x:c>
      <x:c r="AG531" s="112" t="str">
        <x:v>g</x:v>
      </x:c>
      <x:c r="AH531" s="112" t="str">
        <x:v>CHAI</x:v>
      </x:c>
      <x:c r="AI531" s="112" t="str">
        <x:v>0 g / CHAI</x:v>
      </x:c>
      <x:c r="AJ531" s="120" t="n">
        <x:v>30000</x:v>
      </x:c>
      <x:c r="AK531" s="120" t="n">
        <x:v>30000</x:v>
      </x:c>
      <x:c r="AL531" s="120" t="n">
        <x:v>30000</x:v>
      </x:c>
      <x:c r="AM531" s="112" t="str">
        <x:v>GIỮ NGUYÊN - ĐÃ KHỚP</x:v>
      </x:c>
      <x:c r="AN531" s="126" t="n">
        <x:v>1182</x:v>
      </x:c>
      <x:c r="AO531" s="126" t="n">
        <x:v>1183</x:v>
      </x:c>
      <x:c r="AP531" s="113" t="str">
        <x:v>24 CHAI / THÙNG</x:v>
      </x:c>
    </x:row>
    <x:row r="532">
      <x:c r="A532" s="71" t="str">
        <x:v>CARISA MÔN</x:v>
      </x:c>
      <x:c r="B532" s="30" t="str">
        <x:v>CARISA MÔN - THÙNG</x:v>
      </x:c>
      <x:c r="C532" s="37" t="str">
        <x:v>CRSMON</x:v>
      </x:c>
      <x:c r="D532" s="37" t="str">
        <x:v>CRSMONT</x:v>
      </x:c>
      <x:c r="E532" s="37" t="str">
        <x:v>CRSMONT</x:v>
      </x:c>
      <x:c r="F532" s="37" t="n">
        <x:v>24</x:v>
      </x:c>
      <x:c r="G532" s="37" t="n">
        <x:v>0</x:v>
      </x:c>
      <x:c r="H532" s="37" t="str">
        <x:v>g</x:v>
      </x:c>
      <x:c r="I532" s="37" t="str">
        <x:v>THÙNG</x:v>
      </x:c>
      <x:c r="J532" s="59" t="n">
        <x:v>0</x:v>
      </x:c>
      <x:c r="K532" s="59" t="n">
        <x:v>0</x:v>
      </x:c>
      <x:c r="L532" s="59" t="n">
        <x:v>0</x:v>
      </x:c>
      <x:c r="M532" s="37" t="str">
        <x:v>Siro</x:v>
      </x:c>
      <x:c r="N532" s="37" t="str">
        <x:v>ĐÃ GHÉP - AUTO</x:v>
      </x:c>
      <x:c r="O532" s="61" t="n">
        <x:v>0.872</x:v>
      </x:c>
      <x:c r="P532" s="37" t="n">
        <x:v>14</x:v>
      </x:c>
      <x:c r="Q532" s="30" t="str">
        <x:v>Siro Carisa</x:v>
      </x:c>
      <x:c r="R532" s="30" t="str">
        <x:v>Thùng 24 chai</x:v>
      </x:c>
      <x:c r="S532" s="30" t="str">
        <x:v>Chai</x:v>
      </x:c>
      <x:c r="T532" s="37" t="str">
        <x:v>ĐƠN VỊ</x:v>
      </x:c>
      <x:c r="U532" s="59" t="n">
        <x:v>30000</x:v>
      </x:c>
      <x:c r="V532" s="59"/>
      <x:c r="W532" s="117" t="n">
        <x:v>30000</x:v>
      </x:c>
      <x:c r="X532" s="59" t="str">
        <x:f>IFERROR(IF(OR($N532="ĐÃ GHÉP - AUTO",$N532="ĐÃ GHÉP - QUY TẮC"),IF($V532="","",IF($T532="THÙNG",$V532/$F532,$V532)),""),"")</x:f>
      </x:c>
      <x:c r="Y532" s="117" t="n">
        <x:f>IF(OR(W532="",F532=""),"",W532*F532)</x:f>
        <x:v>720000</x:v>
      </x:c>
      <x:c r="Z532" s="59" t="str">
        <x:f>IFERROR(IF(OR($N532="ĐÃ GHÉP - AUTO",$N532="ĐÃ GHÉP - QUY TẮC"),IF($V532="","",IF($T532="THÙNG",$V532,$V532*$F532)),""),"")</x:f>
      </x:c>
      <x:c r="AA532" s="28" t="str">
        <x:f>IFERROR(IF(OR($K532="",$K532=0,$Y532=""),"",($Y532-$K532)/$K532),"")</x:f>
      </x:c>
      <x:c r="AB532" s="37" t="str">
        <x:f>IFERROR(IF($N532="CẦN DUYỆT","DUYỆT MAP",IF($N532="CHƯA CÓ GIÁ LẺ","THIẾU GIÁ",IF(OR($K532="",$K532=0,$Y532=""),"OK",IF(ABS(($Y532-$K532)/$K532)&gt;0.15,"LỆCH GIÁ CŨ","OK")))),"OK")</x:f>
        <x:v>OK</x:v>
      </x:c>
      <x:c r="AC532" s="30" t="str">
        <x:v>score=0.872; gap=0.824</x:v>
      </x:c>
      <x:c r="AD532" s="37" t="str">
        <x:v>CRSMON</x:v>
      </x:c>
      <x:c r="AE532" s="38" t="str">
        <x:v>CRSMONT</x:v>
      </x:c>
      <x:c r="AF532" s="123" t="n">
        <x:v>0</x:v>
      </x:c>
      <x:c r="AG532" s="112" t="str">
        <x:v>g</x:v>
      </x:c>
      <x:c r="AH532" s="112" t="str">
        <x:v>CHAI</x:v>
      </x:c>
      <x:c r="AI532" s="112" t="str">
        <x:v>0 g / CHAI</x:v>
      </x:c>
      <x:c r="AJ532" s="120" t="n">
        <x:v>30000</x:v>
      </x:c>
      <x:c r="AK532" s="120" t="n">
        <x:v>30000</x:v>
      </x:c>
      <x:c r="AL532" s="120" t="n">
        <x:v>30000</x:v>
      </x:c>
      <x:c r="AM532" s="112" t="str">
        <x:v>GIỮ NGUYÊN - ĐÃ KHỚP</x:v>
      </x:c>
      <x:c r="AN532" s="126" t="n">
        <x:v>1184</x:v>
      </x:c>
      <x:c r="AO532" s="126" t="n">
        <x:v>1185</x:v>
      </x:c>
      <x:c r="AP532" s="113" t="str">
        <x:v>24 CHAI / THÙNG</x:v>
      </x:c>
    </x:row>
    <x:row r="533">
      <x:c r="A533" s="71" t="str">
        <x:v>CARISA ME</x:v>
      </x:c>
      <x:c r="B533" s="30" t="str">
        <x:v>CARISA ME - THÙNG</x:v>
      </x:c>
      <x:c r="C533" s="37" t="str">
        <x:v>CRSMEE</x:v>
      </x:c>
      <x:c r="D533" s="37" t="str">
        <x:v>CRSMEET</x:v>
      </x:c>
      <x:c r="E533" s="37" t="str">
        <x:v>CRSMEET</x:v>
      </x:c>
      <x:c r="F533" s="37" t="n">
        <x:v>24</x:v>
      </x:c>
      <x:c r="G533" s="37" t="n">
        <x:v>0</x:v>
      </x:c>
      <x:c r="H533" s="37" t="str">
        <x:v>g</x:v>
      </x:c>
      <x:c r="I533" s="37" t="str">
        <x:v>THÙNG</x:v>
      </x:c>
      <x:c r="J533" s="59" t="n">
        <x:v>0</x:v>
      </x:c>
      <x:c r="K533" s="59" t="n">
        <x:v>0</x:v>
      </x:c>
      <x:c r="L533" s="59" t="n">
        <x:v>0</x:v>
      </x:c>
      <x:c r="M533" s="37" t="str">
        <x:v>Siro</x:v>
      </x:c>
      <x:c r="N533" s="37" t="str">
        <x:v>ĐÃ GHÉP - AUTO</x:v>
      </x:c>
      <x:c r="O533" s="61" t="n">
        <x:v>0.861</x:v>
      </x:c>
      <x:c r="P533" s="37" t="n">
        <x:v>14</x:v>
      </x:c>
      <x:c r="Q533" s="30" t="str">
        <x:v>Siro Carisa</x:v>
      </x:c>
      <x:c r="R533" s="30" t="str">
        <x:v>Thùng 24 chai</x:v>
      </x:c>
      <x:c r="S533" s="30" t="str">
        <x:v>Chai</x:v>
      </x:c>
      <x:c r="T533" s="37" t="str">
        <x:v>ĐƠN VỊ</x:v>
      </x:c>
      <x:c r="U533" s="59" t="n">
        <x:v>30000</x:v>
      </x:c>
      <x:c r="V533" s="59"/>
      <x:c r="W533" s="117" t="n">
        <x:v>30000</x:v>
      </x:c>
      <x:c r="X533" s="59" t="str">
        <x:f>IFERROR(IF(OR($N533="ĐÃ GHÉP - AUTO",$N533="ĐÃ GHÉP - QUY TẮC"),IF($V533="","",IF($T533="THÙNG",$V533/$F533,$V533)),""),"")</x:f>
      </x:c>
      <x:c r="Y533" s="117" t="n">
        <x:f>IF(OR(W533="",F533=""),"",W533*F533)</x:f>
        <x:v>720000</x:v>
      </x:c>
      <x:c r="Z533" s="59" t="str">
        <x:f>IFERROR(IF(OR($N533="ĐÃ GHÉP - AUTO",$N533="ĐÃ GHÉP - QUY TẮC"),IF($V533="","",IF($T533="THÙNG",$V533,$V533*$F533)),""),"")</x:f>
      </x:c>
      <x:c r="AA533" s="28" t="str">
        <x:f>IFERROR(IF(OR($K533="",$K533=0,$Y533=""),"",($Y533-$K533)/$K533),"")</x:f>
      </x:c>
      <x:c r="AB533" s="37" t="str">
        <x:f>IFERROR(IF($N533="CẦN DUYỆT","DUYỆT MAP",IF($N533="CHƯA CÓ GIÁ LẺ","THIẾU GIÁ",IF(OR($K533="",$K533=0,$Y533=""),"OK",IF(ABS(($Y533-$K533)/$K533)&gt;0.15,"LỆCH GIÁ CŨ","OK")))),"OK")</x:f>
        <x:v>OK</x:v>
      </x:c>
      <x:c r="AC533" s="30" t="str">
        <x:v>score=0.861; gap=0.819</x:v>
      </x:c>
      <x:c r="AD533" s="37" t="str">
        <x:v>CRSMEE</x:v>
      </x:c>
      <x:c r="AE533" s="38" t="str">
        <x:v>CRSMEET</x:v>
      </x:c>
      <x:c r="AF533" s="123" t="n">
        <x:v>0</x:v>
      </x:c>
      <x:c r="AG533" s="112" t="str">
        <x:v>g</x:v>
      </x:c>
      <x:c r="AH533" s="112" t="str">
        <x:v>CHAI</x:v>
      </x:c>
      <x:c r="AI533" s="112" t="str">
        <x:v>0 g / CHAI</x:v>
      </x:c>
      <x:c r="AJ533" s="120" t="n">
        <x:v>30000</x:v>
      </x:c>
      <x:c r="AK533" s="120" t="n">
        <x:v>30000</x:v>
      </x:c>
      <x:c r="AL533" s="120" t="n">
        <x:v>30000</x:v>
      </x:c>
      <x:c r="AM533" s="112" t="str">
        <x:v>GIỮ NGUYÊN - ĐÃ KHỚP</x:v>
      </x:c>
      <x:c r="AN533" s="126" t="n">
        <x:v>1186</x:v>
      </x:c>
      <x:c r="AO533" s="126" t="n">
        <x:v>1187</x:v>
      </x:c>
      <x:c r="AP533" s="113" t="str">
        <x:v>24 CHAI / THÙNG</x:v>
      </x:c>
    </x:row>
    <x:row r="534">
      <x:c r="A534" s="71" t="str">
        <x:v>CARISA ĐÀO</x:v>
      </x:c>
      <x:c r="B534" s="30" t="str">
        <x:v>CARISA ĐÀO - THÙNG</x:v>
      </x:c>
      <x:c r="C534" s="37" t="str">
        <x:v>CRSDAO</x:v>
      </x:c>
      <x:c r="D534" s="37" t="str">
        <x:v>CRSDAOT</x:v>
      </x:c>
      <x:c r="E534" s="37" t="str">
        <x:v>CRSDAOT</x:v>
      </x:c>
      <x:c r="F534" s="37" t="n">
        <x:v>24</x:v>
      </x:c>
      <x:c r="G534" s="37" t="n">
        <x:v>0</x:v>
      </x:c>
      <x:c r="H534" s="37" t="str">
        <x:v>g</x:v>
      </x:c>
      <x:c r="I534" s="37" t="str">
        <x:v>THÙNG</x:v>
      </x:c>
      <x:c r="J534" s="59" t="n">
        <x:v>0</x:v>
      </x:c>
      <x:c r="K534" s="59" t="n">
        <x:v>0</x:v>
      </x:c>
      <x:c r="L534" s="59" t="n">
        <x:v>0</x:v>
      </x:c>
      <x:c r="M534" s="37" t="str">
        <x:v>Siro</x:v>
      </x:c>
      <x:c r="N534" s="37" t="str">
        <x:v>ĐÃ GHÉP - AUTO</x:v>
      </x:c>
      <x:c r="O534" s="61" t="n">
        <x:v>0.88</x:v>
      </x:c>
      <x:c r="P534" s="37" t="n">
        <x:v>14</x:v>
      </x:c>
      <x:c r="Q534" s="30" t="str">
        <x:v>Siro Carisa</x:v>
      </x:c>
      <x:c r="R534" s="30" t="str">
        <x:v>Thùng 24 chai</x:v>
      </x:c>
      <x:c r="S534" s="30" t="str">
        <x:v>Chai</x:v>
      </x:c>
      <x:c r="T534" s="37" t="str">
        <x:v>ĐƠN VỊ</x:v>
      </x:c>
      <x:c r="U534" s="59" t="n">
        <x:v>30000</x:v>
      </x:c>
      <x:c r="V534" s="59"/>
      <x:c r="W534" s="117" t="n">
        <x:v>30000</x:v>
      </x:c>
      <x:c r="X534" s="59" t="str">
        <x:f>IFERROR(IF(OR($N534="ĐÃ GHÉP - AUTO",$N534="ĐÃ GHÉP - QUY TẮC"),IF($V534="","",IF($T534="THÙNG",$V534/$F534,$V534)),""),"")</x:f>
      </x:c>
      <x:c r="Y534" s="117" t="n">
        <x:f>IF(OR(W534="",F534=""),"",W534*F534)</x:f>
        <x:v>720000</x:v>
      </x:c>
      <x:c r="Z534" s="59" t="str">
        <x:f>IFERROR(IF(OR($N534="ĐÃ GHÉP - AUTO",$N534="ĐÃ GHÉP - QUY TẮC"),IF($V534="","",IF($T534="THÙNG",$V534,$V534*$F534)),""),"")</x:f>
      </x:c>
      <x:c r="AA534" s="28" t="str">
        <x:f>IFERROR(IF(OR($K534="",$K534=0,$Y534=""),"",($Y534-$K534)/$K534),"")</x:f>
      </x:c>
      <x:c r="AB534" s="37" t="str">
        <x:f>IFERROR(IF($N534="CẦN DUYỆT","DUYỆT MAP",IF($N534="CHƯA CÓ GIÁ LẺ","THIẾU GIÁ",IF(OR($K534="",$K534=0,$Y534=""),"OK",IF(ABS(($Y534-$K534)/$K534)&gt;0.15,"LỆCH GIÁ CŨ","OK")))),"OK")</x:f>
        <x:v>OK</x:v>
      </x:c>
      <x:c r="AC534" s="30" t="str">
        <x:v>score=0.880; gap=0.616</x:v>
      </x:c>
      <x:c r="AD534" s="37" t="str">
        <x:v>CRSDAO</x:v>
      </x:c>
      <x:c r="AE534" s="38" t="str">
        <x:v>CRSDAOT</x:v>
      </x:c>
      <x:c r="AF534" s="123" t="n">
        <x:v>0</x:v>
      </x:c>
      <x:c r="AG534" s="112" t="str">
        <x:v>g</x:v>
      </x:c>
      <x:c r="AH534" s="112" t="str">
        <x:v>CHAI</x:v>
      </x:c>
      <x:c r="AI534" s="112" t="str">
        <x:v>0 g / CHAI</x:v>
      </x:c>
      <x:c r="AJ534" s="120" t="n">
        <x:v>30000</x:v>
      </x:c>
      <x:c r="AK534" s="120" t="n">
        <x:v>30000</x:v>
      </x:c>
      <x:c r="AL534" s="120" t="n">
        <x:v>30000</x:v>
      </x:c>
      <x:c r="AM534" s="112" t="str">
        <x:v>GIỮ NGUYÊN - ĐÃ KHỚP</x:v>
      </x:c>
      <x:c r="AN534" s="126" t="n">
        <x:v>1188</x:v>
      </x:c>
      <x:c r="AO534" s="126" t="n">
        <x:v>1189</x:v>
      </x:c>
      <x:c r="AP534" s="113" t="str">
        <x:v>24 CHAI / THÙNG</x:v>
      </x:c>
    </x:row>
    <x:row r="535">
      <x:c r="A535" s="71" t="str">
        <x:v>CARISA DƯA LƯỚI</x:v>
      </x:c>
      <x:c r="B535" s="30" t="str">
        <x:v>CARISA DƯA LƯỚI - THÙNG</x:v>
      </x:c>
      <x:c r="C535" s="37" t="str">
        <x:v>CRSDLU</x:v>
      </x:c>
      <x:c r="D535" s="37" t="str">
        <x:v>CRSDLUT</x:v>
      </x:c>
      <x:c r="E535" s="37" t="str">
        <x:v>CRSDLUT</x:v>
      </x:c>
      <x:c r="F535" s="37" t="n">
        <x:v>24</x:v>
      </x:c>
      <x:c r="G535" s="37" t="n">
        <x:v>0</x:v>
      </x:c>
      <x:c r="H535" s="37" t="str">
        <x:v>g</x:v>
      </x:c>
      <x:c r="I535" s="37" t="str">
        <x:v>THÙNG</x:v>
      </x:c>
      <x:c r="J535" s="59" t="n">
        <x:v>0</x:v>
      </x:c>
      <x:c r="K535" s="59" t="n">
        <x:v>0</x:v>
      </x:c>
      <x:c r="L535" s="59" t="n">
        <x:v>0</x:v>
      </x:c>
      <x:c r="M535" s="37" t="str">
        <x:v>Siro</x:v>
      </x:c>
      <x:c r="N535" s="37" t="str">
        <x:v>ĐÃ GHÉP - AUTO</x:v>
      </x:c>
      <x:c r="O535" s="61" t="n">
        <x:v>0.853</x:v>
      </x:c>
      <x:c r="P535" s="37" t="n">
        <x:v>14</x:v>
      </x:c>
      <x:c r="Q535" s="30" t="str">
        <x:v>Siro Carisa</x:v>
      </x:c>
      <x:c r="R535" s="30" t="str">
        <x:v>Thùng 24 chai</x:v>
      </x:c>
      <x:c r="S535" s="30" t="str">
        <x:v>Chai</x:v>
      </x:c>
      <x:c r="T535" s="37" t="str">
        <x:v>ĐƠN VỊ</x:v>
      </x:c>
      <x:c r="U535" s="59" t="n">
        <x:v>30000</x:v>
      </x:c>
      <x:c r="V535" s="59"/>
      <x:c r="W535" s="117" t="n">
        <x:v>30000</x:v>
      </x:c>
      <x:c r="X535" s="59" t="str">
        <x:f>IFERROR(IF(OR($N535="ĐÃ GHÉP - AUTO",$N535="ĐÃ GHÉP - QUY TẮC"),IF($V535="","",IF($T535="THÙNG",$V535/$F535,$V535)),""),"")</x:f>
      </x:c>
      <x:c r="Y535" s="117" t="n">
        <x:f>IF(OR(W535="",F535=""),"",W535*F535)</x:f>
        <x:v>720000</x:v>
      </x:c>
      <x:c r="Z535" s="59" t="str">
        <x:f>IFERROR(IF(OR($N535="ĐÃ GHÉP - AUTO",$N535="ĐÃ GHÉP - QUY TẮC"),IF($V535="","",IF($T535="THÙNG",$V535,$V535*$F535)),""),"")</x:f>
      </x:c>
      <x:c r="AA535" s="28" t="str">
        <x:f>IFERROR(IF(OR($K535="",$K535=0,$Y535=""),"",($Y535-$K535)/$K535),"")</x:f>
      </x:c>
      <x:c r="AB535" s="37" t="str">
        <x:f>IFERROR(IF($N535="CẦN DUYỆT","DUYỆT MAP",IF($N535="CHƯA CÓ GIÁ LẺ","THIẾU GIÁ",IF(OR($K535="",$K535=0,$Y535=""),"OK",IF(ABS(($Y535-$K535)/$K535)&gt;0.15,"LỆCH GIÁ CŨ","OK")))),"OK")</x:f>
        <x:v>OK</x:v>
      </x:c>
      <x:c r="AC535" s="30" t="str">
        <x:v>score=0.853; gap=0.474</x:v>
      </x:c>
      <x:c r="AD535" s="37" t="str">
        <x:v>CRSDLU</x:v>
      </x:c>
      <x:c r="AE535" s="38" t="str">
        <x:v>CRSDLUT</x:v>
      </x:c>
      <x:c r="AF535" s="123" t="n">
        <x:v>0</x:v>
      </x:c>
      <x:c r="AG535" s="112" t="str">
        <x:v>g</x:v>
      </x:c>
      <x:c r="AH535" s="112" t="str">
        <x:v>CHAI</x:v>
      </x:c>
      <x:c r="AI535" s="112" t="str">
        <x:v>0 g / CHAI</x:v>
      </x:c>
      <x:c r="AJ535" s="120" t="n">
        <x:v>0</x:v>
      </x:c>
      <x:c r="AK535" s="120" t="n">
        <x:v>30000</x:v>
      </x:c>
      <x:c r="AL535" s="120" t="n">
        <x:v>30000</x:v>
      </x:c>
      <x:c r="AM535" s="112" t="str">
        <x:v>DS SP GIÁ 0 - GIỮ GIÁ CŨ</x:v>
      </x:c>
      <x:c r="AN535" s="126" t="n">
        <x:v>1190</x:v>
      </x:c>
      <x:c r="AO535" s="126" t="n">
        <x:v>1191</x:v>
      </x:c>
      <x:c r="AP535" s="113" t="str">
        <x:v>24 CHAI / THÙNG</x:v>
      </x:c>
    </x:row>
    <x:row r="536">
      <x:c r="A536" s="71" t="str">
        <x:v>CARISA DÂU</x:v>
      </x:c>
      <x:c r="B536" s="30" t="str">
        <x:v>CARISA DÂU - THÙNG</x:v>
      </x:c>
      <x:c r="C536" s="37" t="str">
        <x:v>CRSDAU</x:v>
      </x:c>
      <x:c r="D536" s="37" t="str">
        <x:v>CRSDAUT</x:v>
      </x:c>
      <x:c r="E536" s="37" t="str">
        <x:v>CRSDAUT</x:v>
      </x:c>
      <x:c r="F536" s="37" t="n">
        <x:v>24</x:v>
      </x:c>
      <x:c r="G536" s="37" t="n">
        <x:v>0</x:v>
      </x:c>
      <x:c r="H536" s="37" t="str">
        <x:v>g</x:v>
      </x:c>
      <x:c r="I536" s="37" t="str">
        <x:v>THÙNG</x:v>
      </x:c>
      <x:c r="J536" s="59" t="n">
        <x:v>0</x:v>
      </x:c>
      <x:c r="K536" s="59" t="n">
        <x:v>0</x:v>
      </x:c>
      <x:c r="L536" s="59" t="n">
        <x:v>0</x:v>
      </x:c>
      <x:c r="M536" s="37" t="str">
        <x:v>Siro</x:v>
      </x:c>
      <x:c r="N536" s="37" t="str">
        <x:v>ĐÃ GHÉP - AUTO</x:v>
      </x:c>
      <x:c r="O536" s="61" t="n">
        <x:v>0.879</x:v>
      </x:c>
      <x:c r="P536" s="37" t="n">
        <x:v>14</x:v>
      </x:c>
      <x:c r="Q536" s="30" t="str">
        <x:v>Siro Carisa</x:v>
      </x:c>
      <x:c r="R536" s="30" t="str">
        <x:v>Thùng 24 chai</x:v>
      </x:c>
      <x:c r="S536" s="30" t="str">
        <x:v>Chai</x:v>
      </x:c>
      <x:c r="T536" s="37" t="str">
        <x:v>ĐƠN VỊ</x:v>
      </x:c>
      <x:c r="U536" s="59" t="n">
        <x:v>30000</x:v>
      </x:c>
      <x:c r="V536" s="59"/>
      <x:c r="W536" s="117" t="n">
        <x:v>30000</x:v>
      </x:c>
      <x:c r="X536" s="59" t="str">
        <x:f>IFERROR(IF(OR($N536="ĐÃ GHÉP - AUTO",$N536="ĐÃ GHÉP - QUY TẮC"),IF($V536="","",IF($T536="THÙNG",$V536/$F536,$V536)),""),"")</x:f>
      </x:c>
      <x:c r="Y536" s="117" t="n">
        <x:f>IF(OR(W536="",F536=""),"",W536*F536)</x:f>
        <x:v>720000</x:v>
      </x:c>
      <x:c r="Z536" s="59" t="str">
        <x:f>IFERROR(IF(OR($N536="ĐÃ GHÉP - AUTO",$N536="ĐÃ GHÉP - QUY TẮC"),IF($V536="","",IF($T536="THÙNG",$V536,$V536*$F536)),""),"")</x:f>
      </x:c>
      <x:c r="AA536" s="28" t="str">
        <x:f>IFERROR(IF(OR($K536="",$K536=0,$Y536=""),"",($Y536-$K536)/$K536),"")</x:f>
      </x:c>
      <x:c r="AB536" s="37" t="str">
        <x:f>IFERROR(IF($N536="CẦN DUYỆT","DUYỆT MAP",IF($N536="CHƯA CÓ GIÁ LẺ","THIẾU GIÁ",IF(OR($K536="",$K536=0,$Y536=""),"OK",IF(ABS(($Y536-$K536)/$K536)&gt;0.15,"LỆCH GIÁ CŨ","OK")))),"OK")</x:f>
        <x:v>OK</x:v>
      </x:c>
      <x:c r="AC536" s="30" t="str">
        <x:v>score=0.879; gap=0.525</x:v>
      </x:c>
      <x:c r="AD536" s="37" t="str">
        <x:v>CRSDAU</x:v>
      </x:c>
      <x:c r="AE536" s="38" t="str">
        <x:v>CRSDAUT</x:v>
      </x:c>
      <x:c r="AF536" s="123" t="n">
        <x:v>0</x:v>
      </x:c>
      <x:c r="AG536" s="112" t="str">
        <x:v>g</x:v>
      </x:c>
      <x:c r="AH536" s="112" t="str">
        <x:v>CHAI</x:v>
      </x:c>
      <x:c r="AI536" s="112" t="str">
        <x:v>0 g / CHAI</x:v>
      </x:c>
      <x:c r="AJ536" s="120" t="n">
        <x:v>30000</x:v>
      </x:c>
      <x:c r="AK536" s="120" t="n">
        <x:v>30000</x:v>
      </x:c>
      <x:c r="AL536" s="120" t="n">
        <x:v>30000</x:v>
      </x:c>
      <x:c r="AM536" s="112" t="str">
        <x:v>GIỮ NGUYÊN - ĐÃ KHỚP</x:v>
      </x:c>
      <x:c r="AN536" s="126" t="n">
        <x:v>1192</x:v>
      </x:c>
      <x:c r="AO536" s="126" t="n">
        <x:v>1193</x:v>
      </x:c>
      <x:c r="AP536" s="113" t="str">
        <x:v>24 CHAI / THÙNG</x:v>
      </x:c>
    </x:row>
    <x:row r="537">
      <x:c r="A537" s="71" t="str">
        <x:v>CARISA CAM</x:v>
      </x:c>
      <x:c r="B537" s="30" t="str">
        <x:v>CARISA CAM - THÙNG</x:v>
      </x:c>
      <x:c r="C537" s="37" t="str">
        <x:v>CRSCAM</x:v>
      </x:c>
      <x:c r="D537" s="37" t="str">
        <x:v>CRSCAMT</x:v>
      </x:c>
      <x:c r="E537" s="37" t="str">
        <x:v>CRSCAMT</x:v>
      </x:c>
      <x:c r="F537" s="37" t="n">
        <x:v>24</x:v>
      </x:c>
      <x:c r="G537" s="37" t="n">
        <x:v>0</x:v>
      </x:c>
      <x:c r="H537" s="37" t="str">
        <x:v>g</x:v>
      </x:c>
      <x:c r="I537" s="37" t="str">
        <x:v>THÙNG</x:v>
      </x:c>
      <x:c r="J537" s="59" t="n">
        <x:v>0</x:v>
      </x:c>
      <x:c r="K537" s="59" t="n">
        <x:v>0</x:v>
      </x:c>
      <x:c r="L537" s="59" t="n">
        <x:v>0</x:v>
      </x:c>
      <x:c r="M537" s="37" t="str">
        <x:v>Siro</x:v>
      </x:c>
      <x:c r="N537" s="37" t="str">
        <x:v>ĐÃ GHÉP - AUTO</x:v>
      </x:c>
      <x:c r="O537" s="61" t="n">
        <x:v>0.872</x:v>
      </x:c>
      <x:c r="P537" s="37" t="n">
        <x:v>14</x:v>
      </x:c>
      <x:c r="Q537" s="30" t="str">
        <x:v>Siro Carisa</x:v>
      </x:c>
      <x:c r="R537" s="30" t="str">
        <x:v>Thùng 24 chai</x:v>
      </x:c>
      <x:c r="S537" s="30" t="str">
        <x:v>Chai</x:v>
      </x:c>
      <x:c r="T537" s="37" t="str">
        <x:v>ĐƠN VỊ</x:v>
      </x:c>
      <x:c r="U537" s="59" t="n">
        <x:v>30000</x:v>
      </x:c>
      <x:c r="V537" s="59"/>
      <x:c r="W537" s="117" t="n">
        <x:v>30000</x:v>
      </x:c>
      <x:c r="X537" s="59" t="str">
        <x:f>IFERROR(IF(OR($N537="ĐÃ GHÉP - AUTO",$N537="ĐÃ GHÉP - QUY TẮC"),IF($V537="","",IF($T537="THÙNG",$V537/$F537,$V537)),""),"")</x:f>
      </x:c>
      <x:c r="Y537" s="117" t="n">
        <x:f>IF(OR(W537="",F537=""),"",W537*F537)</x:f>
        <x:v>720000</x:v>
      </x:c>
      <x:c r="Z537" s="59" t="str">
        <x:f>IFERROR(IF(OR($N537="ĐÃ GHÉP - AUTO",$N537="ĐÃ GHÉP - QUY TẮC"),IF($V537="","",IF($T537="THÙNG",$V537,$V537*$F537)),""),"")</x:f>
      </x:c>
      <x:c r="AA537" s="28" t="str">
        <x:f>IFERROR(IF(OR($K537="",$K537=0,$Y537=""),"",($Y537-$K537)/$K537),"")</x:f>
      </x:c>
      <x:c r="AB537" s="37" t="str">
        <x:f>IFERROR(IF($N537="CẦN DUYỆT","DUYỆT MAP",IF($N537="CHƯA CÓ GIÁ LẺ","THIẾU GIÁ",IF(OR($K537="",$K537=0,$Y537=""),"OK",IF(ABS(($Y537-$K537)/$K537)&gt;0.15,"LỆCH GIÁ CŨ","OK")))),"OK")</x:f>
        <x:v>OK</x:v>
      </x:c>
      <x:c r="AC537" s="30" t="str">
        <x:v>score=0.872; gap=0.511</x:v>
      </x:c>
      <x:c r="AD537" s="37" t="str">
        <x:v>CRSCAM</x:v>
      </x:c>
      <x:c r="AE537" s="38" t="str">
        <x:v>CRSCAMT</x:v>
      </x:c>
      <x:c r="AF537" s="123" t="n">
        <x:v>0</x:v>
      </x:c>
      <x:c r="AG537" s="112" t="str">
        <x:v>g</x:v>
      </x:c>
      <x:c r="AH537" s="112" t="str">
        <x:v>CHAI</x:v>
      </x:c>
      <x:c r="AI537" s="112" t="str">
        <x:v>0 g / CHAI</x:v>
      </x:c>
      <x:c r="AJ537" s="120" t="n">
        <x:v>0</x:v>
      </x:c>
      <x:c r="AK537" s="120" t="n">
        <x:v>30000</x:v>
      </x:c>
      <x:c r="AL537" s="120" t="n">
        <x:v>30000</x:v>
      </x:c>
      <x:c r="AM537" s="112" t="str">
        <x:v>DS SP GIÁ 0 - GIỮ GIÁ CŨ</x:v>
      </x:c>
      <x:c r="AN537" s="126" t="n">
        <x:v>1194</x:v>
      </x:c>
      <x:c r="AO537" s="126" t="n">
        <x:v>1195</x:v>
      </x:c>
      <x:c r="AP537" s="113" t="str">
        <x:v>24 CHAI / THÙNG</x:v>
      </x:c>
    </x:row>
    <x:row r="538">
      <x:c r="A538" s="71" t="str">
        <x:v>CACAO MALAI</x:v>
      </x:c>
      <x:c r="B538" s="30" t="str">
        <x:v>CACAO MALAI - THÙNG</x:v>
      </x:c>
      <x:c r="C538" s="37" t="str">
        <x:v>CCMALA</x:v>
      </x:c>
      <x:c r="D538" s="37" t="str">
        <x:v>CCMALAT</x:v>
      </x:c>
      <x:c r="E538" s="37" t="str">
        <x:v>CCMALAT</x:v>
      </x:c>
      <x:c r="F538" s="37" t="n">
        <x:v>20</x:v>
      </x:c>
      <x:c r="G538" s="37" t="n">
        <x:v>10000</x:v>
      </x:c>
      <x:c r="H538" s="37" t="str">
        <x:v>g</x:v>
      </x:c>
      <x:c r="I538" s="37" t="str">
        <x:v>THÙNG</x:v>
      </x:c>
      <x:c r="J538" s="59" t="n">
        <x:v>0</x:v>
      </x:c>
      <x:c r="K538" s="59" t="n">
        <x:v>0</x:v>
      </x:c>
      <x:c r="L538" s="59" t="n">
        <x:v>0</x:v>
      </x:c>
      <x:c r="M538" s="37" t="str">
        <x:v>Bột cacao / socola / môn</x:v>
      </x:c>
      <x:c r="N538" s="37" t="str">
        <x:v>CHƯA CÓ GIÁ LẺ</x:v>
      </x:c>
      <x:c r="O538" s="61" t="n">
        <x:v>0.577</x:v>
      </x:c>
      <x:c r="P538" s="37"/>
      <x:c r="Q538" s="30"/>
      <x:c r="R538" s="30"/>
      <x:c r="S538" s="30"/>
      <x:c r="T538" s="37"/>
      <x:c r="U538" s="59"/>
      <x:c r="V538" s="59"/>
      <x:c r="W538" s="117" t="n">
        <x:v>70000</x:v>
      </x:c>
      <x:c r="X538" s="59" t="str">
        <x:f>IFERROR(IF(OR($N538="ĐÃ GHÉP - AUTO",$N538="ĐÃ GHÉP - QUY TẮC"),IF($V538="","",IF($T538="THÙNG",$V538/$F538,$V538)),""),"")</x:f>
      </x:c>
      <x:c r="Y538" s="117" t="n">
        <x:f>IF(OR(W538="",F538=""),"",W538*F538)</x:f>
        <x:v>1400000</x:v>
      </x:c>
      <x:c r="Z538" s="59" t="str">
        <x:f>IFERROR(IF(OR($N538="ĐÃ GHÉP - AUTO",$N538="ĐÃ GHÉP - QUY TẮC"),IF($V538="","",IF($T538="THÙNG",$V538,$V538*$F538)),""),"")</x:f>
      </x:c>
      <x:c r="AA538" s="28" t="str">
        <x:f>IFERROR(IF(OR($K538="",$K538=0,$Y538=""),"",($Y538-$K538)/$K538),"")</x:f>
      </x:c>
      <x:c r="AB538" s="37" t="str">
        <x:f>IFERROR(IF($N538="CẦN DUYỆT","DUYỆT MAP",IF($N538="CHƯA CÓ GIÁ LẺ","THIẾU GIÁ",IF(OR($K538="",$K538=0,$Y538=""),"OK",IF(ABS(($Y538-$K538)/$K538)&gt;0.15,"LỆCH GIÁ CŨ","OK")))),"OK")</x:f>
        <x:v>THIẾU GIÁ</x:v>
      </x:c>
      <x:c r="AC538" s="30" t="str">
        <x:v>ứng viên gần nhất=Bột Cacao Maly; score=0.577</x:v>
      </x:c>
      <x:c r="AD538" s="37" t="str">
        <x:v>CCMALA</x:v>
      </x:c>
      <x:c r="AE538" s="38" t="str">
        <x:v>CCMALAT</x:v>
      </x:c>
      <x:c r="AF538" s="123" t="n">
        <x:v>500</x:v>
      </x:c>
      <x:c r="AG538" s="112" t="str">
        <x:v>g</x:v>
      </x:c>
      <x:c r="AH538" s="112" t="str">
        <x:v>BỊCH</x:v>
      </x:c>
      <x:c r="AI538" s="112" t="str">
        <x:v>500 g / BỊCH</x:v>
      </x:c>
      <x:c r="AJ538" s="120" t="n">
        <x:v>70000</x:v>
      </x:c>
      <x:c r="AK538" s="120"/>
      <x:c r="AL538" s="120" t="n">
        <x:v>70000</x:v>
      </x:c>
      <x:c r="AM538" s="112" t="str">
        <x:v>BỔ SUNG GIÁ</x:v>
      </x:c>
      <x:c r="AN538" s="126" t="n">
        <x:v>1196</x:v>
      </x:c>
      <x:c r="AO538" s="126" t="n">
        <x:v>1197</x:v>
      </x:c>
      <x:c r="AP538" s="113" t="str">
        <x:v>20 BỊCH / THÙNG</x:v>
      </x:c>
    </x:row>
    <x:row r="539">
      <x:c r="A539" s="71" t="str">
        <x:v>CACAO LUAVE</x:v>
      </x:c>
      <x:c r="B539" s="30" t="str">
        <x:v>CACAO LUAVE - THÙNG</x:v>
      </x:c>
      <x:c r="C539" s="37" t="str">
        <x:v>CCLUAV</x:v>
      </x:c>
      <x:c r="D539" s="37" t="str">
        <x:v>CCLUAVT</x:v>
      </x:c>
      <x:c r="E539" s="37" t="str">
        <x:v>CCLUAVT</x:v>
      </x:c>
      <x:c r="F539" s="37" t="n">
        <x:v>20</x:v>
      </x:c>
      <x:c r="G539" s="37" t="n">
        <x:v>11000</x:v>
      </x:c>
      <x:c r="H539" s="37" t="str">
        <x:v>g</x:v>
      </x:c>
      <x:c r="I539" s="37" t="str">
        <x:v>THÙNG</x:v>
      </x:c>
      <x:c r="J539" s="59" t="n">
        <x:v>0</x:v>
      </x:c>
      <x:c r="K539" s="59" t="n">
        <x:v>0</x:v>
      </x:c>
      <x:c r="L539" s="59" t="n">
        <x:v>0</x:v>
      </x:c>
      <x:c r="M539" s="37" t="str">
        <x:v>Bột cacao / socola / môn</x:v>
      </x:c>
      <x:c r="N539" s="37" t="str">
        <x:v>ĐÃ GHÉP - AUTO</x:v>
      </x:c>
      <x:c r="O539" s="61" t="n">
        <x:v>0.97</x:v>
      </x:c>
      <x:c r="P539" s="37" t="n">
        <x:v>155</x:v>
      </x:c>
      <x:c r="Q539" s="30" t="str">
        <x:v>Bột Cacao Luave</x:v>
      </x:c>
      <x:c r="R539" s="30" t="str">
        <x:v>Thùng 20 gói</x:v>
      </x:c>
      <x:c r="S539" s="30" t="str">
        <x:v>gói 500g</x:v>
      </x:c>
      <x:c r="T539" s="37" t="str">
        <x:v>ĐƠN VỊ</x:v>
      </x:c>
      <x:c r="U539" s="59" t="n">
        <x:v>155000</x:v>
      </x:c>
      <x:c r="V539" s="59"/>
      <x:c r="W539" s="117" t="n">
        <x:v>155000</x:v>
      </x:c>
      <x:c r="X539" s="59" t="str">
        <x:f>IFERROR(IF(OR($N539="ĐÃ GHÉP - AUTO",$N539="ĐÃ GHÉP - QUY TẮC"),IF($V539="","",IF($T539="THÙNG",$V539/$F539,$V539)),""),"")</x:f>
      </x:c>
      <x:c r="Y539" s="117" t="n">
        <x:f>IF(OR(W539="",F539=""),"",W539*F539)</x:f>
        <x:v>3100000</x:v>
      </x:c>
      <x:c r="Z539" s="59" t="str">
        <x:f>IFERROR(IF(OR($N539="ĐÃ GHÉP - AUTO",$N539="ĐÃ GHÉP - QUY TẮC"),IF($V539="","",IF($T539="THÙNG",$V539,$V539*$F539)),""),"")</x:f>
      </x:c>
      <x:c r="AA539" s="28" t="str">
        <x:f>IFERROR(IF(OR($K539="",$K539=0,$Y539=""),"",($Y539-$K539)/$K539),"")</x:f>
      </x:c>
      <x:c r="AB539" s="37" t="str">
        <x:f>IFERROR(IF($N539="CẦN DUYỆT","DUYỆT MAP",IF($N539="CHƯA CÓ GIÁ LẺ","THIẾU GIÁ",IF(OR($K539="",$K539=0,$Y539=""),"OK",IF(ABS(($Y539-$K539)/$K539)&gt;0.15,"LỆCH GIÁ CŨ","OK")))),"OK")</x:f>
        <x:v>OK</x:v>
      </x:c>
      <x:c r="AC539" s="30" t="str">
        <x:v>score=0.970; gap=0.456</x:v>
      </x:c>
      <x:c r="AD539" s="37" t="str">
        <x:v>CCLUAV</x:v>
      </x:c>
      <x:c r="AE539" s="38" t="str">
        <x:v>CCLUAVT</x:v>
      </x:c>
      <x:c r="AF539" s="123" t="n">
        <x:v>0</x:v>
      </x:c>
      <x:c r="AG539" s="112" t="str">
        <x:v>g</x:v>
      </x:c>
      <x:c r="AH539" s="112" t="str">
        <x:v>BỊCH</x:v>
      </x:c>
      <x:c r="AI539" s="112" t="str">
        <x:v>0 g / BỊCH</x:v>
      </x:c>
      <x:c r="AJ539" s="120" t="n">
        <x:v>155000</x:v>
      </x:c>
      <x:c r="AK539" s="120" t="n">
        <x:v>155000</x:v>
      </x:c>
      <x:c r="AL539" s="120" t="n">
        <x:v>155000</x:v>
      </x:c>
      <x:c r="AM539" s="112" t="str">
        <x:v>GIỮ NGUYÊN - ĐÃ KHỚP</x:v>
      </x:c>
      <x:c r="AN539" s="126" t="n">
        <x:v>1198</x:v>
      </x:c>
      <x:c r="AO539" s="126" t="n">
        <x:v>1199</x:v>
      </x:c>
      <x:c r="AP539" s="113" t="str">
        <x:v>20 BỊCH / THÙNG</x:v>
      </x:c>
    </x:row>
    <x:row r="540">
      <x:c r="A540" s="71" t="str">
        <x:v>CACAO DANS</x:v>
      </x:c>
      <x:c r="B540" s="30" t="str">
        <x:v>CACAO DANS - THÙNG</x:v>
      </x:c>
      <x:c r="C540" s="37" t="str">
        <x:v>CCDANS</x:v>
      </x:c>
      <x:c r="D540" s="37" t="str">
        <x:v>CCDANST</x:v>
      </x:c>
      <x:c r="E540" s="37" t="str">
        <x:v>CCDANST</x:v>
      </x:c>
      <x:c r="F540" s="37" t="n">
        <x:v>30</x:v>
      </x:c>
      <x:c r="G540" s="37" t="n">
        <x:v>0</x:v>
      </x:c>
      <x:c r="H540" s="37" t="str">
        <x:v>g</x:v>
      </x:c>
      <x:c r="I540" s="37" t="str">
        <x:v>THÙNG</x:v>
      </x:c>
      <x:c r="J540" s="59" t="n">
        <x:v>0</x:v>
      </x:c>
      <x:c r="K540" s="59" t="n">
        <x:v>0</x:v>
      </x:c>
      <x:c r="L540" s="59" t="n">
        <x:v>0</x:v>
      </x:c>
      <x:c r="M540" s="37" t="str">
        <x:v>Bột cacao / socola / môn</x:v>
      </x:c>
      <x:c r="N540" s="37" t="str">
        <x:v>CHƯA CÓ GIÁ LẺ</x:v>
      </x:c>
      <x:c r="O540" s="61" t="n">
        <x:v>0.577</x:v>
      </x:c>
      <x:c r="P540" s="37"/>
      <x:c r="Q540" s="30"/>
      <x:c r="R540" s="30"/>
      <x:c r="S540" s="30"/>
      <x:c r="T540" s="37"/>
      <x:c r="U540" s="59"/>
      <x:c r="V540" s="59"/>
      <x:c r="W540" s="117" t="n">
        <x:v>145000</x:v>
      </x:c>
      <x:c r="X540" s="59" t="str">
        <x:f>IFERROR(IF(OR($N540="ĐÃ GHÉP - AUTO",$N540="ĐÃ GHÉP - QUY TẮC"),IF($V540="","",IF($T540="THÙNG",$V540/$F540,$V540)),""),"")</x:f>
      </x:c>
      <x:c r="Y540" s="117" t="n">
        <x:f>IF(OR(W540="",F540=""),"",W540*F540)</x:f>
        <x:v>4350000</x:v>
      </x:c>
      <x:c r="Z540" s="59" t="str">
        <x:f>IFERROR(IF(OR($N540="ĐÃ GHÉP - AUTO",$N540="ĐÃ GHÉP - QUY TẮC"),IF($V540="","",IF($T540="THÙNG",$V540,$V540*$F540)),""),"")</x:f>
      </x:c>
      <x:c r="AA540" s="28" t="str">
        <x:f>IFERROR(IF(OR($K540="",$K540=0,$Y540=""),"",($Y540-$K540)/$K540),"")</x:f>
      </x:c>
      <x:c r="AB540" s="37" t="str">
        <x:f>IFERROR(IF($N540="CẦN DUYỆT","DUYỆT MAP",IF($N540="CHƯA CÓ GIÁ LẺ","THIẾU GIÁ",IF(OR($K540="",$K540=0,$Y540=""),"OK",IF(ABS(($Y540-$K540)/$K540)&gt;0.15,"LỆCH GIÁ CŨ","OK")))),"OK")</x:f>
        <x:v>THIẾU GIÁ</x:v>
      </x:c>
      <x:c r="AC540" s="30" t="str">
        <x:v>ứng viên gần nhất=CA CAO DANCE; score=0.577</x:v>
      </x:c>
      <x:c r="AD540" s="37" t="str">
        <x:v>CCDANS</x:v>
      </x:c>
      <x:c r="AE540" s="38" t="str">
        <x:v>CCDANST</x:v>
      </x:c>
      <x:c r="AF540" s="123" t="n">
        <x:v>0</x:v>
      </x:c>
      <x:c r="AG540" s="112" t="str">
        <x:v>g</x:v>
      </x:c>
      <x:c r="AH540" s="112" t="str">
        <x:v>BỊCH</x:v>
      </x:c>
      <x:c r="AI540" s="112" t="str">
        <x:v>0 g / BỊCH</x:v>
      </x:c>
      <x:c r="AJ540" s="120" t="n">
        <x:v>145000</x:v>
      </x:c>
      <x:c r="AK540" s="120"/>
      <x:c r="AL540" s="120" t="n">
        <x:v>145000</x:v>
      </x:c>
      <x:c r="AM540" s="112" t="str">
        <x:v>BỔ SUNG GIÁ</x:v>
      </x:c>
      <x:c r="AN540" s="126" t="n">
        <x:v>1200</x:v>
      </x:c>
      <x:c r="AO540" s="126" t="n">
        <x:v>1201</x:v>
      </x:c>
      <x:c r="AP540" s="113" t="str">
        <x:v>30 BỊCH / THÙNG</x:v>
      </x:c>
    </x:row>
    <x:row r="541">
      <x:c r="A541" s="71" t="str">
        <x:v>CÁ TRẮNG BECO</x:v>
      </x:c>
      <x:c r="B541" s="30" t="str">
        <x:v>CÁ TRẮNG BECO - THÙNG</x:v>
      </x:c>
      <x:c r="C541" s="37" t="str">
        <x:v>CATRBE</x:v>
      </x:c>
      <x:c r="D541" s="37" t="str">
        <x:v>CATRBET</x:v>
      </x:c>
      <x:c r="E541" s="37" t="str">
        <x:v>CATRBET</x:v>
      </x:c>
      <x:c r="F541" s="37" t="n">
        <x:v>14</x:v>
      </x:c>
      <x:c r="G541" s="37" t="n">
        <x:v>0</x:v>
      </x:c>
      <x:c r="H541" s="37" t="str">
        <x:v>g</x:v>
      </x:c>
      <x:c r="I541" s="37" t="str">
        <x:v>THÙNG</x:v>
      </x:c>
      <x:c r="J541" s="59" t="n">
        <x:v>0</x:v>
      </x:c>
      <x:c r="K541" s="59" t="n">
        <x:v>0</x:v>
      </x:c>
      <x:c r="L541" s="59" t="n">
        <x:v>0</x:v>
      </x:c>
      <x:c r="M541" s="37" t="str">
        <x:v>Khác</x:v>
      </x:c>
      <x:c r="N541" s="37" t="str">
        <x:v>ĐÃ GHÉP - QUY TẮC</x:v>
      </x:c>
      <x:c r="O541" s="61" t="n">
        <x:v>0.99</x:v>
      </x:c>
      <x:c r="P541" s="37" t="n">
        <x:v>257</x:v>
      </x:c>
      <x:c r="Q541" s="30" t="str">
        <x:v>Cá viên trắng Beco</x:v>
      </x:c>
      <x:c r="R541" s="30" t="str"/>
      <x:c r="S541" s="30" t="str">
        <x:v>bịch</x:v>
      </x:c>
      <x:c r="T541" s="37" t="str">
        <x:v>ĐƠN VỊ</x:v>
      </x:c>
      <x:c r="U541" s="59" t="n">
        <x:v>60000</x:v>
      </x:c>
      <x:c r="V541" s="59"/>
      <x:c r="W541" s="117" t="n">
        <x:v>60000</x:v>
      </x:c>
      <x:c r="X541" s="59" t="str">
        <x:f>IFERROR(IF(OR($N541="ĐÃ GHÉP - AUTO",$N541="ĐÃ GHÉP - QUY TẮC"),IF($V541="","",IF($T541="THÙNG",$V541/$F541,$V541)),""),"")</x:f>
      </x:c>
      <x:c r="Y541" s="117" t="n">
        <x:f>IF(OR(W541="",F541=""),"",W541*F541)</x:f>
        <x:v>840000</x:v>
      </x:c>
      <x:c r="Z541" s="59" t="str">
        <x:f>IFERROR(IF(OR($N541="ĐÃ GHÉP - AUTO",$N541="ĐÃ GHÉP - QUY TẮC"),IF($V541="","",IF($T541="THÙNG",$V541,$V541*$F541)),""),"")</x:f>
      </x:c>
      <x:c r="AA541" s="28" t="str">
        <x:f>IFERROR(IF(OR($K541="",$K541=0,$Y541=""),"",($Y541-$K541)/$K541),"")</x:f>
      </x:c>
      <x:c r="AB541" s="37" t="str">
        <x:f>IFERROR(IF($N541="CẦN DUYỆT","DUYỆT MAP",IF($N541="CHƯA CÓ GIÁ LẺ","THIẾU GIÁ",IF(OR($K541="",$K541=0,$Y541=""),"OK",IF(ABS(($Y541-$K541)/$K541)&gt;0.15,"LỆCH GIÁ CŨ","OK")))),"OK")</x:f>
        <x:v>OK</x:v>
      </x:c>
      <x:c r="AC541" s="30" t="str">
        <x:v>Cá viên trắng Beco</x:v>
      </x:c>
      <x:c r="AD541" s="37" t="str">
        <x:v>CATRBE</x:v>
      </x:c>
      <x:c r="AE541" s="38" t="str">
        <x:v>CATRBET</x:v>
      </x:c>
      <x:c r="AF541" s="123" t="n">
        <x:v>1000</x:v>
      </x:c>
      <x:c r="AG541" s="112" t="str">
        <x:v>g</x:v>
      </x:c>
      <x:c r="AH541" s="112" t="str">
        <x:v>GÓI</x:v>
      </x:c>
      <x:c r="AI541" s="112" t="str">
        <x:v>1000 g / GÓI</x:v>
      </x:c>
      <x:c r="AJ541" s="120" t="n">
        <x:v>60000</x:v>
      </x:c>
      <x:c r="AK541" s="120" t="n">
        <x:v>60000</x:v>
      </x:c>
      <x:c r="AL541" s="120" t="n">
        <x:v>60000</x:v>
      </x:c>
      <x:c r="AM541" s="112" t="str">
        <x:v>GIỮ NGUYÊN - ĐÃ KHỚP</x:v>
      </x:c>
      <x:c r="AN541" s="126" t="n">
        <x:v>1203</x:v>
      </x:c>
      <x:c r="AO541" s="126" t="n">
        <x:v>1204</x:v>
      </x:c>
      <x:c r="AP541" s="113" t="str">
        <x:v>14 GÓI / THÙNG</x:v>
      </x:c>
    </x:row>
    <x:row r="542">
      <x:c r="A542" s="71" t="str">
        <x:v>CÁ ỚT HẢI HƯNG</x:v>
      </x:c>
      <x:c r="B542" s="30" t="str">
        <x:v>CÁ ỚT HẢI HƯNG - THÙNG</x:v>
      </x:c>
      <x:c r="C542" s="37" t="str">
        <x:v>CAOTHH</x:v>
      </x:c>
      <x:c r="D542" s="37" t="str">
        <x:v>CAOTHHT</x:v>
      </x:c>
      <x:c r="E542" s="37" t="str">
        <x:v>CAOTHHT</x:v>
      </x:c>
      <x:c r="F542" s="37" t="n">
        <x:v>40</x:v>
      </x:c>
      <x:c r="G542" s="37" t="n">
        <x:v>20000</x:v>
      </x:c>
      <x:c r="H542" s="37" t="str">
        <x:v>g</x:v>
      </x:c>
      <x:c r="I542" s="37" t="str">
        <x:v>THÙNG</x:v>
      </x:c>
      <x:c r="J542" s="59" t="n">
        <x:v>0</x:v>
      </x:c>
      <x:c r="K542" s="59" t="n">
        <x:v>0</x:v>
      </x:c>
      <x:c r="L542" s="59" t="n">
        <x:v>0</x:v>
      </x:c>
      <x:c r="M542" s="37" t="str">
        <x:v>Khác</x:v>
      </x:c>
      <x:c r="N542" s="37" t="str">
        <x:v>CHƯA CÓ GIÁ LẺ</x:v>
      </x:c>
      <x:c r="O542" s="61" t="n">
        <x:v>0.548</x:v>
      </x:c>
      <x:c r="P542" s="37"/>
      <x:c r="Q542" s="30"/>
      <x:c r="R542" s="30"/>
      <x:c r="S542" s="30"/>
      <x:c r="T542" s="37"/>
      <x:c r="U542" s="59"/>
      <x:c r="V542" s="59"/>
      <x:c r="W542" s="117" t="n">
        <x:v>31500</x:v>
      </x:c>
      <x:c r="X542" s="59" t="str">
        <x:f>IFERROR(IF(OR($N542="ĐÃ GHÉP - AUTO",$N542="ĐÃ GHÉP - QUY TẮC"),IF($V542="","",IF($T542="THÙNG",$V542/$F542,$V542)),""),"")</x:f>
      </x:c>
      <x:c r="Y542" s="117" t="n">
        <x:f>IF(OR(W542="",F542=""),"",W542*F542)</x:f>
        <x:v>1260000</x:v>
      </x:c>
      <x:c r="Z542" s="59" t="str">
        <x:f>IFERROR(IF(OR($N542="ĐÃ GHÉP - AUTO",$N542="ĐÃ GHÉP - QUY TẮC"),IF($V542="","",IF($T542="THÙNG",$V542,$V542*$F542)),""),"")</x:f>
      </x:c>
      <x:c r="AA542" s="28" t="str">
        <x:f>IFERROR(IF(OR($K542="",$K542=0,$Y542=""),"",($Y542-$K542)/$K542),"")</x:f>
      </x:c>
      <x:c r="AB542" s="37" t="str">
        <x:f>IFERROR(IF($N542="CẦN DUYỆT","DUYỆT MAP",IF($N542="CHƯA CÓ GIÁ LẺ","THIẾU GIÁ",IF(OR($K542="",$K542=0,$Y542=""),"OK",IF(ABS(($Y542-$K542)/$K542)&gt;0.15,"LỆCH GIÁ CŨ","OK")))),"OK")</x:f>
        <x:v>THIẾU GIÁ</x:v>
      </x:c>
      <x:c r="AC542" s="30" t="str">
        <x:v>ứng viên gần nhất=Cá hành ớt; score=0.548</x:v>
      </x:c>
      <x:c r="AD542" s="37" t="str">
        <x:v>CAOTHH</x:v>
      </x:c>
      <x:c r="AE542" s="38" t="str">
        <x:v>CAOTHHT</x:v>
      </x:c>
      <x:c r="AF542" s="123" t="n">
        <x:v>500</x:v>
      </x:c>
      <x:c r="AG542" s="112" t="str">
        <x:v>g</x:v>
      </x:c>
      <x:c r="AH542" s="112" t="str">
        <x:v>GÓI</x:v>
      </x:c>
      <x:c r="AI542" s="112" t="str">
        <x:v>500 g / GÓI</x:v>
      </x:c>
      <x:c r="AJ542" s="120" t="n">
        <x:v>31500</x:v>
      </x:c>
      <x:c r="AK542" s="120"/>
      <x:c r="AL542" s="120" t="n">
        <x:v>31500</x:v>
      </x:c>
      <x:c r="AM542" s="112" t="str">
        <x:v>BỔ SUNG GIÁ</x:v>
      </x:c>
      <x:c r="AN542" s="126" t="n">
        <x:v>1205</x:v>
      </x:c>
      <x:c r="AO542" s="126" t="n">
        <x:v>1206</x:v>
      </x:c>
      <x:c r="AP542" s="113" t="str">
        <x:v>40 GÓI / THÙNG</x:v>
      </x:c>
    </x:row>
    <x:row r="543">
      <x:c r="A543" s="71" t="str">
        <x:v>CÁ HẤP</x:v>
      </x:c>
      <x:c r="B543" s="30" t="str">
        <x:v>CÁ HẤP - THÙNG</x:v>
      </x:c>
      <x:c r="C543" s="37" t="str">
        <x:v>CAHAPP</x:v>
      </x:c>
      <x:c r="D543" s="37" t="str">
        <x:v>CAHAPPT</x:v>
      </x:c>
      <x:c r="E543" s="37" t="str">
        <x:v>CAHAPPT</x:v>
      </x:c>
      <x:c r="F543" s="37" t="n">
        <x:v>40</x:v>
      </x:c>
      <x:c r="G543" s="37" t="n">
        <x:v>0</x:v>
      </x:c>
      <x:c r="H543" s="37" t="str">
        <x:v>g</x:v>
      </x:c>
      <x:c r="I543" s="37" t="str">
        <x:v>THÙNG</x:v>
      </x:c>
      <x:c r="J543" s="59" t="n">
        <x:v>0</x:v>
      </x:c>
      <x:c r="K543" s="59" t="n">
        <x:v>0</x:v>
      </x:c>
      <x:c r="L543" s="59" t="n">
        <x:v>0</x:v>
      </x:c>
      <x:c r="M543" s="37" t="str">
        <x:v>Khác</x:v>
      </x:c>
      <x:c r="N543" s="37" t="str">
        <x:v>CẦN DUYỆT</x:v>
      </x:c>
      <x:c r="O543" s="61" t="n">
        <x:v>0.668</x:v>
      </x:c>
      <x:c r="P543" s="37" t="n">
        <x:v>275</x:v>
      </x:c>
      <x:c r="Q543" s="30" t="str">
        <x:v>Chả cá Hấp</x:v>
      </x:c>
      <x:c r="R543" s="30" t="str"/>
      <x:c r="S543" s="30" t="str">
        <x:v>bịch</x:v>
      </x:c>
      <x:c r="T543" s="37" t="str">
        <x:v>ĐƠN VỊ</x:v>
      </x:c>
      <x:c r="U543" s="59" t="n">
        <x:v>30000</x:v>
      </x:c>
      <x:c r="V543" s="59"/>
      <x:c r="W543" s="117" t="n">
        <x:v>30000</x:v>
      </x:c>
      <x:c r="X543" s="59" t="str">
        <x:f>IFERROR(IF(OR($N543="ĐÃ GHÉP - AUTO",$N543="ĐÃ GHÉP - QUY TẮC"),IF($V543="","",IF($T543="THÙNG",$V543/$F543,$V543)),""),"")</x:f>
      </x:c>
      <x:c r="Y543" s="117" t="n">
        <x:f>IF(OR(W543="",F543=""),"",W543*F543)</x:f>
        <x:v>1200000</x:v>
      </x:c>
      <x:c r="Z543" s="59" t="str">
        <x:f>IFERROR(IF(OR($N543="ĐÃ GHÉP - AUTO",$N543="ĐÃ GHÉP - QUY TẮC"),IF($V543="","",IF($T543="THÙNG",$V543,$V543*$F543)),""),"")</x:f>
      </x:c>
      <x:c r="AA543" s="28" t="str">
        <x:f>IFERROR(IF(OR($K543="",$K543=0,$Y543=""),"",($Y543-$K543)/$K543),"")</x:f>
      </x:c>
      <x:c r="AB543" s="37" t="str">
        <x:f>IFERROR(IF($N543="CẦN DUYỆT","DUYỆT MAP",IF($N543="CHƯA CÓ GIÁ LẺ","THIẾU GIÁ",IF(OR($K543="",$K543=0,$Y543=""),"OK",IF(ABS(($Y543-$K543)/$K543)&gt;0.15,"LỆCH GIÁ CŨ","OK")))),"OK")</x:f>
        <x:v>DUYỆT MAP</x:v>
      </x:c>
      <x:c r="AC543" s="30" t="str">
        <x:v>score=0.668; gap=0.275; phương án 2=RAU CÂU CÁ DẺO</x:v>
      </x:c>
      <x:c r="AD543" s="37" t="str">
        <x:v>CAHAPP</x:v>
      </x:c>
      <x:c r="AE543" s="38" t="str">
        <x:v>CAHAPPT</x:v>
      </x:c>
      <x:c r="AF543" s="123" t="n">
        <x:v>500</x:v>
      </x:c>
      <x:c r="AG543" s="112" t="str">
        <x:v>g</x:v>
      </x:c>
      <x:c r="AH543" s="112" t="str">
        <x:v>GÓI</x:v>
      </x:c>
      <x:c r="AI543" s="112" t="str">
        <x:v>500 g / GÓI</x:v>
      </x:c>
      <x:c r="AJ543" s="120" t="n">
        <x:v>30000</x:v>
      </x:c>
      <x:c r="AK543" s="120"/>
      <x:c r="AL543" s="120" t="n">
        <x:v>30000</x:v>
      </x:c>
      <x:c r="AM543" s="112" t="str">
        <x:v>BỔ SUNG GIÁ</x:v>
      </x:c>
      <x:c r="AN543" s="126" t="n">
        <x:v>1207</x:v>
      </x:c>
      <x:c r="AO543" s="126" t="n">
        <x:v>1208</x:v>
      </x:c>
      <x:c r="AP543" s="113" t="str">
        <x:v>40 GÓI / THÙNG</x:v>
      </x:c>
    </x:row>
    <x:row r="544">
      <x:c r="A544" s="71" t="str">
        <x:v>CÁ HÀNH TIÊU</x:v>
      </x:c>
      <x:c r="B544" s="30" t="str">
        <x:v>CÁ HÀNH TIÊU - THÙNG</x:v>
      </x:c>
      <x:c r="C544" s="37" t="str">
        <x:v>CATIEU</x:v>
      </x:c>
      <x:c r="D544" s="37" t="str">
        <x:v>CATIEUT</x:v>
      </x:c>
      <x:c r="E544" s="37" t="str">
        <x:v>CATIEUT</x:v>
      </x:c>
      <x:c r="F544" s="37" t="n">
        <x:v>20</x:v>
      </x:c>
      <x:c r="G544" s="37" t="n">
        <x:v>0</x:v>
      </x:c>
      <x:c r="H544" s="37" t="str">
        <x:v>g</x:v>
      </x:c>
      <x:c r="I544" s="37" t="str">
        <x:v>THÙNG</x:v>
      </x:c>
      <x:c r="J544" s="59" t="n">
        <x:v>0</x:v>
      </x:c>
      <x:c r="K544" s="59" t="n">
        <x:v>0</x:v>
      </x:c>
      <x:c r="L544" s="59" t="n">
        <x:v>0</x:v>
      </x:c>
      <x:c r="M544" s="37" t="str">
        <x:v>Thực phẩm đông lạnh</x:v>
      </x:c>
      <x:c r="N544" s="37" t="str">
        <x:v>ĐÃ GHÉP - AUTO</x:v>
      </x:c>
      <x:c r="O544" s="61" t="n">
        <x:v>0.93</x:v>
      </x:c>
      <x:c r="P544" s="37" t="n">
        <x:v>255</x:v>
      </x:c>
      <x:c r="Q544" s="30" t="str">
        <x:v>Cá hành tiêu</x:v>
      </x:c>
      <x:c r="R544" s="30" t="str"/>
      <x:c r="S544" s="30" t="str">
        <x:v>kg</x:v>
      </x:c>
      <x:c r="T544" s="37" t="str">
        <x:v>ĐƠN VỊ</x:v>
      </x:c>
      <x:c r="U544" s="59" t="n">
        <x:v>60000</x:v>
      </x:c>
      <x:c r="V544" s="59"/>
      <x:c r="W544" s="117" t="n">
        <x:v>60000</x:v>
      </x:c>
      <x:c r="X544" s="59" t="str">
        <x:f>IFERROR(IF(OR($N544="ĐÃ GHÉP - AUTO",$N544="ĐÃ GHÉP - QUY TẮC"),IF($V544="","",IF($T544="THÙNG",$V544/$F544,$V544)),""),"")</x:f>
      </x:c>
      <x:c r="Y544" s="117" t="n">
        <x:f>IF(OR(W544="",F544=""),"",W544*F544)</x:f>
        <x:v>1200000</x:v>
      </x:c>
      <x:c r="Z544" s="59" t="str">
        <x:f>IFERROR(IF(OR($N544="ĐÃ GHÉP - AUTO",$N544="ĐÃ GHÉP - QUY TẮC"),IF($V544="","",IF($T544="THÙNG",$V544,$V544*$F544)),""),"")</x:f>
      </x:c>
      <x:c r="AA544" s="28" t="str">
        <x:f>IFERROR(IF(OR($K544="",$K544=0,$Y544=""),"",($Y544-$K544)/$K544),"")</x:f>
      </x:c>
      <x:c r="AB544" s="37" t="str">
        <x:f>IFERROR(IF($N544="CẦN DUYỆT","DUYỆT MAP",IF($N544="CHƯA CÓ GIÁ LẺ","THIẾU GIÁ",IF(OR($K544="",$K544=0,$Y544=""),"OK",IF(ABS(($Y544-$K544)/$K544)&gt;0.15,"LỆCH GIÁ CŨ","OK")))),"OK")</x:f>
        <x:v>OK</x:v>
      </x:c>
      <x:c r="AC544" s="30" t="str">
        <x:v>score=0.930; gap=0.298</x:v>
      </x:c>
      <x:c r="AD544" s="37" t="str">
        <x:v>CATIEU</x:v>
      </x:c>
      <x:c r="AE544" s="38" t="str">
        <x:v>CATIEUT</x:v>
      </x:c>
      <x:c r="AF544" s="123" t="n">
        <x:v>1000</x:v>
      </x:c>
      <x:c r="AG544" s="112" t="str">
        <x:v>g</x:v>
      </x:c>
      <x:c r="AH544" s="112" t="str">
        <x:v>GÓI</x:v>
      </x:c>
      <x:c r="AI544" s="112" t="str">
        <x:v>1000 g / GÓI</x:v>
      </x:c>
      <x:c r="AJ544" s="120" t="n">
        <x:v>60000</x:v>
      </x:c>
      <x:c r="AK544" s="120" t="n">
        <x:v>60000</x:v>
      </x:c>
      <x:c r="AL544" s="120" t="n">
        <x:v>60000</x:v>
      </x:c>
      <x:c r="AM544" s="112" t="str">
        <x:v>GIỮ NGUYÊN - ĐÃ KHỚP</x:v>
      </x:c>
      <x:c r="AN544" s="126" t="n">
        <x:v>1209</x:v>
      </x:c>
      <x:c r="AO544" s="126" t="n">
        <x:v>1210</x:v>
      </x:c>
      <x:c r="AP544" s="113" t="str">
        <x:v>20 GÓI / THÙNG</x:v>
      </x:c>
    </x:row>
    <x:row r="545">
      <x:c r="A545" s="71" t="str">
        <x:v>BỘT SOCOLA KING</x:v>
      </x:c>
      <x:c r="B545" s="30" t="str">
        <x:v>BỘT SOCOLA KING - THÙNG</x:v>
      </x:c>
      <x:c r="C545" s="37" t="str">
        <x:v>SOKING</x:v>
      </x:c>
      <x:c r="D545" s="37" t="str">
        <x:v>SOKINGT</x:v>
      </x:c>
      <x:c r="E545" s="37" t="str">
        <x:v>SOKINGT</x:v>
      </x:c>
      <x:c r="F545" s="37" t="n">
        <x:v>20</x:v>
      </x:c>
      <x:c r="G545" s="37" t="n">
        <x:v>21000</x:v>
      </x:c>
      <x:c r="H545" s="37" t="str">
        <x:v>g</x:v>
      </x:c>
      <x:c r="I545" s="37" t="str">
        <x:v>THÙNG</x:v>
      </x:c>
      <x:c r="J545" s="59" t="n">
        <x:v>0</x:v>
      </x:c>
      <x:c r="K545" s="59" t="n">
        <x:v>0</x:v>
      </x:c>
      <x:c r="L545" s="59" t="n">
        <x:v>0</x:v>
      </x:c>
      <x:c r="M545" s="37" t="str">
        <x:v>Bột cacao / socola / môn</x:v>
      </x:c>
      <x:c r="N545" s="37" t="str">
        <x:v>ĐÃ GHÉP - AUTO</x:v>
      </x:c>
      <x:c r="O545" s="61" t="n">
        <x:v>0.97</x:v>
      </x:c>
      <x:c r="P545" s="37" t="n">
        <x:v>159</x:v>
      </x:c>
      <x:c r="Q545" s="30" t="str">
        <x:v>Bột sô King</x:v>
      </x:c>
      <x:c r="R545" s="30" t="str">
        <x:v>Thùng 20 gói</x:v>
      </x:c>
      <x:c r="S545" s="30" t="str">
        <x:v>gói 1kg</x:v>
      </x:c>
      <x:c r="T545" s="37" t="str">
        <x:v>ĐƠN VỊ</x:v>
      </x:c>
      <x:c r="U545" s="59" t="n">
        <x:v>192000</x:v>
      </x:c>
      <x:c r="V545" s="59"/>
      <x:c r="W545" s="117" t="n">
        <x:v>192000</x:v>
      </x:c>
      <x:c r="X545" s="59" t="str">
        <x:f>IFERROR(IF(OR($N545="ĐÃ GHÉP - AUTO",$N545="ĐÃ GHÉP - QUY TẮC"),IF($V545="","",IF($T545="THÙNG",$V545/$F545,$V545)),""),"")</x:f>
      </x:c>
      <x:c r="Y545" s="117" t="n">
        <x:f>IF(OR(W545="",F545=""),"",W545*F545)</x:f>
        <x:v>3840000</x:v>
      </x:c>
      <x:c r="Z545" s="59" t="str">
        <x:f>IFERROR(IF(OR($N545="ĐÃ GHÉP - AUTO",$N545="ĐÃ GHÉP - QUY TẮC"),IF($V545="","",IF($T545="THÙNG",$V545,$V545*$F545)),""),"")</x:f>
      </x:c>
      <x:c r="AA545" s="28" t="str">
        <x:f>IFERROR(IF(OR($K545="",$K545=0,$Y545=""),"",($Y545-$K545)/$K545),"")</x:f>
      </x:c>
      <x:c r="AB545" s="37" t="str">
        <x:f>IFERROR(IF($N545="CẦN DUYỆT","DUYỆT MAP",IF($N545="CHƯA CÓ GIÁ LẺ","THIẾU GIÁ",IF(OR($K545="",$K545=0,$Y545=""),"OK",IF(ABS(($Y545-$K545)/$K545)&gt;0.15,"LỆCH GIÁ CŨ","OK")))),"OK")</x:f>
        <x:v>OK</x:v>
      </x:c>
      <x:c r="AC545" s="30" t="str">
        <x:v>score=0.970; gap=0.378</x:v>
      </x:c>
      <x:c r="AD545" s="37" t="str">
        <x:v>SOKING</x:v>
      </x:c>
      <x:c r="AE545" s="38" t="str">
        <x:v>SOKINGT</x:v>
      </x:c>
      <x:c r="AF545" s="123" t="n">
        <x:v>0</x:v>
      </x:c>
      <x:c r="AG545" s="112" t="str">
        <x:v>g</x:v>
      </x:c>
      <x:c r="AH545" s="112" t="str">
        <x:v>BỊCH</x:v>
      </x:c>
      <x:c r="AI545" s="112" t="str">
        <x:v>0 g / BỊCH</x:v>
      </x:c>
      <x:c r="AJ545" s="120" t="n">
        <x:v>192000</x:v>
      </x:c>
      <x:c r="AK545" s="120" t="n">
        <x:v>192000</x:v>
      </x:c>
      <x:c r="AL545" s="120" t="n">
        <x:v>192000</x:v>
      </x:c>
      <x:c r="AM545" s="112" t="str">
        <x:v>GIỮ NGUYÊN - ĐÃ KHỚP</x:v>
      </x:c>
      <x:c r="AN545" s="126" t="n">
        <x:v>1218</x:v>
      </x:c>
      <x:c r="AO545" s="126" t="n">
        <x:v>1219</x:v>
      </x:c>
      <x:c r="AP545" s="113" t="str">
        <x:v>20 BỊCH / THÙNG</x:v>
      </x:c>
    </x:row>
    <x:row r="546">
      <x:c r="A546" s="71" t="str">
        <x:v>BỘT SOCOLA GTP</x:v>
      </x:c>
      <x:c r="B546" s="30" t="str">
        <x:v>BỘT SOCOLA GTP - THÙNG</x:v>
      </x:c>
      <x:c r="C546" s="37" t="str">
        <x:v>SCLGTP</x:v>
      </x:c>
      <x:c r="D546" s="37" t="str">
        <x:v>SCLGTPT</x:v>
      </x:c>
      <x:c r="E546" s="37" t="str">
        <x:v>SCLGTPT</x:v>
      </x:c>
      <x:c r="F546" s="37" t="n">
        <x:v>20</x:v>
      </x:c>
      <x:c r="G546" s="37" t="n">
        <x:v>21000</x:v>
      </x:c>
      <x:c r="H546" s="37" t="str">
        <x:v>g</x:v>
      </x:c>
      <x:c r="I546" s="37" t="str">
        <x:v>THÙNG</x:v>
      </x:c>
      <x:c r="J546" s="59" t="n">
        <x:v>0</x:v>
      </x:c>
      <x:c r="K546" s="59" t="n">
        <x:v>0</x:v>
      </x:c>
      <x:c r="L546" s="59" t="n">
        <x:v>0</x:v>
      </x:c>
      <x:c r="M546" s="37" t="str">
        <x:v>Bột cacao / socola / môn</x:v>
      </x:c>
      <x:c r="N546" s="37" t="str">
        <x:v>ĐÃ GHÉP - AUTO</x:v>
      </x:c>
      <x:c r="O546" s="61" t="n">
        <x:v>0.97</x:v>
      </x:c>
      <x:c r="P546" s="37" t="n">
        <x:v>160</x:v>
      </x:c>
      <x:c r="Q546" s="30" t="str">
        <x:v>BỘT SÔ GTP</x:v>
      </x:c>
      <x:c r="R546" s="30" t="str">
        <x:v>Thùng 20 gói</x:v>
      </x:c>
      <x:c r="S546" s="30" t="str">
        <x:v>gói 1kg</x:v>
      </x:c>
      <x:c r="T546" s="37" t="str">
        <x:v>ĐƠN VỊ</x:v>
      </x:c>
      <x:c r="U546" s="59" t="n">
        <x:v>185000</x:v>
      </x:c>
      <x:c r="V546" s="59"/>
      <x:c r="W546" s="117" t="n">
        <x:v>185000</x:v>
      </x:c>
      <x:c r="X546" s="59" t="str">
        <x:f>IFERROR(IF(OR($N546="ĐÃ GHÉP - AUTO",$N546="ĐÃ GHÉP - QUY TẮC"),IF($V546="","",IF($T546="THÙNG",$V546/$F546,$V546)),""),"")</x:f>
      </x:c>
      <x:c r="Y546" s="117" t="n">
        <x:f>IF(OR(W546="",F546=""),"",W546*F546)</x:f>
        <x:v>3700000</x:v>
      </x:c>
      <x:c r="Z546" s="59" t="str">
        <x:f>IFERROR(IF(OR($N546="ĐÃ GHÉP - AUTO",$N546="ĐÃ GHÉP - QUY TẮC"),IF($V546="","",IF($T546="THÙNG",$V546,$V546*$F546)),""),"")</x:f>
      </x:c>
      <x:c r="AA546" s="28" t="str">
        <x:f>IFERROR(IF(OR($K546="",$K546=0,$Y546=""),"",($Y546-$K546)/$K546),"")</x:f>
      </x:c>
      <x:c r="AB546" s="37" t="str">
        <x:f>IFERROR(IF($N546="CẦN DUYỆT","DUYỆT MAP",IF($N546="CHƯA CÓ GIÁ LẺ","THIẾU GIÁ",IF(OR($K546="",$K546=0,$Y546=""),"OK",IF(ABS(($Y546-$K546)/$K546)&gt;0.15,"LỆCH GIÁ CŨ","OK")))),"OK")</x:f>
        <x:v>OK</x:v>
      </x:c>
      <x:c r="AC546" s="30" t="str">
        <x:v>score=0.970; gap=0.378</x:v>
      </x:c>
      <x:c r="AD546" s="37" t="str">
        <x:v>SCLGTP</x:v>
      </x:c>
      <x:c r="AE546" s="38" t="str">
        <x:v>SCLGTPT</x:v>
      </x:c>
      <x:c r="AF546" s="123" t="n">
        <x:v>1000</x:v>
      </x:c>
      <x:c r="AG546" s="112" t="str">
        <x:v>g</x:v>
      </x:c>
      <x:c r="AH546" s="112" t="str">
        <x:v>BỊCH</x:v>
      </x:c>
      <x:c r="AI546" s="112" t="str">
        <x:v>1000 g / BỊCH</x:v>
      </x:c>
      <x:c r="AJ546" s="120" t="n">
        <x:v>185000</x:v>
      </x:c>
      <x:c r="AK546" s="120" t="n">
        <x:v>185000</x:v>
      </x:c>
      <x:c r="AL546" s="120" t="n">
        <x:v>185000</x:v>
      </x:c>
      <x:c r="AM546" s="112" t="str">
        <x:v>GIỮ NGUYÊN - ĐÃ KHỚP</x:v>
      </x:c>
      <x:c r="AN546" s="126" t="n">
        <x:v>1220</x:v>
      </x:c>
      <x:c r="AO546" s="126" t="n">
        <x:v>1221</x:v>
      </x:c>
      <x:c r="AP546" s="113" t="str">
        <x:v>20 BỊCH / THÙNG</x:v>
      </x:c>
    </x:row>
    <x:row r="547">
      <x:c r="A547" s="71" t="str">
        <x:v>BỘT ỚT TO</x:v>
      </x:c>
      <x:c r="B547" s="30" t="str">
        <x:v>BỘT ỚT TO - THÙNG</x:v>
      </x:c>
      <x:c r="C547" s="37" t="str">
        <x:v>BOTOTT</x:v>
      </x:c>
      <x:c r="D547" s="37" t="str">
        <x:v>BOTOTTT</x:v>
      </x:c>
      <x:c r="E547" s="37" t="str">
        <x:v>BOTOTTT</x:v>
      </x:c>
      <x:c r="F547" s="37" t="n">
        <x:v>10</x:v>
      </x:c>
      <x:c r="G547" s="37" t="n">
        <x:v>0</x:v>
      </x:c>
      <x:c r="H547" s="37" t="str">
        <x:v>g</x:v>
      </x:c>
      <x:c r="I547" s="37" t="str">
        <x:v>THÙNG</x:v>
      </x:c>
      <x:c r="J547" s="59" t="n">
        <x:v>0</x:v>
      </x:c>
      <x:c r="K547" s="59" t="n">
        <x:v>0</x:v>
      </x:c>
      <x:c r="L547" s="59" t="n">
        <x:v>0</x:v>
      </x:c>
      <x:c r="M547" s="37" t="str">
        <x:v>Nguyên liệu mì cay</x:v>
      </x:c>
      <x:c r="N547" s="37" t="str">
        <x:v>ĐÃ GHÉP - AUTO</x:v>
      </x:c>
      <x:c r="O547" s="61" t="n">
        <x:v>0.889</x:v>
      </x:c>
      <x:c r="P547" s="37" t="n">
        <x:v>249</x:v>
      </x:c>
      <x:c r="Q547" s="30" t="str">
        <x:v>Bột ớt</x:v>
      </x:c>
      <x:c r="R547" s="30" t="str">
        <x:v>Thùng 10 gói</x:v>
      </x:c>
      <x:c r="S547" s="30" t="str">
        <x:v>bịch</x:v>
      </x:c>
      <x:c r="T547" s="37" t="str">
        <x:v>ĐƠN VỊ</x:v>
      </x:c>
      <x:c r="U547" s="59" t="n">
        <x:v>130000</x:v>
      </x:c>
      <x:c r="V547" s="59"/>
      <x:c r="W547" s="117" t="n">
        <x:v>130000</x:v>
      </x:c>
      <x:c r="X547" s="59" t="str">
        <x:f>IFERROR(IF(OR($N547="ĐÃ GHÉP - AUTO",$N547="ĐÃ GHÉP - QUY TẮC"),IF($V547="","",IF($T547="THÙNG",$V547/$F547,$V547)),""),"")</x:f>
      </x:c>
      <x:c r="Y547" s="117" t="n">
        <x:f>IF(OR(W547="",F547=""),"",W547*F547)</x:f>
        <x:v>1300000</x:v>
      </x:c>
      <x:c r="Z547" s="59" t="str">
        <x:f>IFERROR(IF(OR($N547="ĐÃ GHÉP - AUTO",$N547="ĐÃ GHÉP - QUY TẮC"),IF($V547="","",IF($T547="THÙNG",$V547,$V547*$F547)),""),"")</x:f>
      </x:c>
      <x:c r="AA547" s="28" t="str">
        <x:f>IFERROR(IF(OR($K547="",$K547=0,$Y547=""),"",($Y547-$K547)/$K547),"")</x:f>
      </x:c>
      <x:c r="AB547" s="37" t="str">
        <x:f>IFERROR(IF($N547="CẦN DUYỆT","DUYỆT MAP",IF($N547="CHƯA CÓ GIÁ LẺ","THIẾU GIÁ",IF(OR($K547="",$K547=0,$Y547=""),"OK",IF(ABS(($Y547-$K547)/$K547)&gt;0.15,"LỆCH GIÁ CŨ","OK")))),"OK")</x:f>
        <x:v>OK</x:v>
      </x:c>
      <x:c r="AC547" s="30" t="str">
        <x:v>score=0.889; gap=0.438</x:v>
      </x:c>
      <x:c r="AD547" s="37" t="str">
        <x:v>BOTOTT</x:v>
      </x:c>
      <x:c r="AE547" s="38" t="str">
        <x:v>BOTOTTT</x:v>
      </x:c>
      <x:c r="AF547" s="123" t="n">
        <x:v>0</x:v>
      </x:c>
      <x:c r="AG547" s="112" t="str">
        <x:v>g</x:v>
      </x:c>
      <x:c r="AH547" s="112" t="str">
        <x:v>BỊCH</x:v>
      </x:c>
      <x:c r="AI547" s="112" t="str">
        <x:v>0 g / BỊCH</x:v>
      </x:c>
      <x:c r="AJ547" s="120" t="n">
        <x:v>130000</x:v>
      </x:c>
      <x:c r="AK547" s="120" t="n">
        <x:v>130000</x:v>
      </x:c>
      <x:c r="AL547" s="120" t="n">
        <x:v>130000</x:v>
      </x:c>
      <x:c r="AM547" s="112" t="str">
        <x:v>GIỮ NGUYÊN - ĐÃ KHỚP</x:v>
      </x:c>
      <x:c r="AN547" s="126" t="n">
        <x:v>1226</x:v>
      </x:c>
      <x:c r="AO547" s="126" t="n">
        <x:v>1227</x:v>
      </x:c>
      <x:c r="AP547" s="113" t="str">
        <x:v>10 BỊCH / THÙNG</x:v>
      </x:c>
    </x:row>
    <x:row r="548">
      <x:c r="A548" s="71" t="str">
        <x:v>BỘT ỚT NHUYỄN</x:v>
      </x:c>
      <x:c r="B548" s="30" t="str">
        <x:v>BỘT ỚT NHUYỄN - THÙNG</x:v>
      </x:c>
      <x:c r="C548" s="37" t="str">
        <x:v>BOTOTN</x:v>
      </x:c>
      <x:c r="D548" s="37" t="str">
        <x:v>BOTOTNT</x:v>
      </x:c>
      <x:c r="E548" s="37" t="str">
        <x:v>BOTOTNT</x:v>
      </x:c>
      <x:c r="F548" s="37" t="n">
        <x:v>10</x:v>
      </x:c>
      <x:c r="G548" s="37" t="n">
        <x:v>0</x:v>
      </x:c>
      <x:c r="H548" s="37" t="str">
        <x:v>g</x:v>
      </x:c>
      <x:c r="I548" s="37" t="str">
        <x:v>THÙNG</x:v>
      </x:c>
      <x:c r="J548" s="59" t="n">
        <x:v>0</x:v>
      </x:c>
      <x:c r="K548" s="59" t="n">
        <x:v>0</x:v>
      </x:c>
      <x:c r="L548" s="59" t="n">
        <x:v>0</x:v>
      </x:c>
      <x:c r="M548" s="37" t="str">
        <x:v>Nguyên liệu mì cay</x:v>
      </x:c>
      <x:c r="N548" s="37" t="str">
        <x:v>ĐÃ GHÉP - AUTO</x:v>
      </x:c>
      <x:c r="O548" s="61" t="n">
        <x:v>0.889</x:v>
      </x:c>
      <x:c r="P548" s="37" t="n">
        <x:v>249</x:v>
      </x:c>
      <x:c r="Q548" s="30" t="str">
        <x:v>Bột ớt</x:v>
      </x:c>
      <x:c r="R548" s="30" t="str">
        <x:v>Thùng 10 gói</x:v>
      </x:c>
      <x:c r="S548" s="30" t="str">
        <x:v>bịch</x:v>
      </x:c>
      <x:c r="T548" s="37" t="str">
        <x:v>ĐƠN VỊ</x:v>
      </x:c>
      <x:c r="U548" s="59" t="n">
        <x:v>130000</x:v>
      </x:c>
      <x:c r="V548" s="59"/>
      <x:c r="W548" s="117" t="n">
        <x:v>130000</x:v>
      </x:c>
      <x:c r="X548" s="59" t="str">
        <x:f>IFERROR(IF(OR($N548="ĐÃ GHÉP - AUTO",$N548="ĐÃ GHÉP - QUY TẮC"),IF($V548="","",IF($T548="THÙNG",$V548/$F548,$V548)),""),"")</x:f>
      </x:c>
      <x:c r="Y548" s="117" t="n">
        <x:f>IF(OR(W548="",F548=""),"",W548*F548)</x:f>
        <x:v>1300000</x:v>
      </x:c>
      <x:c r="Z548" s="59" t="str">
        <x:f>IFERROR(IF(OR($N548="ĐÃ GHÉP - AUTO",$N548="ĐÃ GHÉP - QUY TẮC"),IF($V548="","",IF($T548="THÙNG",$V548,$V548*$F548)),""),"")</x:f>
      </x:c>
      <x:c r="AA548" s="28" t="str">
        <x:f>IFERROR(IF(OR($K548="",$K548=0,$Y548=""),"",($Y548-$K548)/$K548),"")</x:f>
      </x:c>
      <x:c r="AB548" s="37" t="str">
        <x:f>IFERROR(IF($N548="CẦN DUYỆT","DUYỆT MAP",IF($N548="CHƯA CÓ GIÁ LẺ","THIẾU GIÁ",IF(OR($K548="",$K548=0,$Y548=""),"OK",IF(ABS(($Y548-$K548)/$K548)&gt;0.15,"LỆCH GIÁ CŨ","OK")))),"OK")</x:f>
        <x:v>OK</x:v>
      </x:c>
      <x:c r="AC548" s="30" t="str">
        <x:v>score=0.889; gap=0.404</x:v>
      </x:c>
      <x:c r="AD548" s="37" t="str">
        <x:v>BOTOTN</x:v>
      </x:c>
      <x:c r="AE548" s="38" t="str">
        <x:v>BOTOTNT</x:v>
      </x:c>
      <x:c r="AF548" s="123" t="n">
        <x:v>0</x:v>
      </x:c>
      <x:c r="AG548" s="112" t="str">
        <x:v>g</x:v>
      </x:c>
      <x:c r="AH548" s="112" t="str">
        <x:v>BỊCH</x:v>
      </x:c>
      <x:c r="AI548" s="112" t="str">
        <x:v>0 g / BỊCH</x:v>
      </x:c>
      <x:c r="AJ548" s="120" t="n">
        <x:v>130000</x:v>
      </x:c>
      <x:c r="AK548" s="120" t="n">
        <x:v>130000</x:v>
      </x:c>
      <x:c r="AL548" s="120" t="n">
        <x:v>130000</x:v>
      </x:c>
      <x:c r="AM548" s="112" t="str">
        <x:v>GIỮ NGUYÊN - ĐÃ KHỚP</x:v>
      </x:c>
      <x:c r="AN548" s="126" t="n">
        <x:v>1228</x:v>
      </x:c>
      <x:c r="AO548" s="126" t="n">
        <x:v>1229</x:v>
      </x:c>
      <x:c r="AP548" s="113" t="str">
        <x:v>10 BỊCH / THÙNG</x:v>
      </x:c>
    </x:row>
    <x:row r="549">
      <x:c r="A549" s="71" t="str">
        <x:v>BỘT MUỐI BIỂN ERODELI</x:v>
      </x:c>
      <x:c r="B549" s="30" t="str">
        <x:v>BỘT MUỐI BIỂN ERODELI - THÙNG</x:v>
      </x:c>
      <x:c r="C549" s="37" t="str">
        <x:v>MUOIBE</x:v>
      </x:c>
      <x:c r="D549" s="37" t="str">
        <x:v>MUOIBET</x:v>
      </x:c>
      <x:c r="E549" s="37" t="str">
        <x:v>MUOIBET</x:v>
      </x:c>
      <x:c r="F549" s="37" t="n">
        <x:v>25</x:v>
      </x:c>
      <x:c r="G549" s="37" t="n">
        <x:v>0</x:v>
      </x:c>
      <x:c r="H549" s="37" t="str">
        <x:v>g</x:v>
      </x:c>
      <x:c r="I549" s="37" t="str">
        <x:v>THÙNG</x:v>
      </x:c>
      <x:c r="J549" s="59" t="n">
        <x:v>0</x:v>
      </x:c>
      <x:c r="K549" s="59" t="n">
        <x:v>0</x:v>
      </x:c>
      <x:c r="L549" s="59" t="n">
        <x:v>0</x:v>
      </x:c>
      <x:c r="M549" s="37" t="str">
        <x:v>Khác</x:v>
      </x:c>
      <x:c r="N549" s="37" t="str">
        <x:v>CHƯA CÓ GIÁ LẺ</x:v>
      </x:c>
      <x:c r="O549" s="61" t="n">
        <x:v>0.567</x:v>
      </x:c>
      <x:c r="P549" s="37"/>
      <x:c r="Q549" s="30"/>
      <x:c r="R549" s="30"/>
      <x:c r="S549" s="30"/>
      <x:c r="T549" s="37"/>
      <x:c r="U549" s="59"/>
      <x:c r="V549" s="59"/>
      <x:c r="W549" s="117" t="n">
        <x:v>275000</x:v>
      </x:c>
      <x:c r="X549" s="59" t="str">
        <x:f>IFERROR(IF(OR($N549="ĐÃ GHÉP - AUTO",$N549="ĐÃ GHÉP - QUY TẮC"),IF($V549="","",IF($T549="THÙNG",$V549/$F549,$V549)),""),"")</x:f>
      </x:c>
      <x:c r="Y549" s="117" t="n">
        <x:f>IF(OR(W549="",F549=""),"",W549*F549)</x:f>
        <x:v>6875000</x:v>
      </x:c>
      <x:c r="Z549" s="59" t="str">
        <x:f>IFERROR(IF(OR($N549="ĐÃ GHÉP - AUTO",$N549="ĐÃ GHÉP - QUY TẮC"),IF($V549="","",IF($T549="THÙNG",$V549,$V549*$F549)),""),"")</x:f>
      </x:c>
      <x:c r="AA549" s="28" t="str">
        <x:f>IFERROR(IF(OR($K549="",$K549=0,$Y549=""),"",($Y549-$K549)/$K549),"")</x:f>
      </x:c>
      <x:c r="AB549" s="37" t="str">
        <x:f>IFERROR(IF($N549="CẦN DUYỆT","DUYỆT MAP",IF($N549="CHƯA CÓ GIÁ LẺ","THIẾU GIÁ",IF(OR($K549="",$K549=0,$Y549=""),"OK",IF(ABS(($Y549-$K549)/$K549)&gt;0.15,"LỆCH GIÁ CŨ","OK")))),"OK")</x:f>
        <x:v>THIẾU GIÁ</x:v>
      </x:c>
      <x:c r="AC549" s="30" t="str">
        <x:v>ứng viên gần nhất=Bột milkfoam muối biển; score=0.567</x:v>
      </x:c>
      <x:c r="AD549" s="37" t="str">
        <x:v>MUOIBE</x:v>
      </x:c>
      <x:c r="AE549" s="38" t="str">
        <x:v>MUOIBET</x:v>
      </x:c>
      <x:c r="AF549" s="123" t="n">
        <x:v>0</x:v>
      </x:c>
      <x:c r="AG549" s="112" t="str">
        <x:v>g</x:v>
      </x:c>
      <x:c r="AH549" s="112" t="str">
        <x:v>BỊCH</x:v>
      </x:c>
      <x:c r="AI549" s="112" t="str">
        <x:v>0 g / BỊCH</x:v>
      </x:c>
      <x:c r="AJ549" s="120" t="n">
        <x:v>275000</x:v>
      </x:c>
      <x:c r="AK549" s="120"/>
      <x:c r="AL549" s="120" t="n">
        <x:v>275000</x:v>
      </x:c>
      <x:c r="AM549" s="112" t="str">
        <x:v>BỔ SUNG GIÁ</x:v>
      </x:c>
      <x:c r="AN549" s="126" t="n">
        <x:v>1230</x:v>
      </x:c>
      <x:c r="AO549" s="126" t="n">
        <x:v>1231</x:v>
      </x:c>
      <x:c r="AP549" s="113" t="str">
        <x:v>25 BỊCH / THÙNG</x:v>
      </x:c>
    </x:row>
    <x:row r="550">
      <x:c r="A550" s="71" t="str">
        <x:v>BỘT MÔN MOTA</x:v>
      </x:c>
      <x:c r="B550" s="30" t="str">
        <x:v>BỘT MÔN MOTA - THÙNG</x:v>
      </x:c>
      <x:c r="C550" s="37" t="str">
        <x:v>MONMOT</x:v>
      </x:c>
      <x:c r="D550" s="37" t="str">
        <x:v>MONMOTT</x:v>
      </x:c>
      <x:c r="E550" s="37" t="str">
        <x:v>MONMOTT</x:v>
      </x:c>
      <x:c r="F550" s="37" t="n">
        <x:v>20</x:v>
      </x:c>
      <x:c r="G550" s="37" t="n">
        <x:v>0</x:v>
      </x:c>
      <x:c r="H550" s="37" t="str">
        <x:v>g</x:v>
      </x:c>
      <x:c r="I550" s="37" t="str">
        <x:v>THÙNG</x:v>
      </x:c>
      <x:c r="J550" s="59" t="n">
        <x:v>0</x:v>
      </x:c>
      <x:c r="K550" s="59" t="n">
        <x:v>0</x:v>
      </x:c>
      <x:c r="L550" s="59" t="n">
        <x:v>0</x:v>
      </x:c>
      <x:c r="M550" s="37" t="str">
        <x:v>Bột cacao / socola / môn</x:v>
      </x:c>
      <x:c r="N550" s="37" t="str">
        <x:v>CHƯA CÓ GIÁ LẺ</x:v>
      </x:c>
      <x:c r="O550" s="61" t="n">
        <x:v>0.545</x:v>
      </x:c>
      <x:c r="P550" s="37"/>
      <x:c r="Q550" s="30"/>
      <x:c r="R550" s="30"/>
      <x:c r="S550" s="30"/>
      <x:c r="T550" s="37"/>
      <x:c r="U550" s="59"/>
      <x:c r="V550" s="59"/>
      <x:c r="W550" s="117" t="n">
        <x:v>145000</x:v>
      </x:c>
      <x:c r="X550" s="59" t="str">
        <x:f>IFERROR(IF(OR($N550="ĐÃ GHÉP - AUTO",$N550="ĐÃ GHÉP - QUY TẮC"),IF($V550="","",IF($T550="THÙNG",$V550/$F550,$V550)),""),"")</x:f>
      </x:c>
      <x:c r="Y550" s="117" t="n">
        <x:f>IF(OR(W550="",F550=""),"",W550*F550)</x:f>
        <x:v>2900000</x:v>
      </x:c>
      <x:c r="Z550" s="59" t="str">
        <x:f>IFERROR(IF(OR($N550="ĐÃ GHÉP - AUTO",$N550="ĐÃ GHÉP - QUY TẮC"),IF($V550="","",IF($T550="THÙNG",$V550,$V550*$F550)),""),"")</x:f>
      </x:c>
      <x:c r="AA550" s="28" t="str">
        <x:f>IFERROR(IF(OR($K550="",$K550=0,$Y550=""),"",($Y550-$K550)/$K550),"")</x:f>
      </x:c>
      <x:c r="AB550" s="37" t="str">
        <x:f>IFERROR(IF($N550="CẦN DUYỆT","DUYỆT MAP",IF($N550="CHƯA CÓ GIÁ LẺ","THIẾU GIÁ",IF(OR($K550="",$K550=0,$Y550=""),"OK",IF(ABS(($Y550-$K550)/$K550)&gt;0.15,"LỆCH GIÁ CŨ","OK")))),"OK")</x:f>
        <x:v>THIẾU GIÁ</x:v>
      </x:c>
      <x:c r="AC550" s="30" t="str">
        <x:v>ứng viên gần nhất=Bột môn GTP; score=0.545</x:v>
      </x:c>
      <x:c r="AD550" s="37" t="str">
        <x:v>MONMOT</x:v>
      </x:c>
      <x:c r="AE550" s="38" t="str">
        <x:v>MONMOTT</x:v>
      </x:c>
      <x:c r="AF550" s="123" t="n">
        <x:v>0</x:v>
      </x:c>
      <x:c r="AG550" s="112" t="str">
        <x:v>g</x:v>
      </x:c>
      <x:c r="AH550" s="112" t="str">
        <x:v>BỊCH</x:v>
      </x:c>
      <x:c r="AI550" s="112" t="str">
        <x:v>0 g / BỊCH</x:v>
      </x:c>
      <x:c r="AJ550" s="120" t="n">
        <x:v>145000</x:v>
      </x:c>
      <x:c r="AK550" s="120"/>
      <x:c r="AL550" s="120" t="n">
        <x:v>145000</x:v>
      </x:c>
      <x:c r="AM550" s="112" t="str">
        <x:v>BỔ SUNG GIÁ</x:v>
      </x:c>
      <x:c r="AN550" s="126" t="n">
        <x:v>1232</x:v>
      </x:c>
      <x:c r="AO550" s="126" t="n">
        <x:v>1233</x:v>
      </x:c>
      <x:c r="AP550" s="113" t="str">
        <x:v>20 BỊCH / THÙNG</x:v>
      </x:c>
    </x:row>
    <x:row r="551">
      <x:c r="A551" s="71" t="str">
        <x:v>BỘT MÔN KING</x:v>
      </x:c>
      <x:c r="B551" s="30" t="str">
        <x:v>BỘT MÔN KING - THÙNG</x:v>
      </x:c>
      <x:c r="C551" s="37" t="str">
        <x:v>MONKIG</x:v>
      </x:c>
      <x:c r="D551" s="37" t="str">
        <x:v>MONKIGT</x:v>
      </x:c>
      <x:c r="E551" s="37" t="str">
        <x:v>MONKIGT</x:v>
      </x:c>
      <x:c r="F551" s="37" t="n">
        <x:v>20</x:v>
      </x:c>
      <x:c r="G551" s="37" t="n">
        <x:v>21000</x:v>
      </x:c>
      <x:c r="H551" s="37" t="str">
        <x:v>g</x:v>
      </x:c>
      <x:c r="I551" s="37" t="str">
        <x:v>THÙNG</x:v>
      </x:c>
      <x:c r="J551" s="59" t="n">
        <x:v>0</x:v>
      </x:c>
      <x:c r="K551" s="59" t="n">
        <x:v>0</x:v>
      </x:c>
      <x:c r="L551" s="59" t="n">
        <x:v>0</x:v>
      </x:c>
      <x:c r="M551" s="37" t="str">
        <x:v>Bột cacao / socola / môn</x:v>
      </x:c>
      <x:c r="N551" s="37" t="str">
        <x:v>ĐÃ GHÉP - AUTO</x:v>
      </x:c>
      <x:c r="O551" s="61" t="n">
        <x:v>0.97</x:v>
      </x:c>
      <x:c r="P551" s="37" t="n">
        <x:v>158</x:v>
      </x:c>
      <x:c r="Q551" s="30" t="str">
        <x:v>Bột môn King</x:v>
      </x:c>
      <x:c r="R551" s="30" t="str">
        <x:v>Thùng 20 gói</x:v>
      </x:c>
      <x:c r="S551" s="30" t="str">
        <x:v>gói 1kg</x:v>
      </x:c>
      <x:c r="T551" s="37" t="str">
        <x:v>ĐƠN VỊ</x:v>
      </x:c>
      <x:c r="U551" s="59" t="n">
        <x:v>152000</x:v>
      </x:c>
      <x:c r="V551" s="59"/>
      <x:c r="W551" s="117" t="n">
        <x:v>152000</x:v>
      </x:c>
      <x:c r="X551" s="59" t="str">
        <x:f>IFERROR(IF(OR($N551="ĐÃ GHÉP - AUTO",$N551="ĐÃ GHÉP - QUY TẮC"),IF($V551="","",IF($T551="THÙNG",$V551/$F551,$V551)),""),"")</x:f>
      </x:c>
      <x:c r="Y551" s="117" t="n">
        <x:f>IF(OR(W551="",F551=""),"",W551*F551)</x:f>
        <x:v>3040000</x:v>
      </x:c>
      <x:c r="Z551" s="59" t="str">
        <x:f>IFERROR(IF(OR($N551="ĐÃ GHÉP - AUTO",$N551="ĐÃ GHÉP - QUY TẮC"),IF($V551="","",IF($T551="THÙNG",$V551,$V551*$F551)),""),"")</x:f>
      </x:c>
      <x:c r="AA551" s="28" t="str">
        <x:f>IFERROR(IF(OR($K551="",$K551=0,$Y551=""),"",($Y551-$K551)/$K551),"")</x:f>
      </x:c>
      <x:c r="AB551" s="37" t="str">
        <x:f>IFERROR(IF($N551="CẦN DUYỆT","DUYỆT MAP",IF($N551="CHƯA CÓ GIÁ LẺ","THIẾU GIÁ",IF(OR($K551="",$K551=0,$Y551=""),"OK",IF(ABS(($Y551-$K551)/$K551)&gt;0.15,"LỆCH GIÁ CŨ","OK")))),"OK")</x:f>
        <x:v>OK</x:v>
      </x:c>
      <x:c r="AC551" s="30" t="str">
        <x:v>score=0.970; gap=0.393</x:v>
      </x:c>
      <x:c r="AD551" s="37" t="str">
        <x:v>MONKIG</x:v>
      </x:c>
      <x:c r="AE551" s="38" t="str">
        <x:v>MONKIGT</x:v>
      </x:c>
      <x:c r="AF551" s="123" t="n">
        <x:v>1000</x:v>
      </x:c>
      <x:c r="AG551" s="112" t="str">
        <x:v>g</x:v>
      </x:c>
      <x:c r="AH551" s="112" t="str">
        <x:v>BỊCH</x:v>
      </x:c>
      <x:c r="AI551" s="112" t="str">
        <x:v>1000 g / BỊCH</x:v>
      </x:c>
      <x:c r="AJ551" s="120" t="n">
        <x:v>152000</x:v>
      </x:c>
      <x:c r="AK551" s="120" t="n">
        <x:v>152000</x:v>
      </x:c>
      <x:c r="AL551" s="120" t="n">
        <x:v>152000</x:v>
      </x:c>
      <x:c r="AM551" s="112" t="str">
        <x:v>GIỮ NGUYÊN - ĐÃ KHỚP</x:v>
      </x:c>
      <x:c r="AN551" s="126" t="n">
        <x:v>1234</x:v>
      </x:c>
      <x:c r="AO551" s="126" t="n">
        <x:v>1235</x:v>
      </x:c>
      <x:c r="AP551" s="113" t="str">
        <x:v>20 BỊCH / THÙNG</x:v>
      </x:c>
    </x:row>
    <x:row r="552">
      <x:c r="A552" s="71" t="str">
        <x:v>BỘT MÔN GTP</x:v>
      </x:c>
      <x:c r="B552" s="30" t="str">
        <x:v>BỘT MÔN GTP - THÙNG</x:v>
      </x:c>
      <x:c r="C552" s="37" t="str">
        <x:v>MONGTP</x:v>
      </x:c>
      <x:c r="D552" s="37" t="str">
        <x:v>MONGTPT</x:v>
      </x:c>
      <x:c r="E552" s="37" t="str">
        <x:v>MONGTPT</x:v>
      </x:c>
      <x:c r="F552" s="37" t="n">
        <x:v>20</x:v>
      </x:c>
      <x:c r="G552" s="37" t="n">
        <x:v>21000</x:v>
      </x:c>
      <x:c r="H552" s="37" t="str">
        <x:v>g</x:v>
      </x:c>
      <x:c r="I552" s="37" t="str">
        <x:v>THÙNG</x:v>
      </x:c>
      <x:c r="J552" s="59" t="n">
        <x:v>0</x:v>
      </x:c>
      <x:c r="K552" s="59" t="n">
        <x:v>0</x:v>
      </x:c>
      <x:c r="L552" s="59" t="n">
        <x:v>0</x:v>
      </x:c>
      <x:c r="M552" s="37" t="str">
        <x:v>Bột cacao / socola / môn</x:v>
      </x:c>
      <x:c r="N552" s="37" t="str">
        <x:v>ĐÃ GHÉP - AUTO</x:v>
      </x:c>
      <x:c r="O552" s="61" t="n">
        <x:v>0.97</x:v>
      </x:c>
      <x:c r="P552" s="37" t="n">
        <x:v>162</x:v>
      </x:c>
      <x:c r="Q552" s="30" t="str">
        <x:v>Bột môn GTP</x:v>
      </x:c>
      <x:c r="R552" s="30" t="str">
        <x:v>Thùng 20 gói</x:v>
      </x:c>
      <x:c r="S552" s="30" t="str">
        <x:v>gói 1kg</x:v>
      </x:c>
      <x:c r="T552" s="37" t="str">
        <x:v>ĐƠN VỊ</x:v>
      </x:c>
      <x:c r="U552" s="59" t="n">
        <x:v>174000</x:v>
      </x:c>
      <x:c r="V552" s="59"/>
      <x:c r="W552" s="117" t="n">
        <x:v>174000</x:v>
      </x:c>
      <x:c r="X552" s="59" t="str">
        <x:f>IFERROR(IF(OR($N552="ĐÃ GHÉP - AUTO",$N552="ĐÃ GHÉP - QUY TẮC"),IF($V552="","",IF($T552="THÙNG",$V552/$F552,$V552)),""),"")</x:f>
      </x:c>
      <x:c r="Y552" s="117" t="n">
        <x:f>IF(OR(W552="",F552=""),"",W552*F552)</x:f>
        <x:v>3480000</x:v>
      </x:c>
      <x:c r="Z552" s="59" t="str">
        <x:f>IFERROR(IF(OR($N552="ĐÃ GHÉP - AUTO",$N552="ĐÃ GHÉP - QUY TẮC"),IF($V552="","",IF($T552="THÙNG",$V552,$V552*$F552)),""),"")</x:f>
      </x:c>
      <x:c r="AA552" s="28" t="str">
        <x:f>IFERROR(IF(OR($K552="",$K552=0,$Y552=""),"",($Y552-$K552)/$K552),"")</x:f>
      </x:c>
      <x:c r="AB552" s="37" t="str">
        <x:f>IFERROR(IF($N552="CẦN DUYỆT","DUYỆT MAP",IF($N552="CHƯA CÓ GIÁ LẺ","THIẾU GIÁ",IF(OR($K552="",$K552=0,$Y552=""),"OK",IF(ABS(($Y552-$K552)/$K552)&gt;0.15,"LỆCH GIÁ CŨ","OK")))),"OK")</x:f>
        <x:v>OK</x:v>
      </x:c>
      <x:c r="AC552" s="30" t="str">
        <x:v>score=0.970; gap=0.413</x:v>
      </x:c>
      <x:c r="AD552" s="37" t="str">
        <x:v>MONGTP</x:v>
      </x:c>
      <x:c r="AE552" s="38" t="str">
        <x:v>MONGTPT</x:v>
      </x:c>
      <x:c r="AF552" s="123" t="n">
        <x:v>1000</x:v>
      </x:c>
      <x:c r="AG552" s="112" t="str">
        <x:v>g</x:v>
      </x:c>
      <x:c r="AH552" s="112" t="str">
        <x:v>BỊCH</x:v>
      </x:c>
      <x:c r="AI552" s="112" t="str">
        <x:v>1000 g / BỊCH</x:v>
      </x:c>
      <x:c r="AJ552" s="120" t="n">
        <x:v>174000</x:v>
      </x:c>
      <x:c r="AK552" s="120" t="n">
        <x:v>174000</x:v>
      </x:c>
      <x:c r="AL552" s="120" t="n">
        <x:v>174000</x:v>
      </x:c>
      <x:c r="AM552" s="112" t="str">
        <x:v>GIỮ NGUYÊN - ĐÃ KHỚP</x:v>
      </x:c>
      <x:c r="AN552" s="126" t="n">
        <x:v>1236</x:v>
      </x:c>
      <x:c r="AO552" s="126" t="n">
        <x:v>1237</x:v>
      </x:c>
      <x:c r="AP552" s="113" t="str">
        <x:v>20 BỊCH / THÙNG</x:v>
      </x:c>
    </x:row>
    <x:row r="553">
      <x:c r="A553" s="71" t="str">
        <x:v>BỘT MÔN BKB</x:v>
      </x:c>
      <x:c r="B553" s="30" t="str">
        <x:v>BỘT MÔN BKB - THÙNG</x:v>
      </x:c>
      <x:c r="C553" s="37" t="str">
        <x:v>MONBKB</x:v>
      </x:c>
      <x:c r="D553" s="37" t="str">
        <x:v>MONBKBT</x:v>
      </x:c>
      <x:c r="E553" s="37" t="str">
        <x:v>MONBKBT</x:v>
      </x:c>
      <x:c r="F553" s="37" t="n">
        <x:v>10</x:v>
      </x:c>
      <x:c r="G553" s="37" t="n">
        <x:v>0</x:v>
      </x:c>
      <x:c r="H553" s="37" t="str">
        <x:v>g</x:v>
      </x:c>
      <x:c r="I553" s="37" t="str">
        <x:v>THÙNG</x:v>
      </x:c>
      <x:c r="J553" s="59" t="n">
        <x:v>0</x:v>
      </x:c>
      <x:c r="K553" s="59" t="n">
        <x:v>0</x:v>
      </x:c>
      <x:c r="L553" s="59" t="n">
        <x:v>0</x:v>
      </x:c>
      <x:c r="M553" s="37" t="str">
        <x:v>Bột cacao / socola / môn</x:v>
      </x:c>
      <x:c r="N553" s="37" t="str">
        <x:v>CHƯA CÓ GIÁ LẺ</x:v>
      </x:c>
      <x:c r="O553" s="61" t="n">
        <x:v>0.477</x:v>
      </x:c>
      <x:c r="P553" s="37"/>
      <x:c r="Q553" s="30"/>
      <x:c r="R553" s="30"/>
      <x:c r="S553" s="30"/>
      <x:c r="T553" s="37"/>
      <x:c r="U553" s="59"/>
      <x:c r="V553" s="59"/>
      <x:c r="W553" s="117" t="n">
        <x:v>100000</x:v>
      </x:c>
      <x:c r="X553" s="59" t="str">
        <x:f>IFERROR(IF(OR($N553="ĐÃ GHÉP - AUTO",$N553="ĐÃ GHÉP - QUY TẮC"),IF($V553="","",IF($T553="THÙNG",$V553/$F553,$V553)),""),"")</x:f>
      </x:c>
      <x:c r="Y553" s="117" t="n">
        <x:f>IF(OR(W553="",F553=""),"",W553*F553)</x:f>
        <x:v>1000000</x:v>
      </x:c>
      <x:c r="Z553" s="59" t="str">
        <x:f>IFERROR(IF(OR($N553="ĐÃ GHÉP - AUTO",$N553="ĐÃ GHÉP - QUY TẮC"),IF($V553="","",IF($T553="THÙNG",$V553,$V553*$F553)),""),"")</x:f>
      </x:c>
      <x:c r="AA553" s="28" t="str">
        <x:f>IFERROR(IF(OR($K553="",$K553=0,$Y553=""),"",($Y553-$K553)/$K553),"")</x:f>
      </x:c>
      <x:c r="AB553" s="37" t="str">
        <x:f>IFERROR(IF($N553="CẦN DUYỆT","DUYỆT MAP",IF($N553="CHƯA CÓ GIÁ LẺ","THIẾU GIÁ",IF(OR($K553="",$K553=0,$Y553=""),"OK",IF(ABS(($Y553-$K553)/$K553)&gt;0.15,"LỆCH GIÁ CŨ","OK")))),"OK")</x:f>
        <x:v>THIẾU GIÁ</x:v>
      </x:c>
      <x:c r="AC553" s="30" t="str">
        <x:v>ứng viên gần nhất=Bột môn King; score=0.477</x:v>
      </x:c>
      <x:c r="AD553" s="37" t="str">
        <x:v>MONBKB</x:v>
      </x:c>
      <x:c r="AE553" s="38" t="str">
        <x:v>MONBKBT</x:v>
      </x:c>
      <x:c r="AF553" s="123" t="n">
        <x:v>0</x:v>
      </x:c>
      <x:c r="AG553" s="112" t="str">
        <x:v>g</x:v>
      </x:c>
      <x:c r="AH553" s="112" t="str">
        <x:v>BỊCH</x:v>
      </x:c>
      <x:c r="AI553" s="112" t="str">
        <x:v>0 g / BỊCH</x:v>
      </x:c>
      <x:c r="AJ553" s="120" t="n">
        <x:v>100000</x:v>
      </x:c>
      <x:c r="AK553" s="120"/>
      <x:c r="AL553" s="120" t="n">
        <x:v>100000</x:v>
      </x:c>
      <x:c r="AM553" s="112" t="str">
        <x:v>BỔ SUNG GIÁ</x:v>
      </x:c>
      <x:c r="AN553" s="126" t="n">
        <x:v>1239</x:v>
      </x:c>
      <x:c r="AO553" s="126" t="n">
        <x:v>1240</x:v>
      </x:c>
      <x:c r="AP553" s="113" t="str">
        <x:v>10 BỊCH / THÙNG</x:v>
      </x:c>
    </x:row>
    <x:row r="554">
      <x:c r="A554" s="71" t="str">
        <x:v>BỘT MILO</x:v>
      </x:c>
      <x:c r="B554" s="30" t="str">
        <x:v>BỘT MILO - THÙNG</x:v>
      </x:c>
      <x:c r="C554" s="37" t="str">
        <x:v>BOMILO</x:v>
      </x:c>
      <x:c r="D554" s="37" t="str">
        <x:v>BOMILOT</x:v>
      </x:c>
      <x:c r="E554" s="37" t="str">
        <x:v>BOMILOT</x:v>
      </x:c>
      <x:c r="F554" s="37" t="n">
        <x:v>10</x:v>
      </x:c>
      <x:c r="G554" s="37" t="n">
        <x:v>0</x:v>
      </x:c>
      <x:c r="H554" s="37" t="str">
        <x:v>g</x:v>
      </x:c>
      <x:c r="I554" s="37" t="str">
        <x:v>THÙNG</x:v>
      </x:c>
      <x:c r="J554" s="59" t="n">
        <x:v>0</x:v>
      </x:c>
      <x:c r="K554" s="59" t="n">
        <x:v>0</x:v>
      </x:c>
      <x:c r="L554" s="59" t="n">
        <x:v>0</x:v>
      </x:c>
      <x:c r="M554" s="37" t="str">
        <x:v>Bột cacao / socola / môn</x:v>
      </x:c>
      <x:c r="N554" s="37" t="str">
        <x:v>ĐÃ GHÉP - AUTO</x:v>
      </x:c>
      <x:c r="O554" s="61" t="n">
        <x:v>0.97</x:v>
      </x:c>
      <x:c r="P554" s="37" t="n">
        <x:v>154</x:v>
      </x:c>
      <x:c r="Q554" s="30" t="str">
        <x:v>Bột Milo</x:v>
      </x:c>
      <x:c r="R554" s="30" t="str">
        <x:v>thùng 10 kg</x:v>
      </x:c>
      <x:c r="S554" s="30" t="str">
        <x:v>gói 1kg</x:v>
      </x:c>
      <x:c r="T554" s="37" t="str">
        <x:v>ĐƠN VỊ</x:v>
      </x:c>
      <x:c r="U554" s="59" t="n">
        <x:v>170000</x:v>
      </x:c>
      <x:c r="V554" s="59"/>
      <x:c r="W554" s="117" t="n">
        <x:v>167000</x:v>
      </x:c>
      <x:c r="X554" s="59" t="str">
        <x:f>IFERROR(IF(OR($N554="ĐÃ GHÉP - AUTO",$N554="ĐÃ GHÉP - QUY TẮC"),IF($V554="","",IF($T554="THÙNG",$V554/$F554,$V554)),""),"")</x:f>
      </x:c>
      <x:c r="Y554" s="117" t="n">
        <x:f>IF(OR(W554="",F554=""),"",W554*F554)</x:f>
        <x:v>1670000</x:v>
      </x:c>
      <x:c r="Z554" s="59" t="str">
        <x:f>IFERROR(IF(OR($N554="ĐÃ GHÉP - AUTO",$N554="ĐÃ GHÉP - QUY TẮC"),IF($V554="","",IF($T554="THÙNG",$V554,$V554*$F554)),""),"")</x:f>
      </x:c>
      <x:c r="AA554" s="28" t="str">
        <x:f>IFERROR(IF(OR($K554="",$K554=0,$Y554=""),"",($Y554-$K554)/$K554),"")</x:f>
      </x:c>
      <x:c r="AB554" s="37" t="str">
        <x:f>IFERROR(IF($N554="CẦN DUYỆT","DUYỆT MAP",IF($N554="CHƯA CÓ GIÁ LẺ","THIẾU GIÁ",IF(OR($K554="",$K554=0,$Y554=""),"OK",IF(ABS(($Y554-$K554)/$K554)&gt;0.15,"LỆCH GIÁ CŨ","OK")))),"OK")</x:f>
        <x:v>OK</x:v>
      </x:c>
      <x:c r="AC554" s="30" t="str">
        <x:v>score=0.970; gap=0.610</x:v>
      </x:c>
      <x:c r="AD554" s="37" t="str">
        <x:v>BOMILO</x:v>
      </x:c>
      <x:c r="AE554" s="38" t="str">
        <x:v>BOMILOT</x:v>
      </x:c>
      <x:c r="AF554" s="123" t="n">
        <x:v>1000</x:v>
      </x:c>
      <x:c r="AG554" s="112" t="str">
        <x:v>g</x:v>
      </x:c>
      <x:c r="AH554" s="112" t="str">
        <x:v>BỊCH</x:v>
      </x:c>
      <x:c r="AI554" s="112" t="str">
        <x:v>1000 g / BỊCH</x:v>
      </x:c>
      <x:c r="AJ554" s="120" t="n">
        <x:v>167000</x:v>
      </x:c>
      <x:c r="AK554" s="120" t="n">
        <x:v>170000</x:v>
      </x:c>
      <x:c r="AL554" s="120" t="n">
        <x:v>167000</x:v>
      </x:c>
      <x:c r="AM554" s="112" t="str">
        <x:v>CẬP NHẬT GIÁ</x:v>
      </x:c>
      <x:c r="AN554" s="126" t="n">
        <x:v>1242</x:v>
      </x:c>
      <x:c r="AO554" s="126" t="n">
        <x:v>1243</x:v>
      </x:c>
      <x:c r="AP554" s="113" t="str">
        <x:v>10 BỊCH / THÙNG</x:v>
      </x:c>
    </x:row>
    <x:row r="555">
      <x:c r="A555" s="71" t="str">
        <x:v>BỘT MILKFOAM LUAVE</x:v>
      </x:c>
      <x:c r="B555" s="30" t="str">
        <x:v>BỘT MILKFOAM LUAVE - THÙNG</x:v>
      </x:c>
      <x:c r="C555" s="37" t="str">
        <x:v>BMFLUA</x:v>
      </x:c>
      <x:c r="D555" s="37" t="str">
        <x:v>BMFLUAT</x:v>
      </x:c>
      <x:c r="E555" s="37" t="str">
        <x:v>BMFLUAT</x:v>
      </x:c>
      <x:c r="F555" s="37" t="n">
        <x:v>20</x:v>
      </x:c>
      <x:c r="G555" s="37" t="n">
        <x:v>11000</x:v>
      </x:c>
      <x:c r="H555" s="37" t="str">
        <x:v>g</x:v>
      </x:c>
      <x:c r="I555" s="37" t="str">
        <x:v>THÙNG</x:v>
      </x:c>
      <x:c r="J555" s="59" t="n">
        <x:v>0</x:v>
      </x:c>
      <x:c r="K555" s="59" t="n">
        <x:v>0</x:v>
      </x:c>
      <x:c r="L555" s="59" t="n">
        <x:v>0</x:v>
      </x:c>
      <x:c r="M555" s="37" t="str">
        <x:v>Bột sữa / milkfoam</x:v>
      </x:c>
      <x:c r="N555" s="37" t="str">
        <x:v>ĐÃ GHÉP - QUY TẮC</x:v>
      </x:c>
      <x:c r="O555" s="61" t="n">
        <x:v>0.99</x:v>
      </x:c>
      <x:c r="P555" s="37" t="n">
        <x:v>135</x:v>
      </x:c>
      <x:c r="Q555" s="30" t="str">
        <x:v>Bột milkfoarm Luave</x:v>
      </x:c>
      <x:c r="R555" s="30" t="str">
        <x:v>thùng 20g</x:v>
      </x:c>
      <x:c r="S555" s="30" t="str">
        <x:v>gói 1kg</x:v>
      </x:c>
      <x:c r="T555" s="37" t="str">
        <x:v>ĐƠN VỊ</x:v>
      </x:c>
      <x:c r="U555" s="59" t="n">
        <x:v>128000</x:v>
      </x:c>
      <x:c r="V555" s="59"/>
      <x:c r="W555" s="117" t="n">
        <x:v>128000</x:v>
      </x:c>
      <x:c r="X555" s="59" t="str">
        <x:f>IFERROR(IF(OR($N555="ĐÃ GHÉP - AUTO",$N555="ĐÃ GHÉP - QUY TẮC"),IF($V555="","",IF($T555="THÙNG",$V555/$F555,$V555)),""),"")</x:f>
      </x:c>
      <x:c r="Y555" s="117" t="n">
        <x:f>IF(OR(W555="",F555=""),"",W555*F555)</x:f>
        <x:v>2560000</x:v>
      </x:c>
      <x:c r="Z555" s="59" t="str">
        <x:f>IFERROR(IF(OR($N555="ĐÃ GHÉP - AUTO",$N555="ĐÃ GHÉP - QUY TẮC"),IF($V555="","",IF($T555="THÙNG",$V555,$V555*$F555)),""),"")</x:f>
      </x:c>
      <x:c r="AA555" s="28" t="str">
        <x:f>IFERROR(IF(OR($K555="",$K555=0,$Y555=""),"",($Y555-$K555)/$K555),"")</x:f>
      </x:c>
      <x:c r="AB555" s="37" t="str">
        <x:f>IFERROR(IF($N555="CẦN DUYỆT","DUYỆT MAP",IF($N555="CHƯA CÓ GIÁ LẺ","THIẾU GIÁ",IF(OR($K555="",$K555=0,$Y555=""),"OK",IF(ABS(($Y555-$K555)/$K555)&gt;0.15,"LỆCH GIÁ CŨ","OK")))),"OK")</x:f>
        <x:v>OK</x:v>
      </x:c>
      <x:c r="AC555" s="30" t="str">
        <x:v>Sửa lỗi chính tả milkfoarm</x:v>
      </x:c>
      <x:c r="AD555" s="37" t="str">
        <x:v>BMFLUA</x:v>
      </x:c>
      <x:c r="AE555" s="38" t="str">
        <x:v>BMFLUAT</x:v>
      </x:c>
      <x:c r="AF555" s="123" t="n">
        <x:v>550</x:v>
      </x:c>
      <x:c r="AG555" s="112" t="str">
        <x:v>g</x:v>
      </x:c>
      <x:c r="AH555" s="112" t="str">
        <x:v>BỊCH</x:v>
      </x:c>
      <x:c r="AI555" s="112" t="str">
        <x:v>550 g / BỊCH</x:v>
      </x:c>
      <x:c r="AJ555" s="120" t="n">
        <x:v>128000</x:v>
      </x:c>
      <x:c r="AK555" s="120" t="n">
        <x:v>128000</x:v>
      </x:c>
      <x:c r="AL555" s="120" t="n">
        <x:v>128000</x:v>
      </x:c>
      <x:c r="AM555" s="112" t="str">
        <x:v>GIỮ NGUYÊN - ĐÃ KHỚP</x:v>
      </x:c>
      <x:c r="AN555" s="126" t="n">
        <x:v>1244</x:v>
      </x:c>
      <x:c r="AO555" s="126" t="n">
        <x:v>1245</x:v>
      </x:c>
      <x:c r="AP555" s="113" t="str">
        <x:v>20 BỊCH / THÙNG</x:v>
      </x:c>
    </x:row>
    <x:row r="556">
      <x:c r="A556" s="71" t="str">
        <x:v>BỘT MATCHA SEOUL</x:v>
      </x:c>
      <x:c r="B556" s="30" t="str">
        <x:v>BỘT MATCHA SEOUL - THÙNG</x:v>
      </x:c>
      <x:c r="C556" s="37" t="str">
        <x:v>MCHASE</x:v>
      </x:c>
      <x:c r="D556" s="37" t="str">
        <x:v>MCHASET</x:v>
      </x:c>
      <x:c r="E556" s="37" t="str">
        <x:v>MCHASET</x:v>
      </x:c>
      <x:c r="F556" s="37" t="n">
        <x:v>40</x:v>
      </x:c>
      <x:c r="G556" s="37" t="n">
        <x:v>0</x:v>
      </x:c>
      <x:c r="H556" s="37" t="str">
        <x:v>g</x:v>
      </x:c>
      <x:c r="I556" s="37" t="str">
        <x:v>THÙNG</x:v>
      </x:c>
      <x:c r="J556" s="59" t="n">
        <x:v>0</x:v>
      </x:c>
      <x:c r="K556" s="59" t="n">
        <x:v>0</x:v>
      </x:c>
      <x:c r="L556" s="59" t="n">
        <x:v>0</x:v>
      </x:c>
      <x:c r="M556" s="37" t="str">
        <x:v>Khác</x:v>
      </x:c>
      <x:c r="N556" s="37" t="str">
        <x:v>ĐÃ GHÉP - AUTO</x:v>
      </x:c>
      <x:c r="O556" s="61" t="n">
        <x:v>0.93</x:v>
      </x:c>
      <x:c r="P556" s="37" t="n">
        <x:v>210</x:v>
      </x:c>
      <x:c r="Q556" s="30" t="str">
        <x:v>Bot matcha SEOUL</x:v>
      </x:c>
      <x:c r="R556" s="30" t="str">
        <x:v>goi</x:v>
      </x:c>
      <x:c r="S556" s="30" t="str">
        <x:v>goi 200g</x:v>
      </x:c>
      <x:c r="T556" s="37" t="str">
        <x:v>ĐƠN VỊ</x:v>
      </x:c>
      <x:c r="U556" s="59" t="n">
        <x:v>129000</x:v>
      </x:c>
      <x:c r="V556" s="59"/>
      <x:c r="W556" s="117" t="n">
        <x:v>129000</x:v>
      </x:c>
      <x:c r="X556" s="59" t="str">
        <x:f>IFERROR(IF(OR($N556="ĐÃ GHÉP - AUTO",$N556="ĐÃ GHÉP - QUY TẮC"),IF($V556="","",IF($T556="THÙNG",$V556/$F556,$V556)),""),"")</x:f>
      </x:c>
      <x:c r="Y556" s="117" t="n">
        <x:f>IF(OR(W556="",F556=""),"",W556*F556)</x:f>
        <x:v>5160000</x:v>
      </x:c>
      <x:c r="Z556" s="59" t="str">
        <x:f>IFERROR(IF(OR($N556="ĐÃ GHÉP - AUTO",$N556="ĐÃ GHÉP - QUY TẮC"),IF($V556="","",IF($T556="THÙNG",$V556,$V556*$F556)),""),"")</x:f>
      </x:c>
      <x:c r="AA556" s="28" t="str">
        <x:f>IFERROR(IF(OR($K556="",$K556=0,$Y556=""),"",($Y556-$K556)/$K556),"")</x:f>
      </x:c>
      <x:c r="AB556" s="37" t="str">
        <x:f>IFERROR(IF($N556="CẦN DUYỆT","DUYỆT MAP",IF($N556="CHƯA CÓ GIÁ LẺ","THIẾU GIÁ",IF(OR($K556="",$K556=0,$Y556=""),"OK",IF(ABS(($Y556-$K556)/$K556)&gt;0.15,"LỆCH GIÁ CŨ","OK")))),"OK")</x:f>
        <x:v>OK</x:v>
      </x:c>
      <x:c r="AC556" s="30" t="str">
        <x:v>score=0.930; gap=0.314</x:v>
      </x:c>
      <x:c r="AD556" s="37" t="str">
        <x:v>MCHASE</x:v>
      </x:c>
      <x:c r="AE556" s="38" t="str">
        <x:v>MCHASET</x:v>
      </x:c>
      <x:c r="AF556" s="123" t="n">
        <x:v>0</x:v>
      </x:c>
      <x:c r="AG556" s="112" t="str">
        <x:v>g</x:v>
      </x:c>
      <x:c r="AH556" s="112" t="str">
        <x:v>BỊCH</x:v>
      </x:c>
      <x:c r="AI556" s="112" t="str">
        <x:v>0 g / BỊCH</x:v>
      </x:c>
      <x:c r="AJ556" s="120" t="n">
        <x:v>129000</x:v>
      </x:c>
      <x:c r="AK556" s="120" t="n">
        <x:v>129000</x:v>
      </x:c>
      <x:c r="AL556" s="120" t="n">
        <x:v>129000</x:v>
      </x:c>
      <x:c r="AM556" s="112" t="str">
        <x:v>GIỮ NGUYÊN - ĐÃ KHỚP</x:v>
      </x:c>
      <x:c r="AN556" s="126" t="n">
        <x:v>1246</x:v>
      </x:c>
      <x:c r="AO556" s="126" t="n">
        <x:v>1247</x:v>
      </x:c>
      <x:c r="AP556" s="113" t="str">
        <x:v>40 BỊCH / THÙNG</x:v>
      </x:c>
    </x:row>
    <x:row r="557">
      <x:c r="A557" s="71" t="str">
        <x:v>BỘT MATCHA ĐÀI LOAN</x:v>
      </x:c>
      <x:c r="B557" s="30" t="str">
        <x:v>BỘT MATCHA ĐÀI LOAN - THÙNG</x:v>
      </x:c>
      <x:c r="C557" s="37" t="str">
        <x:v>MCHADL</x:v>
      </x:c>
      <x:c r="D557" s="37" t="str">
        <x:v>MCHADLT</x:v>
      </x:c>
      <x:c r="E557" s="37" t="str">
        <x:v>MCHADLT</x:v>
      </x:c>
      <x:c r="F557" s="37" t="n">
        <x:v>10</x:v>
      </x:c>
      <x:c r="G557" s="37" t="n">
        <x:v>5000</x:v>
      </x:c>
      <x:c r="H557" s="37" t="str">
        <x:v>g</x:v>
      </x:c>
      <x:c r="I557" s="37" t="str">
        <x:v>THÙNG</x:v>
      </x:c>
      <x:c r="J557" s="59" t="n">
        <x:v>0</x:v>
      </x:c>
      <x:c r="K557" s="59" t="n">
        <x:v>0</x:v>
      </x:c>
      <x:c r="L557" s="59" t="n">
        <x:v>0</x:v>
      </x:c>
      <x:c r="M557" s="37" t="str">
        <x:v>Khác</x:v>
      </x:c>
      <x:c r="N557" s="37" t="str">
        <x:v>ĐÃ GHÉP - AUTO</x:v>
      </x:c>
      <x:c r="O557" s="61" t="n">
        <x:v>0.97</x:v>
      </x:c>
      <x:c r="P557" s="37" t="n">
        <x:v>208</x:v>
      </x:c>
      <x:c r="Q557" s="30" t="str">
        <x:v>Bột Matcha đai loan</x:v>
      </x:c>
      <x:c r="R557" s="30" t="str">
        <x:v>Thùng 10 gói</x:v>
      </x:c>
      <x:c r="S557" s="30" t="str">
        <x:v>gói</x:v>
      </x:c>
      <x:c r="T557" s="37" t="str">
        <x:v>ĐƠN VỊ</x:v>
      </x:c>
      <x:c r="U557" s="59" t="n">
        <x:v>360000</x:v>
      </x:c>
      <x:c r="V557" s="59"/>
      <x:c r="W557" s="117" t="n">
        <x:v>360000</x:v>
      </x:c>
      <x:c r="X557" s="59" t="str">
        <x:f>IFERROR(IF(OR($N557="ĐÃ GHÉP - AUTO",$N557="ĐÃ GHÉP - QUY TẮC"),IF($V557="","",IF($T557="THÙNG",$V557/$F557,$V557)),""),"")</x:f>
      </x:c>
      <x:c r="Y557" s="117" t="n">
        <x:f>IF(OR(W557="",F557=""),"",W557*F557)</x:f>
        <x:v>3600000</x:v>
      </x:c>
      <x:c r="Z557" s="59" t="str">
        <x:f>IFERROR(IF(OR($N557="ĐÃ GHÉP - AUTO",$N557="ĐÃ GHÉP - QUY TẮC"),IF($V557="","",IF($T557="THÙNG",$V557,$V557*$F557)),""),"")</x:f>
      </x:c>
      <x:c r="AA557" s="28" t="str">
        <x:f>IFERROR(IF(OR($K557="",$K557=0,$Y557=""),"",($Y557-$K557)/$K557),"")</x:f>
      </x:c>
      <x:c r="AB557" s="37" t="str">
        <x:f>IFERROR(IF($N557="CẦN DUYỆT","DUYỆT MAP",IF($N557="CHƯA CÓ GIÁ LẺ","THIẾU GIÁ",IF(OR($K557="",$K557=0,$Y557=""),"OK",IF(ABS(($Y557-$K557)/$K557)&gt;0.15,"LỆCH GIÁ CŨ","OK")))),"OK")</x:f>
        <x:v>OK</x:v>
      </x:c>
      <x:c r="AC557" s="30" t="str">
        <x:v>score=0.970; gap=0.265</x:v>
      </x:c>
      <x:c r="AD557" s="37" t="str">
        <x:v>MCHADL</x:v>
      </x:c>
      <x:c r="AE557" s="38" t="str">
        <x:v>MCHADLT</x:v>
      </x:c>
      <x:c r="AF557" s="123" t="n">
        <x:v>0</x:v>
      </x:c>
      <x:c r="AG557" s="112" t="str">
        <x:v>g</x:v>
      </x:c>
      <x:c r="AH557" s="112" t="str">
        <x:v>BỊCH 500G</x:v>
      </x:c>
      <x:c r="AI557" s="112" t="str">
        <x:v>0 g / BỊCH 500G</x:v>
      </x:c>
      <x:c r="AJ557" s="120" t="n">
        <x:v>360000</x:v>
      </x:c>
      <x:c r="AK557" s="120" t="n">
        <x:v>360000</x:v>
      </x:c>
      <x:c r="AL557" s="120" t="n">
        <x:v>360000</x:v>
      </x:c>
      <x:c r="AM557" s="112" t="str">
        <x:v>GIỮ NGUYÊN - ĐÃ KHỚP</x:v>
      </x:c>
      <x:c r="AN557" s="126" t="n">
        <x:v>1249</x:v>
      </x:c>
      <x:c r="AO557" s="126" t="n">
        <x:v>1250</x:v>
      </x:c>
      <x:c r="AP557" s="113" t="str">
        <x:v>10 BỊCH 500G / THÙNG</x:v>
      </x:c>
    </x:row>
    <x:row r="558">
      <x:c r="A558" s="71" t="str">
        <x:v>COZY BỘT MATCHA</x:v>
      </x:c>
      <x:c r="B558" s="30" t="str">
        <x:v>COZY BỘT MATCHA  - THÙNG</x:v>
      </x:c>
      <x:c r="C558" s="37" t="str">
        <x:v>COZMAT</x:v>
      </x:c>
      <x:c r="D558" s="37" t="str">
        <x:v>COZMATT</x:v>
      </x:c>
      <x:c r="E558" s="37" t="str">
        <x:v>COZMATT</x:v>
      </x:c>
      <x:c r="F558" s="37" t="n">
        <x:v>30</x:v>
      </x:c>
      <x:c r="G558" s="37" t="n">
        <x:v>0</x:v>
      </x:c>
      <x:c r="H558" s="37" t="str">
        <x:v>g</x:v>
      </x:c>
      <x:c r="I558" s="37" t="str">
        <x:v>THÙNG</x:v>
      </x:c>
      <x:c r="J558" s="59" t="n">
        <x:v>0</x:v>
      </x:c>
      <x:c r="K558" s="59" t="n">
        <x:v>0</x:v>
      </x:c>
      <x:c r="L558" s="59" t="n">
        <x:v>0</x:v>
      </x:c>
      <x:c r="M558" s="37" t="str">
        <x:v>Trà</x:v>
      </x:c>
      <x:c r="N558" s="37" t="str">
        <x:v>CẦN DUYỆT</x:v>
      </x:c>
      <x:c r="O558" s="61" t="n">
        <x:v>0.844</x:v>
      </x:c>
      <x:c r="P558" s="37" t="n">
        <x:v>209</x:v>
      </x:c>
      <x:c r="Q558" s="30" t="str">
        <x:v>Bot matcha cozy</x:v>
      </x:c>
      <x:c r="R558" s="30" t="str">
        <x:v>goi</x:v>
      </x:c>
      <x:c r="S558" s="30" t="str">
        <x:v>goi 200g</x:v>
      </x:c>
      <x:c r="T558" s="37" t="str">
        <x:v>ĐƠN VỊ</x:v>
      </x:c>
      <x:c r="U558" s="59" t="n">
        <x:v>143000</x:v>
      </x:c>
      <x:c r="V558" s="59"/>
      <x:c r="W558" s="117" t="n">
        <x:v>143000</x:v>
      </x:c>
      <x:c r="X558" s="59" t="str">
        <x:f>IFERROR(IF(OR($N558="ĐÃ GHÉP - AUTO",$N558="ĐÃ GHÉP - QUY TẮC"),IF($V558="","",IF($T558="THÙNG",$V558/$F558,$V558)),""),"")</x:f>
      </x:c>
      <x:c r="Y558" s="117" t="n">
        <x:f>IF(OR(W558="",F558=""),"",W558*F558)</x:f>
        <x:v>4290000</x:v>
      </x:c>
      <x:c r="Z558" s="59" t="str">
        <x:f>IFERROR(IF(OR($N558="ĐÃ GHÉP - AUTO",$N558="ĐÃ GHÉP - QUY TẮC"),IF($V558="","",IF($T558="THÙNG",$V558,$V558*$F558)),""),"")</x:f>
      </x:c>
      <x:c r="AA558" s="28" t="str">
        <x:f>IFERROR(IF(OR($K558="",$K558=0,$Y558=""),"",($Y558-$K558)/$K558),"")</x:f>
      </x:c>
      <x:c r="AB558" s="37" t="str">
        <x:f>IFERROR(IF($N558="CẦN DUYỆT","DUYỆT MAP",IF($N558="CHƯA CÓ GIÁ LẺ","THIẾU GIÁ",IF(OR($K558="",$K558=0,$Y558=""),"OK",IF(ABS(($Y558-$K558)/$K558)&gt;0.15,"LỆCH GIÁ CŨ","OK")))),"OK")</x:f>
        <x:v>DUYỆT MAP</x:v>
      </x:c>
      <x:c r="AC558" s="30" t="str">
        <x:v>score=0.844; gap=0.079; khác nhóm hàng</x:v>
      </x:c>
      <x:c r="AD558" s="37" t="str">
        <x:v>COZMAT</x:v>
      </x:c>
      <x:c r="AE558" s="38" t="str">
        <x:v>COZMATT</x:v>
      </x:c>
      <x:c r="AF558" s="123" t="n">
        <x:v>0</x:v>
      </x:c>
      <x:c r="AG558" s="112" t="str">
        <x:v>g</x:v>
      </x:c>
      <x:c r="AH558" s="112" t="str">
        <x:v>BỊCH</x:v>
      </x:c>
      <x:c r="AI558" s="112" t="str">
        <x:v>0 g / BỊCH</x:v>
      </x:c>
      <x:c r="AJ558" s="120" t="n">
        <x:v>143000</x:v>
      </x:c>
      <x:c r="AK558" s="120"/>
      <x:c r="AL558" s="120" t="n">
        <x:v>143000</x:v>
      </x:c>
      <x:c r="AM558" s="112" t="str">
        <x:v>BỔ SUNG GIÁ</x:v>
      </x:c>
      <x:c r="AN558" s="126" t="n">
        <x:v>1251</x:v>
      </x:c>
      <x:c r="AO558" s="126" t="n">
        <x:v>1252</x:v>
      </x:c>
      <x:c r="AP558" s="113" t="str">
        <x:v>30 BỊCH / THÙNG</x:v>
      </x:c>
    </x:row>
    <x:row r="559">
      <x:c r="A559" s="71" t="str">
        <x:v>BỘT KEM TRỨNG</x:v>
      </x:c>
      <x:c r="B559" s="30" t="str">
        <x:v>BỘT KEM TRỨNG - THÙNG</x:v>
      </x:c>
      <x:c r="C559" s="37" t="str">
        <x:v>BKEMTR</x:v>
      </x:c>
      <x:c r="D559" s="37" t="str">
        <x:v>BKEMTRT</x:v>
      </x:c>
      <x:c r="E559" s="37" t="str">
        <x:v>BKEMTRT</x:v>
      </x:c>
      <x:c r="F559" s="37" t="n">
        <x:v>25</x:v>
      </x:c>
      <x:c r="G559" s="37" t="n">
        <x:v>0</x:v>
      </x:c>
      <x:c r="H559" s="37" t="str">
        <x:v>g</x:v>
      </x:c>
      <x:c r="I559" s="37" t="str">
        <x:v>THÙNG</x:v>
      </x:c>
      <x:c r="J559" s="59" t="n">
        <x:v>0</x:v>
      </x:c>
      <x:c r="K559" s="59" t="n">
        <x:v>0</x:v>
      </x:c>
      <x:c r="L559" s="59" t="n">
        <x:v>0</x:v>
      </x:c>
      <x:c r="M559" s="37" t="str">
        <x:v>Khác</x:v>
      </x:c>
      <x:c r="N559" s="37" t="str">
        <x:v>CHƯA CÓ GIÁ LẺ</x:v>
      </x:c>
      <x:c r="O559" s="61" t="n">
        <x:v>0.578</x:v>
      </x:c>
      <x:c r="P559" s="37"/>
      <x:c r="Q559" s="30"/>
      <x:c r="R559" s="30"/>
      <x:c r="S559" s="30"/>
      <x:c r="T559" s="37"/>
      <x:c r="U559" s="59"/>
      <x:c r="V559" s="59"/>
      <x:c r="W559" s="117" t="n">
        <x:v>155000</x:v>
      </x:c>
      <x:c r="X559" s="59" t="str">
        <x:f>IFERROR(IF(OR($N559="ĐÃ GHÉP - AUTO",$N559="ĐÃ GHÉP - QUY TẮC"),IF($V559="","",IF($T559="THÙNG",$V559/$F559,$V559)),""),"")</x:f>
      </x:c>
      <x:c r="Y559" s="117" t="n">
        <x:f>IF(OR(W559="",F559=""),"",W559*F559)</x:f>
        <x:v>3875000</x:v>
      </x:c>
      <x:c r="Z559" s="59" t="str">
        <x:f>IFERROR(IF(OR($N559="ĐÃ GHÉP - AUTO",$N559="ĐÃ GHÉP - QUY TẮC"),IF($V559="","",IF($T559="THÙNG",$V559,$V559*$F559)),""),"")</x:f>
      </x:c>
      <x:c r="AA559" s="28" t="str">
        <x:f>IFERROR(IF(OR($K559="",$K559=0,$Y559=""),"",($Y559-$K559)/$K559),"")</x:f>
      </x:c>
      <x:c r="AB559" s="37" t="str">
        <x:f>IFERROR(IF($N559="CẦN DUYỆT","DUYỆT MAP",IF($N559="CHƯA CÓ GIÁ LẺ","THIẾU GIÁ",IF(OR($K559="",$K559=0,$Y559=""),"OK",IF(ABS(($Y559-$K559)/$K559)&gt;0.15,"LỆCH GIÁ CŨ","OK")))),"OK")</x:f>
        <x:v>THIẾU GIÁ</x:v>
      </x:c>
      <x:c r="AC559" s="30" t="str">
        <x:v>ứng viên gần nhất=Bột kem trứng Đài loan; score=0.578</x:v>
      </x:c>
      <x:c r="AD559" s="37" t="str">
        <x:v>BKEMTR</x:v>
      </x:c>
      <x:c r="AE559" s="38" t="str">
        <x:v>BKEMTRT</x:v>
      </x:c>
      <x:c r="AF559" s="123" t="n">
        <x:v>0</x:v>
      </x:c>
      <x:c r="AG559" s="112" t="str">
        <x:v>g</x:v>
      </x:c>
      <x:c r="AH559" s="112" t="str">
        <x:v>BỊCH</x:v>
      </x:c>
      <x:c r="AI559" s="112" t="str">
        <x:v>0 g / BỊCH</x:v>
      </x:c>
      <x:c r="AJ559" s="120" t="n">
        <x:v>155000</x:v>
      </x:c>
      <x:c r="AK559" s="120"/>
      <x:c r="AL559" s="120" t="n">
        <x:v>155000</x:v>
      </x:c>
      <x:c r="AM559" s="112" t="str">
        <x:v>BỔ SUNG GIÁ</x:v>
      </x:c>
      <x:c r="AN559" s="126" t="n">
        <x:v>1253</x:v>
      </x:c>
      <x:c r="AO559" s="126" t="n">
        <x:v>1254</x:v>
      </x:c>
      <x:c r="AP559" s="113" t="str">
        <x:v>25 BỊCH / THÙNG</x:v>
      </x:c>
    </x:row>
    <x:row r="560">
      <x:c r="A560" s="71" t="str">
        <x:v>BỘT FRAP LUAVE</x:v>
      </x:c>
      <x:c r="B560" s="30" t="str">
        <x:v>BỘT FRAP LUAVE - THÙNG</x:v>
      </x:c>
      <x:c r="C560" s="37" t="str">
        <x:v>BFRLUA</x:v>
      </x:c>
      <x:c r="D560" s="37" t="str">
        <x:v>BFRLUAT</x:v>
      </x:c>
      <x:c r="E560" s="37" t="str">
        <x:v>BFRLUAT</x:v>
      </x:c>
      <x:c r="F560" s="37" t="n">
        <x:v>10</x:v>
      </x:c>
      <x:c r="G560" s="37" t="n">
        <x:v>11</x:v>
      </x:c>
      <x:c r="H560" s="37" t="str">
        <x:v>kg</x:v>
      </x:c>
      <x:c r="I560" s="37" t="str">
        <x:v>THÙNG</x:v>
      </x:c>
      <x:c r="J560" s="59" t="n">
        <x:v>0</x:v>
      </x:c>
      <x:c r="K560" s="59" t="n">
        <x:v>0</x:v>
      </x:c>
      <x:c r="L560" s="59" t="n">
        <x:v>0</x:v>
      </x:c>
      <x:c r="M560" s="37" t="str">
        <x:v>Bột sữa / milkfoam</x:v>
      </x:c>
      <x:c r="N560" s="37" t="str">
        <x:v>ĐÃ GHÉP - AUTO</x:v>
      </x:c>
      <x:c r="O560" s="61" t="n">
        <x:v>0.97</x:v>
      </x:c>
      <x:c r="P560" s="37" t="n">
        <x:v>136</x:v>
      </x:c>
      <x:c r="Q560" s="30" t="str">
        <x:v>Bột frappe luave</x:v>
      </x:c>
      <x:c r="R560" s="30" t="str">
        <x:v>Thùng 10 gói</x:v>
      </x:c>
      <x:c r="S560" s="30" t="str">
        <x:v>gói 1kg</x:v>
      </x:c>
      <x:c r="T560" s="37" t="str">
        <x:v>ĐƠN VỊ</x:v>
      </x:c>
      <x:c r="U560" s="59" t="n">
        <x:v>138000</x:v>
      </x:c>
      <x:c r="V560" s="59"/>
      <x:c r="W560" s="117" t="n">
        <x:v>138000</x:v>
      </x:c>
      <x:c r="X560" s="59" t="str">
        <x:f>IFERROR(IF(OR($N560="ĐÃ GHÉP - AUTO",$N560="ĐÃ GHÉP - QUY TẮC"),IF($V560="","",IF($T560="THÙNG",$V560/$F560,$V560)),""),"")</x:f>
      </x:c>
      <x:c r="Y560" s="117" t="n">
        <x:f>IF(OR(W560="",F560=""),"",W560*F560)</x:f>
        <x:v>1380000</x:v>
      </x:c>
      <x:c r="Z560" s="59" t="str">
        <x:f>IFERROR(IF(OR($N560="ĐÃ GHÉP - AUTO",$N560="ĐÃ GHÉP - QUY TẮC"),IF($V560="","",IF($T560="THÙNG",$V560,$V560*$F560)),""),"")</x:f>
      </x:c>
      <x:c r="AA560" s="28" t="str">
        <x:f>IFERROR(IF(OR($K560="",$K560=0,$Y560=""),"",($Y560-$K560)/$K560),"")</x:f>
      </x:c>
      <x:c r="AB560" s="37" t="str">
        <x:f>IFERROR(IF($N560="CẦN DUYỆT","DUYỆT MAP",IF($N560="CHƯA CÓ GIÁ LẺ","THIẾU GIÁ",IF(OR($K560="",$K560=0,$Y560=""),"OK",IF(ABS(($Y560-$K560)/$K560)&gt;0.15,"LỆCH GIÁ CŨ","OK")))),"OK")</x:f>
        <x:v>OK</x:v>
      </x:c>
      <x:c r="AC560" s="30" t="str">
        <x:v>score=0.970; gap=0.530</x:v>
      </x:c>
      <x:c r="AD560" s="37" t="str">
        <x:v>BFRLUA</x:v>
      </x:c>
      <x:c r="AE560" s="38" t="str">
        <x:v>BFRLUAT</x:v>
      </x:c>
      <x:c r="AF560" s="123" t="n">
        <x:v>0</x:v>
      </x:c>
      <x:c r="AG560" s="112" t="str">
        <x:v>g</x:v>
      </x:c>
      <x:c r="AH560" s="112" t="str">
        <x:v>GÓI</x:v>
      </x:c>
      <x:c r="AI560" s="112" t="str">
        <x:v>0 g / GÓI</x:v>
      </x:c>
      <x:c r="AJ560" s="120" t="n">
        <x:v>138000</x:v>
      </x:c>
      <x:c r="AK560" s="120" t="n">
        <x:v>138000</x:v>
      </x:c>
      <x:c r="AL560" s="120" t="n">
        <x:v>138000</x:v>
      </x:c>
      <x:c r="AM560" s="112" t="str">
        <x:v>GIỮ NGUYÊN - ĐÃ KHỚP</x:v>
      </x:c>
      <x:c r="AN560" s="126" t="n">
        <x:v>1258</x:v>
      </x:c>
      <x:c r="AO560" s="126" t="n">
        <x:v>1259</x:v>
      </x:c>
      <x:c r="AP560" s="113" t="str">
        <x:v>10 GÓI / THÙNG</x:v>
      </x:c>
    </x:row>
    <x:row r="561">
      <x:c r="A561" s="71" t="str">
        <x:v>BỘT DÂU BKB</x:v>
      </x:c>
      <x:c r="B561" s="30" t="str">
        <x:v>BỘT DÂU BKB - THÙNG</x:v>
      </x:c>
      <x:c r="C561" s="37" t="str">
        <x:v>DAUBKB</x:v>
      </x:c>
      <x:c r="D561" s="37" t="str">
        <x:v>DAUBKBT</x:v>
      </x:c>
      <x:c r="E561" s="37" t="str">
        <x:v>DAUBKBT</x:v>
      </x:c>
      <x:c r="F561" s="37" t="n">
        <x:v>10</x:v>
      </x:c>
      <x:c r="G561" s="37" t="n">
        <x:v>0</x:v>
      </x:c>
      <x:c r="H561" s="37" t="str">
        <x:v>g</x:v>
      </x:c>
      <x:c r="I561" s="37" t="str">
        <x:v>THÙNG</x:v>
      </x:c>
      <x:c r="J561" s="59" t="n">
        <x:v>0</x:v>
      </x:c>
      <x:c r="K561" s="59" t="n">
        <x:v>0</x:v>
      </x:c>
      <x:c r="L561" s="59" t="n">
        <x:v>0</x:v>
      </x:c>
      <x:c r="M561" s="37" t="str">
        <x:v>Khác</x:v>
      </x:c>
      <x:c r="N561" s="37" t="str">
        <x:v>CHƯA CÓ GIÁ LẺ</x:v>
      </x:c>
      <x:c r="O561" s="61" t="n">
        <x:v>0.512</x:v>
      </x:c>
      <x:c r="P561" s="37"/>
      <x:c r="Q561" s="30"/>
      <x:c r="R561" s="30"/>
      <x:c r="S561" s="30"/>
      <x:c r="T561" s="37"/>
      <x:c r="U561" s="59"/>
      <x:c r="V561" s="59"/>
      <x:c r="W561" s="117" t="n">
        <x:v>100000</x:v>
      </x:c>
      <x:c r="X561" s="59" t="str">
        <x:f>IFERROR(IF(OR($N561="ĐÃ GHÉP - AUTO",$N561="ĐÃ GHÉP - QUY TẮC"),IF($V561="","",IF($T561="THÙNG",$V561/$F561,$V561)),""),"")</x:f>
      </x:c>
      <x:c r="Y561" s="117" t="n">
        <x:f>IF(OR(W561="",F561=""),"",W561*F561)</x:f>
        <x:v>1000000</x:v>
      </x:c>
      <x:c r="Z561" s="59" t="str">
        <x:f>IFERROR(IF(OR($N561="ĐÃ GHÉP - AUTO",$N561="ĐÃ GHÉP - QUY TẮC"),IF($V561="","",IF($T561="THÙNG",$V561,$V561*$F561)),""),"")</x:f>
      </x:c>
      <x:c r="AA561" s="28" t="str">
        <x:f>IFERROR(IF(OR($K561="",$K561=0,$Y561=""),"",($Y561-$K561)/$K561),"")</x:f>
      </x:c>
      <x:c r="AB561" s="37" t="str">
        <x:f>IFERROR(IF($N561="CẦN DUYỆT","DUYỆT MAP",IF($N561="CHƯA CÓ GIÁ LẺ","THIẾU GIÁ",IF(OR($K561="",$K561=0,$Y561=""),"OK",IF(ABS(($Y561-$K561)/$K561)&gt;0.15,"LỆCH GIÁ CŨ","OK")))),"OK")</x:f>
        <x:v>THIẾU GIÁ</x:v>
      </x:c>
      <x:c r="AC561" s="30" t="str">
        <x:v>ứng viên gần nhất=Bột ớt; score=0.512</x:v>
      </x:c>
      <x:c r="AD561" s="37" t="str">
        <x:v>DAUBKB</x:v>
      </x:c>
      <x:c r="AE561" s="38" t="str">
        <x:v>DAUBKBT</x:v>
      </x:c>
      <x:c r="AF561" s="123" t="n">
        <x:v>0</x:v>
      </x:c>
      <x:c r="AG561" s="112" t="str">
        <x:v>g</x:v>
      </x:c>
      <x:c r="AH561" s="112" t="str">
        <x:v>BỊCH</x:v>
      </x:c>
      <x:c r="AI561" s="112" t="str">
        <x:v>0 g / BỊCH</x:v>
      </x:c>
      <x:c r="AJ561" s="120" t="n">
        <x:v>100000</x:v>
      </x:c>
      <x:c r="AK561" s="120"/>
      <x:c r="AL561" s="120" t="n">
        <x:v>100000</x:v>
      </x:c>
      <x:c r="AM561" s="112" t="str">
        <x:v>BỔ SUNG GIÁ</x:v>
      </x:c>
      <x:c r="AN561" s="126" t="n">
        <x:v>1261</x:v>
      </x:c>
      <x:c r="AO561" s="126" t="n">
        <x:v>1262</x:v>
      </x:c>
      <x:c r="AP561" s="113" t="str">
        <x:v>10 BỊCH / THÙNG</x:v>
      </x:c>
    </x:row>
    <x:row r="562">
      <x:c r="A562" s="71" t="str">
        <x:v>BONE</x:v>
      </x:c>
      <x:c r="B562" s="30" t="str">
        <x:v>BONE - THÙNG</x:v>
      </x:c>
      <x:c r="C562" s="37" t="str">
        <x:v>BSBONE</x:v>
      </x:c>
      <x:c r="D562" s="37" t="str">
        <x:v>BSBONET</x:v>
      </x:c>
      <x:c r="E562" s="37" t="str">
        <x:v>BSBONET</x:v>
      </x:c>
      <x:c r="F562" s="37" t="n">
        <x:v>12</x:v>
      </x:c>
      <x:c r="G562" s="37" t="n">
        <x:v>13000</x:v>
      </x:c>
      <x:c r="H562" s="37" t="str">
        <x:v>g</x:v>
      </x:c>
      <x:c r="I562" s="37" t="str">
        <x:v>THÙNG</x:v>
      </x:c>
      <x:c r="J562" s="59" t="n">
        <x:v>0</x:v>
      </x:c>
      <x:c r="K562" s="59" t="n">
        <x:v>820000</x:v>
      </x:c>
      <x:c r="L562" s="59" t="n">
        <x:v>0</x:v>
      </x:c>
      <x:c r="M562" s="37" t="str">
        <x:v>Bột sữa / milkfoam</x:v>
      </x:c>
      <x:c r="N562" s="37" t="str">
        <x:v>CHƯA CÓ GIÁ LẺ</x:v>
      </x:c>
      <x:c r="O562" s="61" t="n">
        <x:v>0.111</x:v>
      </x:c>
      <x:c r="P562" s="37"/>
      <x:c r="Q562" s="30"/>
      <x:c r="R562" s="30"/>
      <x:c r="S562" s="30"/>
      <x:c r="T562" s="37"/>
      <x:c r="U562" s="59"/>
      <x:c r="V562" s="59"/>
      <x:c r="W562" s="117" t="n">
        <x:v>69000</x:v>
      </x:c>
      <x:c r="X562" s="59" t="str">
        <x:f>IFERROR(IF(OR($N562="ĐÃ GHÉP - AUTO",$N562="ĐÃ GHÉP - QUY TẮC"),IF($V562="","",IF($T562="THÙNG",$V562/$F562,$V562)),""),"")</x:f>
      </x:c>
      <x:c r="Y562" s="117" t="n">
        <x:f>IF(OR(W562="",F562=""),"",W562*F562)</x:f>
        <x:v>828000</x:v>
      </x:c>
      <x:c r="Z562" s="59" t="str">
        <x:f>IFERROR(IF(OR($N562="ĐÃ GHÉP - AUTO",$N562="ĐÃ GHÉP - QUY TẮC"),IF($V562="","",IF($T562="THÙNG",$V562,$V562*$F562)),""),"")</x:f>
      </x:c>
      <x:c r="AA562" s="28" t="n">
        <x:f>IFERROR(IF(OR($K562="",$K562=0,$Y562=""),"",($Y562-$K562)/$K562),"")</x:f>
        <x:v>0.00975609756097561</x:v>
      </x:c>
      <x:c r="AB562" s="37" t="str">
        <x:f>IFERROR(IF($N562="CẦN DUYỆT","DUYỆT MAP",IF($N562="CHƯA CÓ GIÁ LẺ","THIẾU GIÁ",IF(OR($K562="",$K562=0,$Y562=""),"OK",IF(ABS(($Y562-$K562)/$K562)&gt;0.15,"LỆCH GIÁ CŨ","OK")))),"OK")</x:f>
        <x:v>THIẾU GIÁ</x:v>
      </x:c>
      <x:c r="AC562" s="30" t="str">
        <x:v>ứng viên gần nhất=Bột sữa B one; score=0.111</x:v>
      </x:c>
      <x:c r="AD562" s="37" t="str">
        <x:v>BSBONE</x:v>
      </x:c>
      <x:c r="AE562" s="38" t="str">
        <x:v>BSBONET</x:v>
      </x:c>
      <x:c r="AF562" s="123" t="n">
        <x:v>1000</x:v>
      </x:c>
      <x:c r="AG562" s="112" t="str">
        <x:v>g</x:v>
      </x:c>
      <x:c r="AH562" s="112" t="str">
        <x:v>GÓI</x:v>
      </x:c>
      <x:c r="AI562" s="112" t="str">
        <x:v>1000 g / GÓI</x:v>
      </x:c>
      <x:c r="AJ562" s="120" t="n">
        <x:v>69000</x:v>
      </x:c>
      <x:c r="AK562" s="120"/>
      <x:c r="AL562" s="120" t="n">
        <x:v>69000</x:v>
      </x:c>
      <x:c r="AM562" s="112" t="str">
        <x:v>BỔ SUNG GIÁ</x:v>
      </x:c>
      <x:c r="AN562" s="126" t="n">
        <x:v>1267</x:v>
      </x:c>
      <x:c r="AO562" s="126" t="n">
        <x:v>1268</x:v>
      </x:c>
      <x:c r="AP562" s="113" t="str">
        <x:v>12 GÓI / THÙNG</x:v>
      </x:c>
    </x:row>
    <x:row r="563">
      <x:c r="A563" s="71" t="str">
        <x:v>BODU VIỆT QUỐC</x:v>
      </x:c>
      <x:c r="B563" s="30" t="str">
        <x:v>BODU VIỆT QUỐC - THÙNG</x:v>
      </x:c>
      <x:c r="C563" s="37" t="str">
        <x:v>BODUVQ</x:v>
      </x:c>
      <x:c r="D563" s="37" t="str">
        <x:v>BODUVQT</x:v>
      </x:c>
      <x:c r="E563" s="37" t="str">
        <x:v>BODUVQT</x:v>
      </x:c>
      <x:c r="F563" s="37" t="n">
        <x:v>12</x:v>
      </x:c>
      <x:c r="G563" s="37" t="n">
        <x:v>17500</x:v>
      </x:c>
      <x:c r="H563" s="37" t="str">
        <x:v>g</x:v>
      </x:c>
      <x:c r="I563" s="37" t="str">
        <x:v>THÙNG</x:v>
      </x:c>
      <x:c r="J563" s="59" t="n">
        <x:v>0</x:v>
      </x:c>
      <x:c r="K563" s="59" t="n">
        <x:v>0</x:v>
      </x:c>
      <x:c r="L563" s="59" t="n">
        <x:v>0</x:v>
      </x:c>
      <x:c r="M563" s="37" t="str">
        <x:v>Khác</x:v>
      </x:c>
      <x:c r="N563" s="37" t="str">
        <x:v>CẦN DUYỆT</x:v>
      </x:c>
      <x:c r="O563" s="61" t="n">
        <x:v>0.699</x:v>
      </x:c>
      <x:c r="P563" s="37" t="n">
        <x:v>35</x:v>
      </x:c>
      <x:c r="Q563" s="30" t="str">
        <x:v>Sinh Tố Gold Việt Quốc</x:v>
      </x:c>
      <x:c r="R563" s="30" t="str">
        <x:v>Thùng12 chai</x:v>
      </x:c>
      <x:c r="S563" s="30" t="str">
        <x:v>Chai</x:v>
      </x:c>
      <x:c r="T563" s="37" t="str">
        <x:v>ĐƠN VỊ</x:v>
      </x:c>
      <x:c r="U563" s="59" t="n">
        <x:v>125000</x:v>
      </x:c>
      <x:c r="V563" s="59"/>
      <x:c r="W563" s="117" t="n">
        <x:v>125000</x:v>
      </x:c>
      <x:c r="X563" s="59" t="str">
        <x:f>IFERROR(IF(OR($N563="ĐÃ GHÉP - AUTO",$N563="ĐÃ GHÉP - QUY TẮC"),IF($V563="","",IF($T563="THÙNG",$V563/$F563,$V563)),""),"")</x:f>
      </x:c>
      <x:c r="Y563" s="117" t="n">
        <x:f>IF(OR(W563="",F563=""),"",W563*F563)</x:f>
        <x:v>1500000</x:v>
      </x:c>
      <x:c r="Z563" s="59" t="str">
        <x:f>IFERROR(IF(OR($N563="ĐÃ GHÉP - AUTO",$N563="ĐÃ GHÉP - QUY TẮC"),IF($V563="","",IF($T563="THÙNG",$V563,$V563*$F563)),""),"")</x:f>
      </x:c>
      <x:c r="AA563" s="28" t="str">
        <x:f>IFERROR(IF(OR($K563="",$K563=0,$Y563=""),"",($Y563-$K563)/$K563),"")</x:f>
      </x:c>
      <x:c r="AB563" s="37" t="str">
        <x:f>IFERROR(IF($N563="CẦN DUYỆT","DUYỆT MAP",IF($N563="CHƯA CÓ GIÁ LẺ","THIẾU GIÁ",IF(OR($K563="",$K563=0,$Y563=""),"OK",IF(ABS(($Y563-$K563)/$K563)&gt;0.15,"LỆCH GIÁ CŨ","OK")))),"OK")</x:f>
        <x:v>DUYỆT MAP</x:v>
      </x:c>
      <x:c r="AC563" s="30" t="str">
        <x:v>score=0.699; gap=0.012; phương án 2=Sinh Tố Berrino Việt Quốc</x:v>
      </x:c>
      <x:c r="AD563" s="37" t="str">
        <x:v>BODUVQ</x:v>
      </x:c>
      <x:c r="AE563" s="38" t="str">
        <x:v>BODUVQT</x:v>
      </x:c>
      <x:c r="AF563" s="123" t="n">
        <x:v>1450</x:v>
      </x:c>
      <x:c r="AG563" s="112" t="str">
        <x:v>g</x:v>
      </x:c>
      <x:c r="AH563" s="112" t="str">
        <x:v>HỦ</x:v>
      </x:c>
      <x:c r="AI563" s="112" t="str">
        <x:v>1450 g / HỦ</x:v>
      </x:c>
      <x:c r="AJ563" s="120" t="n">
        <x:v>125000</x:v>
      </x:c>
      <x:c r="AK563" s="120"/>
      <x:c r="AL563" s="120" t="n">
        <x:v>125000</x:v>
      </x:c>
      <x:c r="AM563" s="112" t="str">
        <x:v>BỔ SUNG GIÁ</x:v>
      </x:c>
      <x:c r="AN563" s="126" t="n">
        <x:v>1269</x:v>
      </x:c>
      <x:c r="AO563" s="126" t="n">
        <x:v>1270</x:v>
      </x:c>
      <x:c r="AP563" s="113" t="str">
        <x:v>12 HỦ / THÙNG</x:v>
      </x:c>
    </x:row>
    <x:row r="564">
      <x:c r="A564" s="71" t="str">
        <x:v>BODU VẢI</x:v>
      </x:c>
      <x:c r="B564" s="30" t="str">
        <x:v>BODU VẢI - THÙNG</x:v>
      </x:c>
      <x:c r="C564" s="37" t="str">
        <x:v>BODUVA</x:v>
      </x:c>
      <x:c r="D564" s="37" t="str">
        <x:v>BODUVAT</x:v>
      </x:c>
      <x:c r="E564" s="37" t="str">
        <x:v>BODUVAT</x:v>
      </x:c>
      <x:c r="F564" s="37" t="n">
        <x:v>12</x:v>
      </x:c>
      <x:c r="G564" s="37" t="n">
        <x:v>14200</x:v>
      </x:c>
      <x:c r="H564" s="37" t="str">
        <x:v>g</x:v>
      </x:c>
      <x:c r="I564" s="37" t="str">
        <x:v>THÙNG</x:v>
      </x:c>
      <x:c r="J564" s="59" t="n">
        <x:v>0</x:v>
      </x:c>
      <x:c r="K564" s="59" t="n">
        <x:v>0</x:v>
      </x:c>
      <x:c r="L564" s="59" t="n">
        <x:v>0</x:v>
      </x:c>
      <x:c r="M564" s="37" t="str">
        <x:v>Khác</x:v>
      </x:c>
      <x:c r="N564" s="37" t="str">
        <x:v>CHƯA CÓ GIÁ LẺ</x:v>
      </x:c>
      <x:c r="O564" s="61" t="n">
        <x:v>0.611</x:v>
      </x:c>
      <x:c r="P564" s="37"/>
      <x:c r="Q564" s="30"/>
      <x:c r="R564" s="30"/>
      <x:c r="S564" s="30"/>
      <x:c r="T564" s="37"/>
      <x:c r="U564" s="59"/>
      <x:c r="V564" s="59"/>
      <x:c r="W564" s="117" t="n">
        <x:v>138000</x:v>
      </x:c>
      <x:c r="X564" s="59" t="str">
        <x:f>IFERROR(IF(OR($N564="ĐÃ GHÉP - AUTO",$N564="ĐÃ GHÉP - QUY TẮC"),IF($V564="","",IF($T564="THÙNG",$V564/$F564,$V564)),""),"")</x:f>
      </x:c>
      <x:c r="Y564" s="117" t="n">
        <x:f>IF(OR(W564="",F564=""),"",W564*F564)</x:f>
        <x:v>1656000</x:v>
      </x:c>
      <x:c r="Z564" s="59" t="str">
        <x:f>IFERROR(IF(OR($N564="ĐÃ GHÉP - AUTO",$N564="ĐÃ GHÉP - QUY TẮC"),IF($V564="","",IF($T564="THÙNG",$V564,$V564*$F564)),""),"")</x:f>
      </x:c>
      <x:c r="AA564" s="28" t="str">
        <x:f>IFERROR(IF(OR($K564="",$K564=0,$Y564=""),"",($Y564-$K564)/$K564),"")</x:f>
      </x:c>
      <x:c r="AB564" s="37" t="str">
        <x:f>IFERROR(IF($N564="CẦN DUYỆT","DUYỆT MAP",IF($N564="CHƯA CÓ GIÁ LẺ","THIẾU GIÁ",IF(OR($K564="",$K564=0,$Y564=""),"OK",IF(ABS(($Y564-$K564)/$K564)&gt;0.15,"LỆCH GIÁ CŨ","OK")))),"OK")</x:f>
        <x:v>THIẾU GIÁ</x:v>
      </x:c>
      <x:c r="AC564" s="30" t="str">
        <x:v>ứng viên gần nhất=Sinh  To vải glod; score=0.611</x:v>
      </x:c>
      <x:c r="AD564" s="37" t="str">
        <x:v>BODUVA</x:v>
      </x:c>
      <x:c r="AE564" s="38" t="str">
        <x:v>BODUVAT</x:v>
      </x:c>
      <x:c r="AF564" s="123" t="n">
        <x:v>1100</x:v>
      </x:c>
      <x:c r="AG564" s="112" t="str">
        <x:v>g</x:v>
      </x:c>
      <x:c r="AH564" s="112" t="str">
        <x:v>HỦ</x:v>
      </x:c>
      <x:c r="AI564" s="112" t="str">
        <x:v>1100 g / HỦ</x:v>
      </x:c>
      <x:c r="AJ564" s="120" t="n">
        <x:v>138000</x:v>
      </x:c>
      <x:c r="AK564" s="120"/>
      <x:c r="AL564" s="120" t="n">
        <x:v>138000</x:v>
      </x:c>
      <x:c r="AM564" s="112" t="str">
        <x:v>BỔ SUNG GIÁ</x:v>
      </x:c>
      <x:c r="AN564" s="126" t="n">
        <x:v>1271</x:v>
      </x:c>
      <x:c r="AO564" s="126" t="n">
        <x:v>1272</x:v>
      </x:c>
      <x:c r="AP564" s="113" t="str">
        <x:v>12 HỦ / THÙNG</x:v>
      </x:c>
    </x:row>
    <x:row r="565">
      <x:c r="A565" s="71" t="str">
        <x:v>BODU ỔI</x:v>
      </x:c>
      <x:c r="B565" s="30" t="str">
        <x:v>BODU ỔI - THÙNG</x:v>
      </x:c>
      <x:c r="C565" s="37" t="str">
        <x:v>BODUOI</x:v>
      </x:c>
      <x:c r="D565" s="37" t="str">
        <x:v>BODUOIT</x:v>
      </x:c>
      <x:c r="E565" s="37" t="str">
        <x:v>BODUOIT</x:v>
      </x:c>
      <x:c r="F565" s="37" t="n">
        <x:v>12</x:v>
      </x:c>
      <x:c r="G565" s="37" t="n">
        <x:v>14200</x:v>
      </x:c>
      <x:c r="H565" s="37" t="str">
        <x:v>g</x:v>
      </x:c>
      <x:c r="I565" s="37" t="str">
        <x:v>THÙNG</x:v>
      </x:c>
      <x:c r="J565" s="59" t="n">
        <x:v>0</x:v>
      </x:c>
      <x:c r="K565" s="59" t="n">
        <x:v>0</x:v>
      </x:c>
      <x:c r="L565" s="59" t="n">
        <x:v>0</x:v>
      </x:c>
      <x:c r="M565" s="37" t="str">
        <x:v>Khác</x:v>
      </x:c>
      <x:c r="N565" s="37" t="str">
        <x:v>CHƯA CÓ GIÁ LẺ</x:v>
      </x:c>
      <x:c r="O565" s="61" t="n">
        <x:v>0.594</x:v>
      </x:c>
      <x:c r="P565" s="37"/>
      <x:c r="Q565" s="30"/>
      <x:c r="R565" s="30"/>
      <x:c r="S565" s="30"/>
      <x:c r="T565" s="37"/>
      <x:c r="U565" s="59"/>
      <x:c r="V565" s="59"/>
      <x:c r="W565" s="117" t="n">
        <x:v>138000</x:v>
      </x:c>
      <x:c r="X565" s="59" t="str">
        <x:f>IFERROR(IF(OR($N565="ĐÃ GHÉP - AUTO",$N565="ĐÃ GHÉP - QUY TẮC"),IF($V565="","",IF($T565="THÙNG",$V565/$F565,$V565)),""),"")</x:f>
      </x:c>
      <x:c r="Y565" s="117" t="n">
        <x:f>IF(OR(W565="",F565=""),"",W565*F565)</x:f>
        <x:v>1656000</x:v>
      </x:c>
      <x:c r="Z565" s="59" t="str">
        <x:f>IFERROR(IF(OR($N565="ĐÃ GHÉP - AUTO",$N565="ĐÃ GHÉP - QUY TẮC"),IF($V565="","",IF($T565="THÙNG",$V565,$V565*$F565)),""),"")</x:f>
      </x:c>
      <x:c r="AA565" s="28" t="str">
        <x:f>IFERROR(IF(OR($K565="",$K565=0,$Y565=""),"",($Y565-$K565)/$K565),"")</x:f>
      </x:c>
      <x:c r="AB565" s="37" t="str">
        <x:f>IFERROR(IF($N565="CẦN DUYỆT","DUYỆT MAP",IF($N565="CHƯA CÓ GIÁ LẺ","THIẾU GIÁ",IF(OR($K565="",$K565=0,$Y565=""),"OK",IF(ABS(($Y565-$K565)/$K565)&gt;0.15,"LỆCH GIÁ CŨ","OK")))),"OK")</x:f>
        <x:v>THIẾU GIÁ</x:v>
      </x:c>
      <x:c r="AC565" s="30" t="str">
        <x:v>ứng viên gần nhất=Sinh Tố Gold ổi; score=0.594</x:v>
      </x:c>
      <x:c r="AD565" s="37" t="str">
        <x:v>BODUOI</x:v>
      </x:c>
      <x:c r="AE565" s="38" t="str">
        <x:v>BODUOIT</x:v>
      </x:c>
      <x:c r="AF565" s="123" t="n">
        <x:v>1100</x:v>
      </x:c>
      <x:c r="AG565" s="112" t="str">
        <x:v>g</x:v>
      </x:c>
      <x:c r="AH565" s="112" t="str">
        <x:v>HỦ</x:v>
      </x:c>
      <x:c r="AI565" s="112" t="str">
        <x:v>1100 g / HỦ</x:v>
      </x:c>
      <x:c r="AJ565" s="120" t="n">
        <x:v>138000</x:v>
      </x:c>
      <x:c r="AK565" s="120"/>
      <x:c r="AL565" s="120" t="n">
        <x:v>138000</x:v>
      </x:c>
      <x:c r="AM565" s="112" t="str">
        <x:v>BỔ SUNG GIÁ</x:v>
      </x:c>
      <x:c r="AN565" s="126" t="n">
        <x:v>1273</x:v>
      </x:c>
      <x:c r="AO565" s="126" t="n">
        <x:v>1274</x:v>
      </x:c>
      <x:c r="AP565" s="113" t="str">
        <x:v>12 HỦ / THÙNG</x:v>
      </x:c>
    </x:row>
    <x:row r="566">
      <x:c r="A566" s="71" t="str">
        <x:v>BODU LONG NHÃN TÁO ĐỎ</x:v>
      </x:c>
      <x:c r="B566" s="30" t="str">
        <x:v>BODU LONG NHÃN TÁO ĐỎ - THÙNG</x:v>
      </x:c>
      <x:c r="C566" s="37" t="str">
        <x:v>BODULN</x:v>
      </x:c>
      <x:c r="D566" s="37" t="str">
        <x:v>BODULNT</x:v>
      </x:c>
      <x:c r="E566" s="37" t="str">
        <x:v>BODULNT</x:v>
      </x:c>
      <x:c r="F566" s="37" t="n">
        <x:v>12</x:v>
      </x:c>
      <x:c r="G566" s="37" t="n">
        <x:v>142</x:v>
      </x:c>
      <x:c r="H566" s="37" t="str">
        <x:v>g</x:v>
      </x:c>
      <x:c r="I566" s="37" t="str">
        <x:v>THÙNG</x:v>
      </x:c>
      <x:c r="J566" s="59" t="n">
        <x:v>0</x:v>
      </x:c>
      <x:c r="K566" s="59" t="n">
        <x:v>0</x:v>
      </x:c>
      <x:c r="L566" s="59" t="n">
        <x:v>0</x:v>
      </x:c>
      <x:c r="M566" s="37" t="str">
        <x:v>Khác</x:v>
      </x:c>
      <x:c r="N566" s="37" t="str">
        <x:v>CHƯA CÓ GIÁ LẺ</x:v>
      </x:c>
      <x:c r="O566" s="61" t="n">
        <x:v>0.483</x:v>
      </x:c>
      <x:c r="P566" s="37"/>
      <x:c r="Q566" s="30"/>
      <x:c r="R566" s="30"/>
      <x:c r="S566" s="30"/>
      <x:c r="T566" s="37"/>
      <x:c r="U566" s="59"/>
      <x:c r="V566" s="59"/>
      <x:c r="W566" s="117" t="n">
        <x:v>123000</x:v>
      </x:c>
      <x:c r="X566" s="59" t="str">
        <x:f>IFERROR(IF(OR($N566="ĐÃ GHÉP - AUTO",$N566="ĐÃ GHÉP - QUY TẮC"),IF($V566="","",IF($T566="THÙNG",$V566/$F566,$V566)),""),"")</x:f>
      </x:c>
      <x:c r="Y566" s="117" t="n">
        <x:f>IF(OR(W566="",F566=""),"",W566*F566)</x:f>
        <x:v>1476000</x:v>
      </x:c>
      <x:c r="Z566" s="59" t="str">
        <x:f>IFERROR(IF(OR($N566="ĐÃ GHÉP - AUTO",$N566="ĐÃ GHÉP - QUY TẮC"),IF($V566="","",IF($T566="THÙNG",$V566,$V566*$F566)),""),"")</x:f>
      </x:c>
      <x:c r="AA566" s="28" t="str">
        <x:f>IFERROR(IF(OR($K566="",$K566=0,$Y566=""),"",($Y566-$K566)/$K566),"")</x:f>
      </x:c>
      <x:c r="AB566" s="37" t="str">
        <x:f>IFERROR(IF($N566="CẦN DUYỆT","DUYỆT MAP",IF($N566="CHƯA CÓ GIÁ LẺ","THIẾU GIÁ",IF(OR($K566="",$K566=0,$Y566=""),"OK",IF(ABS(($Y566-$K566)/$K566)&gt;0.15,"LỆCH GIÁ CŨ","OK")))),"OK")</x:f>
        <x:v>THIẾU GIÁ</x:v>
      </x:c>
      <x:c r="AC566" s="30" t="str">
        <x:v>ứng viên gần nhất=NHÃN thái; score=0.483</x:v>
      </x:c>
      <x:c r="AD566" s="37" t="str">
        <x:v>BODULN</x:v>
      </x:c>
      <x:c r="AE566" s="38" t="str">
        <x:v>BODULNT</x:v>
      </x:c>
      <x:c r="AF566" s="123" t="n">
        <x:v>1100</x:v>
      </x:c>
      <x:c r="AG566" s="112" t="str">
        <x:v>g</x:v>
      </x:c>
      <x:c r="AH566" s="112" t="str">
        <x:v>HỦ</x:v>
      </x:c>
      <x:c r="AI566" s="112" t="str">
        <x:v>1100 g / HỦ</x:v>
      </x:c>
      <x:c r="AJ566" s="120" t="n">
        <x:v>123000</x:v>
      </x:c>
      <x:c r="AK566" s="120"/>
      <x:c r="AL566" s="120" t="n">
        <x:v>123000</x:v>
      </x:c>
      <x:c r="AM566" s="112" t="str">
        <x:v>BỔ SUNG GIÁ</x:v>
      </x:c>
      <x:c r="AN566" s="126" t="n">
        <x:v>1275</x:v>
      </x:c>
      <x:c r="AO566" s="126" t="n">
        <x:v>1276</x:v>
      </x:c>
      <x:c r="AP566" s="113" t="str">
        <x:v>12 HỦ / THÙNG</x:v>
      </x:c>
    </x:row>
    <x:row r="567">
      <x:c r="A567" s="71" t="str">
        <x:v>BODU HOA LÀI</x:v>
      </x:c>
      <x:c r="B567" s="30" t="str">
        <x:v>BODU HOA LÀI - THÙNG</x:v>
      </x:c>
      <x:c r="C567" s="37" t="str">
        <x:v>BODULA</x:v>
      </x:c>
      <x:c r="D567" s="37" t="str">
        <x:v>BODULAT</x:v>
      </x:c>
      <x:c r="E567" s="37" t="str">
        <x:v>BODULAT</x:v>
      </x:c>
      <x:c r="F567" s="37" t="n">
        <x:v>12</x:v>
      </x:c>
      <x:c r="G567" s="37" t="n">
        <x:v>14200</x:v>
      </x:c>
      <x:c r="H567" s="37" t="str">
        <x:v>g</x:v>
      </x:c>
      <x:c r="I567" s="37" t="str">
        <x:v>THÙNG</x:v>
      </x:c>
      <x:c r="J567" s="59" t="n">
        <x:v>0</x:v>
      </x:c>
      <x:c r="K567" s="59" t="n">
        <x:v>0</x:v>
      </x:c>
      <x:c r="L567" s="59" t="n">
        <x:v>0</x:v>
      </x:c>
      <x:c r="M567" s="37" t="str">
        <x:v>Khác</x:v>
      </x:c>
      <x:c r="N567" s="37" t="str">
        <x:v>CHƯA CÓ GIÁ LẺ</x:v>
      </x:c>
      <x:c r="O567" s="61" t="n">
        <x:v>0.461</x:v>
      </x:c>
      <x:c r="P567" s="37"/>
      <x:c r="Q567" s="30"/>
      <x:c r="R567" s="30"/>
      <x:c r="S567" s="30"/>
      <x:c r="T567" s="37"/>
      <x:c r="U567" s="59"/>
      <x:c r="V567" s="59"/>
      <x:c r="W567" s="117" t="n">
        <x:v>138000</x:v>
      </x:c>
      <x:c r="X567" s="59" t="str">
        <x:f>IFERROR(IF(OR($N567="ĐÃ GHÉP - AUTO",$N567="ĐÃ GHÉP - QUY TẮC"),IF($V567="","",IF($T567="THÙNG",$V567/$F567,$V567)),""),"")</x:f>
      </x:c>
      <x:c r="Y567" s="117" t="n">
        <x:f>IF(OR(W567="",F567=""),"",W567*F567)</x:f>
        <x:v>1656000</x:v>
      </x:c>
      <x:c r="Z567" s="59" t="str">
        <x:f>IFERROR(IF(OR($N567="ĐÃ GHÉP - AUTO",$N567="ĐÃ GHÉP - QUY TẮC"),IF($V567="","",IF($T567="THÙNG",$V567,$V567*$F567)),""),"")</x:f>
      </x:c>
      <x:c r="AA567" s="28" t="str">
        <x:f>IFERROR(IF(OR($K567="",$K567=0,$Y567=""),"",($Y567-$K567)/$K567),"")</x:f>
      </x:c>
      <x:c r="AB567" s="37" t="str">
        <x:f>IFERROR(IF($N567="CẦN DUYỆT","DUYỆT MAP",IF($N567="CHƯA CÓ GIÁ LẺ","THIẾU GIÁ",IF(OR($K567="",$K567=0,$Y567=""),"OK",IF(ABS(($Y567-$K567)/$K567)&gt;0.15,"LỆCH GIÁ CŨ","OK")))),"OK")</x:f>
        <x:v>THIẾU GIÁ</x:v>
      </x:c>
      <x:c r="AC567" s="30" t="str">
        <x:v>ứng viên gần nhất=Trà lài Lộc Phát; score=0.461</x:v>
      </x:c>
      <x:c r="AD567" s="37" t="str">
        <x:v>BODULA</x:v>
      </x:c>
      <x:c r="AE567" s="38" t="str">
        <x:v>BODULAT</x:v>
      </x:c>
      <x:c r="AF567" s="123" t="n">
        <x:v>1.1</x:v>
      </x:c>
      <x:c r="AG567" s="112" t="str">
        <x:v>kg</x:v>
      </x:c>
      <x:c r="AH567" s="112" t="str">
        <x:v>HỦ</x:v>
      </x:c>
      <x:c r="AI567" s="112" t="str">
        <x:v>1.1 kg / HỦ</x:v>
      </x:c>
      <x:c r="AJ567" s="120" t="n">
        <x:v>138000</x:v>
      </x:c>
      <x:c r="AK567" s="120"/>
      <x:c r="AL567" s="120" t="n">
        <x:v>138000</x:v>
      </x:c>
      <x:c r="AM567" s="112" t="str">
        <x:v>BỔ SUNG GIÁ</x:v>
      </x:c>
      <x:c r="AN567" s="126" t="n">
        <x:v>1277</x:v>
      </x:c>
      <x:c r="AO567" s="126" t="n">
        <x:v>1278</x:v>
      </x:c>
      <x:c r="AP567" s="113" t="str">
        <x:v>12 HỦ / THÙNG</x:v>
      </x:c>
    </x:row>
    <x:row r="568">
      <x:c r="A568" s="71" t="str">
        <x:v>BODU HOA HỒNG</x:v>
      </x:c>
      <x:c r="B568" s="30" t="str">
        <x:v>BODU HOA HỒNG - THÙNG</x:v>
      </x:c>
      <x:c r="C568" s="37" t="str">
        <x:v>BODUHH</x:v>
      </x:c>
      <x:c r="D568" s="37" t="str">
        <x:v>BODUHHT</x:v>
      </x:c>
      <x:c r="E568" s="37" t="str">
        <x:v>BODUHHT</x:v>
      </x:c>
      <x:c r="F568" s="37" t="n">
        <x:v>12</x:v>
      </x:c>
      <x:c r="G568" s="37" t="n">
        <x:v>14200</x:v>
      </x:c>
      <x:c r="H568" s="37" t="str">
        <x:v>g</x:v>
      </x:c>
      <x:c r="I568" s="37" t="str">
        <x:v>THÙNG</x:v>
      </x:c>
      <x:c r="J568" s="59" t="n">
        <x:v>0</x:v>
      </x:c>
      <x:c r="K568" s="59" t="n">
        <x:v>0</x:v>
      </x:c>
      <x:c r="L568" s="59" t="n">
        <x:v>0</x:v>
      </x:c>
      <x:c r="M568" s="37" t="str">
        <x:v>Khác</x:v>
      </x:c>
      <x:c r="N568" s="37" t="str">
        <x:v>CHƯA CÓ GIÁ LẺ</x:v>
      </x:c>
      <x:c r="O568" s="61" t="n">
        <x:v>0.37</x:v>
      </x:c>
      <x:c r="P568" s="37"/>
      <x:c r="Q568" s="30"/>
      <x:c r="R568" s="30"/>
      <x:c r="S568" s="30"/>
      <x:c r="T568" s="37"/>
      <x:c r="U568" s="59"/>
      <x:c r="V568" s="59"/>
      <x:c r="W568" s="117" t="n">
        <x:v>123000</x:v>
      </x:c>
      <x:c r="X568" s="59" t="str">
        <x:f>IFERROR(IF(OR($N568="ĐÃ GHÉP - AUTO",$N568="ĐÃ GHÉP - QUY TẮC"),IF($V568="","",IF($T568="THÙNG",$V568/$F568,$V568)),""),"")</x:f>
      </x:c>
      <x:c r="Y568" s="117" t="n">
        <x:f>IF(OR(W568="",F568=""),"",W568*F568)</x:f>
        <x:v>1476000</x:v>
      </x:c>
      <x:c r="Z568" s="59" t="str">
        <x:f>IFERROR(IF(OR($N568="ĐÃ GHÉP - AUTO",$N568="ĐÃ GHÉP - QUY TẮC"),IF($V568="","",IF($T568="THÙNG",$V568,$V568*$F568)),""),"")</x:f>
      </x:c>
      <x:c r="AA568" s="28" t="str">
        <x:f>IFERROR(IF(OR($K568="",$K568=0,$Y568=""),"",($Y568-$K568)/$K568),"")</x:f>
      </x:c>
      <x:c r="AB568" s="37" t="str">
        <x:f>IFERROR(IF($N568="CẦN DUYỆT","DUYỆT MAP",IF($N568="CHƯA CÓ GIÁ LẺ","THIẾU GIÁ",IF(OR($K568="",$K568=0,$Y568=""),"OK",IF(ABS(($Y568-$K568)/$K568)&gt;0.15,"LỆCH GIÁ CŨ","OK")))),"OK")</x:f>
        <x:v>THIẾU GIÁ</x:v>
      </x:c>
      <x:c r="AC568" s="30" t="str">
        <x:v>ứng viên gần nhất=Trà Cozy Hòa tan; score=0.370</x:v>
      </x:c>
      <x:c r="AD568" s="37" t="str">
        <x:v>BODUHH</x:v>
      </x:c>
      <x:c r="AE568" s="38" t="str">
        <x:v>BODUHHT</x:v>
      </x:c>
      <x:c r="AF568" s="123" t="n">
        <x:v>1100</x:v>
      </x:c>
      <x:c r="AG568" s="112" t="str">
        <x:v>g</x:v>
      </x:c>
      <x:c r="AH568" s="112" t="str">
        <x:v>HỦ</x:v>
      </x:c>
      <x:c r="AI568" s="112" t="str">
        <x:v>1100 g / HỦ</x:v>
      </x:c>
      <x:c r="AJ568" s="120" t="n">
        <x:v>123000</x:v>
      </x:c>
      <x:c r="AK568" s="120"/>
      <x:c r="AL568" s="120" t="n">
        <x:v>123000</x:v>
      </x:c>
      <x:c r="AM568" s="112" t="str">
        <x:v>BỔ SUNG GIÁ</x:v>
      </x:c>
      <x:c r="AN568" s="126" t="n">
        <x:v>1279</x:v>
      </x:c>
      <x:c r="AO568" s="126" t="n">
        <x:v>1280</x:v>
      </x:c>
      <x:c r="AP568" s="113" t="str">
        <x:v>12 HỦ / THÙNG</x:v>
      </x:c>
    </x:row>
    <x:row r="569">
      <x:c r="A569" s="71" t="str">
        <x:v>BODU ĐÀO NHÀI</x:v>
      </x:c>
      <x:c r="B569" s="30" t="str">
        <x:v>BODU ĐÀO NHÀI - THÙNG</x:v>
      </x:c>
      <x:c r="C569" s="37" t="str">
        <x:v>BODUDN</x:v>
      </x:c>
      <x:c r="D569" s="37" t="str">
        <x:v>BODUDNT</x:v>
      </x:c>
      <x:c r="E569" s="37" t="str">
        <x:v>BODUDNT</x:v>
      </x:c>
      <x:c r="F569" s="37" t="n">
        <x:v>12</x:v>
      </x:c>
      <x:c r="G569" s="37" t="n">
        <x:v>14200</x:v>
      </x:c>
      <x:c r="H569" s="37" t="str">
        <x:v>g</x:v>
      </x:c>
      <x:c r="I569" s="37" t="str">
        <x:v>THÙNG</x:v>
      </x:c>
      <x:c r="J569" s="59" t="n">
        <x:v>0</x:v>
      </x:c>
      <x:c r="K569" s="59" t="n">
        <x:v>0</x:v>
      </x:c>
      <x:c r="L569" s="59" t="n">
        <x:v>0</x:v>
      </x:c>
      <x:c r="M569" s="37" t="str">
        <x:v>Khác</x:v>
      </x:c>
      <x:c r="N569" s="37" t="str">
        <x:v>CHƯA CÓ GIÁ LẺ</x:v>
      </x:c>
      <x:c r="O569" s="61" t="n">
        <x:v>0.53</x:v>
      </x:c>
      <x:c r="P569" s="37"/>
      <x:c r="Q569" s="30"/>
      <x:c r="R569" s="30"/>
      <x:c r="S569" s="30"/>
      <x:c r="T569" s="37"/>
      <x:c r="U569" s="59"/>
      <x:c r="V569" s="59"/>
      <x:c r="W569" s="117" t="n">
        <x:v>123000</x:v>
      </x:c>
      <x:c r="X569" s="59" t="str">
        <x:f>IFERROR(IF(OR($N569="ĐÃ GHÉP - AUTO",$N569="ĐÃ GHÉP - QUY TẮC"),IF($V569="","",IF($T569="THÙNG",$V569/$F569,$V569)),""),"")</x:f>
      </x:c>
      <x:c r="Y569" s="117" t="n">
        <x:f>IF(OR(W569="",F569=""),"",W569*F569)</x:f>
        <x:v>1476000</x:v>
      </x:c>
      <x:c r="Z569" s="59" t="str">
        <x:f>IFERROR(IF(OR($N569="ĐÃ GHÉP - AUTO",$N569="ĐÃ GHÉP - QUY TẮC"),IF($V569="","",IF($T569="THÙNG",$V569,$V569*$F569)),""),"")</x:f>
      </x:c>
      <x:c r="AA569" s="28" t="str">
        <x:f>IFERROR(IF(OR($K569="",$K569=0,$Y569=""),"",($Y569-$K569)/$K569),"")</x:f>
      </x:c>
      <x:c r="AB569" s="37" t="str">
        <x:f>IFERROR(IF($N569="CẦN DUYỆT","DUYỆT MAP",IF($N569="CHƯA CÓ GIÁ LẺ","THIẾU GIÁ",IF(OR($K569="",$K569=0,$Y569=""),"OK",IF(ABS(($Y569-$K569)/$K569)&gt;0.15,"LỆCH GIÁ CŨ","OK")))),"OK")</x:f>
        <x:v>THIẾU GIÁ</x:v>
      </x:c>
      <x:c r="AC569" s="30" t="str">
        <x:v>ứng viên gần nhất=Đào lon Thái; score=0.530</x:v>
      </x:c>
      <x:c r="AD569" s="37" t="str">
        <x:v>BODUDN</x:v>
      </x:c>
      <x:c r="AE569" s="38" t="str">
        <x:v>BODUDNT</x:v>
      </x:c>
      <x:c r="AF569" s="123" t="n">
        <x:v>1100</x:v>
      </x:c>
      <x:c r="AG569" s="112" t="str">
        <x:v>g</x:v>
      </x:c>
      <x:c r="AH569" s="112" t="str">
        <x:v>HỦ</x:v>
      </x:c>
      <x:c r="AI569" s="112" t="str">
        <x:v>1100 g / HỦ</x:v>
      </x:c>
      <x:c r="AJ569" s="120" t="n">
        <x:v>123000</x:v>
      </x:c>
      <x:c r="AK569" s="120"/>
      <x:c r="AL569" s="120" t="n">
        <x:v>123000</x:v>
      </x:c>
      <x:c r="AM569" s="112" t="str">
        <x:v>BỔ SUNG GIÁ</x:v>
      </x:c>
      <x:c r="AN569" s="126" t="n">
        <x:v>1281</x:v>
      </x:c>
      <x:c r="AO569" s="126" t="n">
        <x:v>1282</x:v>
      </x:c>
      <x:c r="AP569" s="113" t="str">
        <x:v>12 HỦ / THÙNG</x:v>
      </x:c>
    </x:row>
    <x:row r="570">
      <x:c r="A570" s="71" t="str">
        <x:v>BODU DƯA LƯỚI</x:v>
      </x:c>
      <x:c r="B570" s="30" t="str">
        <x:v>BODU DƯA LƯỚI - THÙNG</x:v>
      </x:c>
      <x:c r="C570" s="37" t="str">
        <x:v>BODUDL</x:v>
      </x:c>
      <x:c r="D570" s="37" t="str">
        <x:v>BODUDLT</x:v>
      </x:c>
      <x:c r="E570" s="37" t="str">
        <x:v>BODUDLT</x:v>
      </x:c>
      <x:c r="F570" s="37" t="n">
        <x:v>12</x:v>
      </x:c>
      <x:c r="G570" s="37" t="n">
        <x:v>17500</x:v>
      </x:c>
      <x:c r="H570" s="37" t="str">
        <x:v>g</x:v>
      </x:c>
      <x:c r="I570" s="37" t="str">
        <x:v>THÙNG</x:v>
      </x:c>
      <x:c r="J570" s="59" t="n">
        <x:v>0</x:v>
      </x:c>
      <x:c r="K570" s="59" t="n">
        <x:v>0</x:v>
      </x:c>
      <x:c r="L570" s="59" t="n">
        <x:v>0</x:v>
      </x:c>
      <x:c r="M570" s="37" t="str">
        <x:v>Khác</x:v>
      </x:c>
      <x:c r="N570" s="37" t="str">
        <x:v>CHƯA CÓ GIÁ LẺ</x:v>
      </x:c>
      <x:c r="O570" s="61" t="n">
        <x:v>0.462</x:v>
      </x:c>
      <x:c r="P570" s="37"/>
      <x:c r="Q570" s="30"/>
      <x:c r="R570" s="30"/>
      <x:c r="S570" s="30"/>
      <x:c r="T570" s="37"/>
      <x:c r="U570" s="59"/>
      <x:c r="V570" s="59"/>
      <x:c r="W570" s="117" t="n">
        <x:v>123000</x:v>
      </x:c>
      <x:c r="X570" s="59" t="str">
        <x:f>IFERROR(IF(OR($N570="ĐÃ GHÉP - AUTO",$N570="ĐÃ GHÉP - QUY TẮC"),IF($V570="","",IF($T570="THÙNG",$V570/$F570,$V570)),""),"")</x:f>
      </x:c>
      <x:c r="Y570" s="117" t="n">
        <x:f>IF(OR(W570="",F570=""),"",W570*F570)</x:f>
        <x:v>1476000</x:v>
      </x:c>
      <x:c r="Z570" s="59" t="str">
        <x:f>IFERROR(IF(OR($N570="ĐÃ GHÉP - AUTO",$N570="ĐÃ GHÉP - QUY TẮC"),IF($V570="","",IF($T570="THÙNG",$V570,$V570*$F570)),""),"")</x:f>
      </x:c>
      <x:c r="AA570" s="28" t="str">
        <x:f>IFERROR(IF(OR($K570="",$K570=0,$Y570=""),"",($Y570-$K570)/$K570),"")</x:f>
      </x:c>
      <x:c r="AB570" s="37" t="str">
        <x:f>IFERROR(IF($N570="CẦN DUYỆT","DUYỆT MAP",IF($N570="CHƯA CÓ GIÁ LẺ","THIẾU GIÁ",IF(OR($K570="",$K570=0,$Y570=""),"OK",IF(ABS(($Y570-$K570)/$K570)&gt;0.15,"LỆCH GIÁ CŨ","OK")))),"OK")</x:f>
        <x:v>THIẾU GIÁ</x:v>
      </x:c>
      <x:c r="AC570" s="30" t="str">
        <x:v>ứng viên gần nhất=PLAN MOLE DƯA; score=0.462</x:v>
      </x:c>
      <x:c r="AD570" s="37" t="str">
        <x:v>BODUDL</x:v>
      </x:c>
      <x:c r="AE570" s="38" t="str">
        <x:v>BODUDLT</x:v>
      </x:c>
      <x:c r="AF570" s="123" t="n">
        <x:v>1450</x:v>
      </x:c>
      <x:c r="AG570" s="112" t="str">
        <x:v>g</x:v>
      </x:c>
      <x:c r="AH570" s="112" t="str">
        <x:v>HỦ</x:v>
      </x:c>
      <x:c r="AI570" s="112" t="str">
        <x:v>1450 g / HỦ</x:v>
      </x:c>
      <x:c r="AJ570" s="120" t="n">
        <x:v>123000</x:v>
      </x:c>
      <x:c r="AK570" s="120"/>
      <x:c r="AL570" s="120" t="n">
        <x:v>123000</x:v>
      </x:c>
      <x:c r="AM570" s="112" t="str">
        <x:v>BỔ SUNG GIÁ</x:v>
      </x:c>
      <x:c r="AN570" s="126" t="n">
        <x:v>1283</x:v>
      </x:c>
      <x:c r="AO570" s="126" t="n">
        <x:v>1284</x:v>
      </x:c>
      <x:c r="AP570" s="113" t="str">
        <x:v>12 HỦ / THÙNG</x:v>
      </x:c>
    </x:row>
    <x:row r="571">
      <x:c r="A571" s="71" t="str">
        <x:v>BODU DÂU</x:v>
      </x:c>
      <x:c r="B571" s="30" t="str">
        <x:v>BODU DÂU - THÙNG</x:v>
      </x:c>
      <x:c r="C571" s="37" t="str">
        <x:v>BODUDA</x:v>
      </x:c>
      <x:c r="D571" s="37" t="str">
        <x:v>BODUDAT</x:v>
      </x:c>
      <x:c r="E571" s="37" t="str">
        <x:v>BODUDAT</x:v>
      </x:c>
      <x:c r="F571" s="37" t="n">
        <x:v>12</x:v>
      </x:c>
      <x:c r="G571" s="37" t="n">
        <x:v>175</x:v>
      </x:c>
      <x:c r="H571" s="37" t="str">
        <x:v>g</x:v>
      </x:c>
      <x:c r="I571" s="37" t="str">
        <x:v>THÙNG</x:v>
      </x:c>
      <x:c r="J571" s="59" t="n">
        <x:v>0</x:v>
      </x:c>
      <x:c r="K571" s="59" t="n">
        <x:v>0</x:v>
      </x:c>
      <x:c r="L571" s="59" t="n">
        <x:v>0</x:v>
      </x:c>
      <x:c r="M571" s="37" t="str">
        <x:v>Khác</x:v>
      </x:c>
      <x:c r="N571" s="37" t="str">
        <x:v>CHƯA CÓ GIÁ LẺ</x:v>
      </x:c>
      <x:c r="O571" s="61" t="n">
        <x:v>0.583</x:v>
      </x:c>
      <x:c r="P571" s="37"/>
      <x:c r="Q571" s="30"/>
      <x:c r="R571" s="30"/>
      <x:c r="S571" s="30"/>
      <x:c r="T571" s="37"/>
      <x:c r="U571" s="59"/>
      <x:c r="V571" s="59"/>
      <x:c r="W571" s="117" t="n">
        <x:v>125000</x:v>
      </x:c>
      <x:c r="X571" s="59" t="str">
        <x:f>IFERROR(IF(OR($N571="ĐÃ GHÉP - AUTO",$N571="ĐÃ GHÉP - QUY TẮC"),IF($V571="","",IF($T571="THÙNG",$V571/$F571,$V571)),""),"")</x:f>
      </x:c>
      <x:c r="Y571" s="117" t="n">
        <x:f>IF(OR(W571="",F571=""),"",W571*F571)</x:f>
        <x:v>1500000</x:v>
      </x:c>
      <x:c r="Z571" s="59" t="str">
        <x:f>IFERROR(IF(OR($N571="ĐÃ GHÉP - AUTO",$N571="ĐÃ GHÉP - QUY TẮC"),IF($V571="","",IF($T571="THÙNG",$V571,$V571*$F571)),""),"")</x:f>
      </x:c>
      <x:c r="AA571" s="28" t="str">
        <x:f>IFERROR(IF(OR($K571="",$K571=0,$Y571=""),"",($Y571-$K571)/$K571),"")</x:f>
      </x:c>
      <x:c r="AB571" s="37" t="str">
        <x:f>IFERROR(IF($N571="CẦN DUYỆT","DUYỆT MAP",IF($N571="CHƯA CÓ GIÁ LẺ","THIẾU GIÁ",IF(OR($K571="",$K571=0,$Y571=""),"OK",IF(ABS(($Y571-$K571)/$K571)&gt;0.15,"LỆCH GIÁ CŨ","OK")))),"OK")</x:f>
        <x:v>THIẾU GIÁ</x:v>
      </x:c>
      <x:c r="AC571" s="30" t="str">
        <x:v>ứng viên gần nhất=Sinh Tố Gold Dâu; score=0.583</x:v>
      </x:c>
      <x:c r="AD571" s="37" t="str">
        <x:v>BODUDA</x:v>
      </x:c>
      <x:c r="AE571" s="38" t="str">
        <x:v>BODUDAT</x:v>
      </x:c>
      <x:c r="AF571" s="123" t="n">
        <x:v>1450</x:v>
      </x:c>
      <x:c r="AG571" s="112" t="str">
        <x:v>g</x:v>
      </x:c>
      <x:c r="AH571" s="112" t="str">
        <x:v>HỦ</x:v>
      </x:c>
      <x:c r="AI571" s="112" t="str">
        <x:v>1450 g / HỦ</x:v>
      </x:c>
      <x:c r="AJ571" s="120" t="n">
        <x:v>125000</x:v>
      </x:c>
      <x:c r="AK571" s="120"/>
      <x:c r="AL571" s="120" t="n">
        <x:v>125000</x:v>
      </x:c>
      <x:c r="AM571" s="112" t="str">
        <x:v>BỔ SUNG GIÁ</x:v>
      </x:c>
      <x:c r="AN571" s="126" t="n">
        <x:v>1285</x:v>
      </x:c>
      <x:c r="AO571" s="126" t="n">
        <x:v>1286</x:v>
      </x:c>
      <x:c r="AP571" s="113" t="str">
        <x:v>12 HỦ / THÙNG</x:v>
      </x:c>
    </x:row>
    <x:row r="572">
      <x:c r="A572" s="71" t="str">
        <x:v>BODU BƯỞI</x:v>
      </x:c>
      <x:c r="B572" s="30" t="str">
        <x:v>BODU BƯỞI - THÙNG</x:v>
      </x:c>
      <x:c r="C572" s="37" t="str">
        <x:v>BODUBU</x:v>
      </x:c>
      <x:c r="D572" s="37" t="str">
        <x:v>BODUBUT</x:v>
      </x:c>
      <x:c r="E572" s="37" t="str">
        <x:v>BODUBUT</x:v>
      </x:c>
      <x:c r="F572" s="37" t="n">
        <x:v>12</x:v>
      </x:c>
      <x:c r="G572" s="37" t="n">
        <x:v>14200</x:v>
      </x:c>
      <x:c r="H572" s="37" t="str">
        <x:v>g</x:v>
      </x:c>
      <x:c r="I572" s="37" t="str">
        <x:v>THÙNG</x:v>
      </x:c>
      <x:c r="J572" s="59" t="n">
        <x:v>0</x:v>
      </x:c>
      <x:c r="K572" s="59" t="n">
        <x:v>0</x:v>
      </x:c>
      <x:c r="L572" s="59" t="n">
        <x:v>0</x:v>
      </x:c>
      <x:c r="M572" s="37" t="str">
        <x:v>Khác</x:v>
      </x:c>
      <x:c r="N572" s="37" t="str">
        <x:v>CHƯA CÓ GIÁ LẺ</x:v>
      </x:c>
      <x:c r="O572" s="61" t="n">
        <x:v>0.058</x:v>
      </x:c>
      <x:c r="P572" s="37"/>
      <x:c r="Q572" s="30"/>
      <x:c r="R572" s="30"/>
      <x:c r="S572" s="30"/>
      <x:c r="T572" s="37"/>
      <x:c r="U572" s="59"/>
      <x:c r="V572" s="59"/>
      <x:c r="W572" s="117" t="n">
        <x:v>123000</x:v>
      </x:c>
      <x:c r="X572" s="59" t="str">
        <x:f>IFERROR(IF(OR($N572="ĐÃ GHÉP - AUTO",$N572="ĐÃ GHÉP - QUY TẮC"),IF($V572="","",IF($T572="THÙNG",$V572/$F572,$V572)),""),"")</x:f>
      </x:c>
      <x:c r="Y572" s="117" t="n">
        <x:f>IF(OR(W572="",F572=""),"",W572*F572)</x:f>
        <x:v>1476000</x:v>
      </x:c>
      <x:c r="Z572" s="59" t="str">
        <x:f>IFERROR(IF(OR($N572="ĐÃ GHÉP - AUTO",$N572="ĐÃ GHÉP - QUY TẮC"),IF($V572="","",IF($T572="THÙNG",$V572,$V572*$F572)),""),"")</x:f>
      </x:c>
      <x:c r="AA572" s="28" t="str">
        <x:f>IFERROR(IF(OR($K572="",$K572=0,$Y572=""),"",($Y572-$K572)/$K572),"")</x:f>
      </x:c>
      <x:c r="AB572" s="37" t="str">
        <x:f>IFERROR(IF($N572="CẦN DUYỆT","DUYỆT MAP",IF($N572="CHƯA CÓ GIÁ LẺ","THIẾU GIÁ",IF(OR($K572="",$K572=0,$Y572=""),"OK",IF(ABS(($Y572-$K572)/$K572)&gt;0.15,"LỆCH GIÁ CŨ","OK")))),"OK")</x:f>
        <x:v>THIẾU GIÁ</x:v>
      </x:c>
      <x:c r="AC572" s="30" t="str">
        <x:v>ứng viên gần nhất=PHÔ MAI BÒ CƯỜI; score=0.058</x:v>
      </x:c>
      <x:c r="AD572" s="37" t="str">
        <x:v>BODUBU</x:v>
      </x:c>
      <x:c r="AE572" s="38" t="str">
        <x:v>BODUBUT</x:v>
      </x:c>
      <x:c r="AF572" s="123" t="n">
        <x:v>11</x:v>
      </x:c>
      <x:c r="AG572" s="112" t="str">
        <x:v>g</x:v>
      </x:c>
      <x:c r="AH572" s="112" t="str">
        <x:v>HỦ</x:v>
      </x:c>
      <x:c r="AI572" s="112" t="str">
        <x:v>11 g / HỦ</x:v>
      </x:c>
      <x:c r="AJ572" s="120" t="n">
        <x:v>123000</x:v>
      </x:c>
      <x:c r="AK572" s="120"/>
      <x:c r="AL572" s="120" t="n">
        <x:v>123000</x:v>
      </x:c>
      <x:c r="AM572" s="112" t="str">
        <x:v>BỔ SUNG GIÁ</x:v>
      </x:c>
      <x:c r="AN572" s="126" t="n">
        <x:v>1287</x:v>
      </x:c>
      <x:c r="AO572" s="126" t="n">
        <x:v>1288</x:v>
      </x:c>
      <x:c r="AP572" s="113" t="str">
        <x:v>12 HỦ / THÙNG</x:v>
      </x:c>
    </x:row>
    <x:row r="573">
      <x:c r="A573" s="71" t="str">
        <x:v>BÒ CƯỜI 3 LỚP</x:v>
      </x:c>
      <x:c r="B573" s="30" t="str">
        <x:v>BÒ CƯỜI 3 LỚP - THÙNG</x:v>
      </x:c>
      <x:c r="C573" s="37" t="str">
        <x:v>BOCU3L</x:v>
      </x:c>
      <x:c r="D573" s="37" t="str">
        <x:v>BOCU3LT</x:v>
      </x:c>
      <x:c r="E573" s="37" t="str">
        <x:v>BOCU3LT</x:v>
      </x:c>
      <x:c r="F573" s="37" t="n">
        <x:v>24</x:v>
      </x:c>
      <x:c r="G573" s="37" t="n">
        <x:v>0</x:v>
      </x:c>
      <x:c r="H573" s="37" t="str">
        <x:v>g</x:v>
      </x:c>
      <x:c r="I573" s="37" t="str">
        <x:v>THÙNG</x:v>
      </x:c>
      <x:c r="J573" s="59" t="n">
        <x:v>0</x:v>
      </x:c>
      <x:c r="K573" s="59" t="n">
        <x:v>1870000</x:v>
      </x:c>
      <x:c r="L573" s="59" t="n">
        <x:v>0</x:v>
      </x:c>
      <x:c r="M573" s="37" t="str">
        <x:v>Khác</x:v>
      </x:c>
      <x:c r="N573" s="37" t="str">
        <x:v>CHƯA CÓ GIÁ LẺ</x:v>
      </x:c>
      <x:c r="O573" s="61" t="n">
        <x:v>0.655</x:v>
      </x:c>
      <x:c r="P573" s="37"/>
      <x:c r="Q573" s="30"/>
      <x:c r="R573" s="30"/>
      <x:c r="S573" s="30"/>
      <x:c r="T573" s="37"/>
      <x:c r="U573" s="59"/>
      <x:c r="V573" s="59"/>
      <x:c r="W573" s="117" t="n">
        <x:v>79000</x:v>
      </x:c>
      <x:c r="X573" s="59" t="str">
        <x:f>IFERROR(IF(OR($N573="ĐÃ GHÉP - AUTO",$N573="ĐÃ GHÉP - QUY TẮC"),IF($V573="","",IF($T573="THÙNG",$V573/$F573,$V573)),""),"")</x:f>
      </x:c>
      <x:c r="Y573" s="117" t="n">
        <x:f>IF(OR(W573="",F573=""),"",W573*F573)</x:f>
        <x:v>1896000</x:v>
      </x:c>
      <x:c r="Z573" s="59" t="str">
        <x:f>IFERROR(IF(OR($N573="ĐÃ GHÉP - AUTO",$N573="ĐÃ GHÉP - QUY TẮC"),IF($V573="","",IF($T573="THÙNG",$V573,$V573*$F573)),""),"")</x:f>
      </x:c>
      <x:c r="AA573" s="28" t="n">
        <x:f>IFERROR(IF(OR($K573="",$K573=0,$Y573=""),"",($Y573-$K573)/$K573),"")</x:f>
        <x:v>0.013903743315508022</x:v>
      </x:c>
      <x:c r="AB573" s="37" t="str">
        <x:f>IFERROR(IF($N573="CẦN DUYỆT","DUYỆT MAP",IF($N573="CHƯA CÓ GIÁ LẺ","THIẾU GIÁ",IF(OR($K573="",$K573=0,$Y573=""),"OK",IF(ABS(($Y573-$K573)/$K573)&gt;0.15,"LỆCH GIÁ CŨ","OK")))),"OK")</x:f>
        <x:v>THIẾU GIÁ</x:v>
      </x:c>
      <x:c r="AC573" s="30" t="str">
        <x:v>ứng viên gần nhất=PHÔ MAI BÒ CƯỜI; score=0.655</x:v>
      </x:c>
      <x:c r="AD573" s="37" t="str">
        <x:v>BOCU3L</x:v>
      </x:c>
      <x:c r="AE573" s="38" t="str">
        <x:v>BOCU3LT</x:v>
      </x:c>
      <x:c r="AF573" s="123" t="n">
        <x:v>350</x:v>
      </x:c>
      <x:c r="AG573" s="112" t="str">
        <x:v>g</x:v>
      </x:c>
      <x:c r="AH573" s="112" t="str">
        <x:v>HỘP</x:v>
      </x:c>
      <x:c r="AI573" s="112" t="str">
        <x:v>350 g / HỘP</x:v>
      </x:c>
      <x:c r="AJ573" s="120" t="n">
        <x:v>79000</x:v>
      </x:c>
      <x:c r="AK573" s="120"/>
      <x:c r="AL573" s="120" t="n">
        <x:v>79000</x:v>
      </x:c>
      <x:c r="AM573" s="112" t="str">
        <x:v>BỔ SUNG GIÁ</x:v>
      </x:c>
      <x:c r="AN573" s="126" t="n">
        <x:v>1292</x:v>
      </x:c>
      <x:c r="AO573" s="126" t="n">
        <x:v>1293</x:v>
      </x:c>
      <x:c r="AP573" s="113" t="str">
        <x:v>24 HỘP / THÙNG</x:v>
      </x:c>
    </x:row>
    <x:row r="574">
      <x:c r="A574" s="71" t="str">
        <x:v>ĐƯỜNG ĐEN BLACK 2L</x:v>
      </x:c>
      <x:c r="B574" s="30" t="str">
        <x:v>ĐƯỜNG ĐEN BLACK 2L - THÙNG</x:v>
      </x:c>
      <x:c r="C574" s="37" t="str">
        <x:v>BLAK2L</x:v>
      </x:c>
      <x:c r="D574" s="37" t="str">
        <x:v>BLAK2LT</x:v>
      </x:c>
      <x:c r="E574" s="37" t="str">
        <x:v>BLAK2LT</x:v>
      </x:c>
      <x:c r="F574" s="37" t="n">
        <x:v>6</x:v>
      </x:c>
      <x:c r="G574" s="37" t="n">
        <x:v>13</x:v>
      </x:c>
      <x:c r="H574" s="37" t="str">
        <x:v>kg</x:v>
      </x:c>
      <x:c r="I574" s="37" t="str">
        <x:v>THÙNG</x:v>
      </x:c>
      <x:c r="J574" s="59" t="n">
        <x:v>820000</x:v>
      </x:c>
      <x:c r="K574" s="59" t="n">
        <x:v>0</x:v>
      </x:c>
      <x:c r="L574" s="59" t="n">
        <x:v>0</x:v>
      </x:c>
      <x:c r="M574" s="37" t="str">
        <x:v>Đường đen / đường nước</x:v>
      </x:c>
      <x:c r="N574" s="37" t="str">
        <x:v>ĐÃ GHÉP - QUY TẮC</x:v>
      </x:c>
      <x:c r="O574" s="61" t="n">
        <x:v>0.99</x:v>
      </x:c>
      <x:c r="P574" s="37" t="n">
        <x:v>60</x:v>
      </x:c>
      <x:c r="Q574" s="30" t="str">
        <x:v>Đuongden black 2 lit</x:v>
      </x:c>
      <x:c r="R574" s="30" t="str">
        <x:v>THÙNG 6 BÌNH</x:v>
      </x:c>
      <x:c r="S574" s="30" t="str">
        <x:v>binh</x:v>
      </x:c>
      <x:c r="T574" s="37" t="str">
        <x:v>ĐƠN VỊ</x:v>
      </x:c>
      <x:c r="U574" s="59" t="n">
        <x:v>142000</x:v>
      </x:c>
      <x:c r="V574" s="59"/>
      <x:c r="W574" s="117" t="n">
        <x:v>142000</x:v>
      </x:c>
      <x:c r="X574" s="59" t="str">
        <x:f>IFERROR(IF(OR($N574="ĐÃ GHÉP - AUTO",$N574="ĐÃ GHÉP - QUY TẮC"),IF($V574="","",IF($T574="THÙNG",$V574/$F574,$V574)),""),"")</x:f>
      </x:c>
      <x:c r="Y574" s="117" t="n">
        <x:f>IF(OR(W574="",F574=""),"",W574*F574)</x:f>
        <x:v>852000</x:v>
      </x:c>
      <x:c r="Z574" s="59" t="str">
        <x:f>IFERROR(IF(OR($N574="ĐÃ GHÉP - AUTO",$N574="ĐÃ GHÉP - QUY TẮC"),IF($V574="","",IF($T574="THÙNG",$V574,$V574*$F574)),""),"")</x:f>
      </x:c>
      <x:c r="AA574" s="28" t="str">
        <x:f>IFERROR(IF(OR($K574="",$K574=0,$Y574=""),"",($Y574-$K574)/$K574),"")</x:f>
      </x:c>
      <x:c r="AB574" s="37" t="str">
        <x:f>IFERROR(IF($N574="CẦN DUYỆT","DUYỆT MAP",IF($N574="CHƯA CÓ GIÁ LẺ","THIẾU GIÁ",IF(OR($K574="",$K574=0,$Y574=""),"OK",IF(ABS(($Y574-$K574)/$K574)&gt;0.15,"LỆCH GIÁ CŨ","OK")))),"OK")</x:f>
        <x:v>OK</x:v>
      </x:c>
      <x:c r="AC574" s="30" t="str">
        <x:v>Đường đen Black 2 lít</x:v>
      </x:c>
      <x:c r="AD574" s="37" t="str">
        <x:v>BLAK2L</x:v>
      </x:c>
      <x:c r="AE574" s="38" t="str">
        <x:v>BLAK2LT</x:v>
      </x:c>
      <x:c r="AF574" s="123" t="n">
        <x:v>2</x:v>
      </x:c>
      <x:c r="AG574" s="112" t="str">
        <x:v>kg</x:v>
      </x:c>
      <x:c r="AH574" s="112" t="str">
        <x:v>BÌNH</x:v>
      </x:c>
      <x:c r="AI574" s="112" t="str">
        <x:v>2 kg / BÌNH</x:v>
      </x:c>
      <x:c r="AJ574" s="120" t="n">
        <x:v>142000</x:v>
      </x:c>
      <x:c r="AK574" s="120" t="n">
        <x:v>142000</x:v>
      </x:c>
      <x:c r="AL574" s="120" t="n">
        <x:v>142000</x:v>
      </x:c>
      <x:c r="AM574" s="112" t="str">
        <x:v>GIỮ NGUYÊN - ĐÃ KHỚP</x:v>
      </x:c>
      <x:c r="AN574" s="126" t="n">
        <x:v>1294</x:v>
      </x:c>
      <x:c r="AO574" s="126" t="n">
        <x:v>1295</x:v>
      </x:c>
      <x:c r="AP574" s="113" t="str">
        <x:v>6 BÌNH / THÙNG</x:v>
      </x:c>
    </x:row>
    <x:row r="575">
      <x:c r="A575" s="71" t="str">
        <x:v>ĐƯỜNG ĐEN BLACK 1L</x:v>
      </x:c>
      <x:c r="B575" s="30" t="str">
        <x:v>ĐƯỜNG ĐEN BLACK 1L - THÙNG</x:v>
      </x:c>
      <x:c r="C575" s="37" t="str">
        <x:v>BLAK1L</x:v>
      </x:c>
      <x:c r="D575" s="37" t="str">
        <x:v>BLAK1LT</x:v>
      </x:c>
      <x:c r="E575" s="37" t="str">
        <x:v>BLAK1LT</x:v>
      </x:c>
      <x:c r="F575" s="37" t="n">
        <x:v>12</x:v>
      </x:c>
      <x:c r="G575" s="37" t="n">
        <x:v>16600</x:v>
      </x:c>
      <x:c r="H575" s="37" t="str">
        <x:v>g</x:v>
      </x:c>
      <x:c r="I575" s="37" t="str">
        <x:v>THÙNG</x:v>
      </x:c>
      <x:c r="J575" s="59" t="n">
        <x:v>885000</x:v>
      </x:c>
      <x:c r="K575" s="59" t="n">
        <x:v>0</x:v>
      </x:c>
      <x:c r="L575" s="59" t="n">
        <x:v>0</x:v>
      </x:c>
      <x:c r="M575" s="37" t="str">
        <x:v>Đường đen / đường nước</x:v>
      </x:c>
      <x:c r="N575" s="37" t="str">
        <x:v>ĐÃ GHÉP - QUY TẮC</x:v>
      </x:c>
      <x:c r="O575" s="61" t="n">
        <x:v>0.99</x:v>
      </x:c>
      <x:c r="P575" s="37" t="n">
        <x:v>59</x:v>
      </x:c>
      <x:c r="Q575" s="30" t="str">
        <x:v>Đuongden black 1 lit</x:v>
      </x:c>
      <x:c r="R575" s="30" t="str">
        <x:v>THÙNG 12 CHAI</x:v>
      </x:c>
      <x:c r="S575" s="30" t="str">
        <x:v>binh</x:v>
      </x:c>
      <x:c r="T575" s="37" t="str">
        <x:v>ĐƠN VỊ</x:v>
      </x:c>
      <x:c r="U575" s="59" t="n">
        <x:v>76000</x:v>
      </x:c>
      <x:c r="V575" s="59"/>
      <x:c r="W575" s="117" t="n">
        <x:v>76000</x:v>
      </x:c>
      <x:c r="X575" s="59" t="str">
        <x:f>IFERROR(IF(OR($N575="ĐÃ GHÉP - AUTO",$N575="ĐÃ GHÉP - QUY TẮC"),IF($V575="","",IF($T575="THÙNG",$V575/$F575,$V575)),""),"")</x:f>
      </x:c>
      <x:c r="Y575" s="117" t="n">
        <x:f>IF(OR(W575="",F575=""),"",W575*F575)</x:f>
        <x:v>912000</x:v>
      </x:c>
      <x:c r="Z575" s="59" t="str">
        <x:f>IFERROR(IF(OR($N575="ĐÃ GHÉP - AUTO",$N575="ĐÃ GHÉP - QUY TẮC"),IF($V575="","",IF($T575="THÙNG",$V575,$V575*$F575)),""),"")</x:f>
      </x:c>
      <x:c r="AA575" s="28" t="str">
        <x:f>IFERROR(IF(OR($K575="",$K575=0,$Y575=""),"",($Y575-$K575)/$K575),"")</x:f>
      </x:c>
      <x:c r="AB575" s="37" t="str">
        <x:f>IFERROR(IF($N575="CẦN DUYỆT","DUYỆT MAP",IF($N575="CHƯA CÓ GIÁ LẺ","THIẾU GIÁ",IF(OR($K575="",$K575=0,$Y575=""),"OK",IF(ABS(($Y575-$K575)/$K575)&gt;0.15,"LỆCH GIÁ CŨ","OK")))),"OK")</x:f>
        <x:v>OK</x:v>
      </x:c>
      <x:c r="AC575" s="30" t="str">
        <x:v>Đường đen Black 1 lít</x:v>
      </x:c>
      <x:c r="AD575" s="37" t="str">
        <x:v>BLAK1L</x:v>
      </x:c>
      <x:c r="AE575" s="38" t="str">
        <x:v>BLAK1LT</x:v>
      </x:c>
      <x:c r="AF575" s="123" t="n">
        <x:v>1300</x:v>
      </x:c>
      <x:c r="AG575" s="112" t="str">
        <x:v>g</x:v>
      </x:c>
      <x:c r="AH575" s="112" t="str">
        <x:v>BÌNH</x:v>
      </x:c>
      <x:c r="AI575" s="112" t="str">
        <x:v>1300 g / BÌNH</x:v>
      </x:c>
      <x:c r="AJ575" s="120" t="n">
        <x:v>76000</x:v>
      </x:c>
      <x:c r="AK575" s="120" t="n">
        <x:v>76000</x:v>
      </x:c>
      <x:c r="AL575" s="120" t="n">
        <x:v>76000</x:v>
      </x:c>
      <x:c r="AM575" s="112" t="str">
        <x:v>GIỮ NGUYÊN - ĐÃ KHỚP</x:v>
      </x:c>
      <x:c r="AN575" s="126" t="n">
        <x:v>1296</x:v>
      </x:c>
      <x:c r="AO575" s="126" t="n">
        <x:v>1297</x:v>
      </x:c>
      <x:c r="AP575" s="113" t="str">
        <x:v>12 BÌNH / THÙNG</x:v>
      </x:c>
    </x:row>
    <x:row r="576">
      <x:c r="A576" s="71" t="str">
        <x:v>BERINO XOÀI</x:v>
      </x:c>
      <x:c r="B576" s="30" t="str">
        <x:v>BERINO XOÀI - THÙNG</x:v>
      </x:c>
      <x:c r="C576" s="37" t="str">
        <x:v>BERXOA</x:v>
      </x:c>
      <x:c r="D576" s="37" t="str">
        <x:v>BERXOAT</x:v>
      </x:c>
      <x:c r="E576" s="37" t="str">
        <x:v>BERXOAT</x:v>
      </x:c>
      <x:c r="F576" s="37" t="n">
        <x:v>12</x:v>
      </x:c>
      <x:c r="G576" s="37" t="n">
        <x:v>17000</x:v>
      </x:c>
      <x:c r="H576" s="37" t="str">
        <x:v>g</x:v>
      </x:c>
      <x:c r="I576" s="37" t="str">
        <x:v>THÙNG</x:v>
      </x:c>
      <x:c r="J576" s="59" t="n">
        <x:v>1039000</x:v>
      </x:c>
      <x:c r="K576" s="59" t="n">
        <x:v>0</x:v>
      </x:c>
      <x:c r="L576" s="59" t="n">
        <x:v>0</x:v>
      </x:c>
      <x:c r="M576" s="37" t="str">
        <x:v>Sinh tố / mứt</x:v>
      </x:c>
      <x:c r="N576" s="37" t="str">
        <x:v>ĐÃ GHÉP - AUTO</x:v>
      </x:c>
      <x:c r="O576" s="61" t="n">
        <x:v>0.958</x:v>
      </x:c>
      <x:c r="P576" s="37" t="n">
        <x:v>28</x:v>
      </x:c>
      <x:c r="Q576" s="30" t="str">
        <x:v>Sinh Tố Berrino Xoài</x:v>
      </x:c>
      <x:c r="R576" s="30" t="str">
        <x:v>Thùng12 chai</x:v>
      </x:c>
      <x:c r="S576" s="30" t="str">
        <x:v>Chai</x:v>
      </x:c>
      <x:c r="T576" s="37" t="str">
        <x:v>ĐƠN VỊ</x:v>
      </x:c>
      <x:c r="U576" s="59" t="n">
        <x:v>91000</x:v>
      </x:c>
      <x:c r="V576" s="59"/>
      <x:c r="W576" s="117" t="n">
        <x:v>91000</x:v>
      </x:c>
      <x:c r="X576" s="59" t="str">
        <x:f>IFERROR(IF(OR($N576="ĐÃ GHÉP - AUTO",$N576="ĐÃ GHÉP - QUY TẮC"),IF($V576="","",IF($T576="THÙNG",$V576/$F576,$V576)),""),"")</x:f>
      </x:c>
      <x:c r="Y576" s="117" t="n">
        <x:f>IF(OR(W576="",F576=""),"",W576*F576)</x:f>
        <x:v>1092000</x:v>
      </x:c>
      <x:c r="Z576" s="59" t="str">
        <x:f>IFERROR(IF(OR($N576="ĐÃ GHÉP - AUTO",$N576="ĐÃ GHÉP - QUY TẮC"),IF($V576="","",IF($T576="THÙNG",$V576,$V576*$F576)),""),"")</x:f>
      </x:c>
      <x:c r="AA576" s="28" t="str">
        <x:f>IFERROR(IF(OR($K576="",$K576=0,$Y576=""),"",($Y576-$K576)/$K576),"")</x:f>
      </x:c>
      <x:c r="AB576" s="37" t="str">
        <x:f>IFERROR(IF($N576="CẦN DUYỆT","DUYỆT MAP",IF($N576="CHƯA CÓ GIÁ LẺ","THIẾU GIÁ",IF(OR($K576="",$K576=0,$Y576=""),"OK",IF(ABS(($Y576-$K576)/$K576)&gt;0.15,"LỆCH GIÁ CŨ","OK")))),"OK")</x:f>
        <x:v>OK</x:v>
      </x:c>
      <x:c r="AC576" s="30" t="str">
        <x:v>score=0.958; gap=0.337</x:v>
      </x:c>
      <x:c r="AD576" s="37" t="str">
        <x:v>BERXOA</x:v>
      </x:c>
      <x:c r="AE576" s="38" t="str">
        <x:v>BERXOAT</x:v>
      </x:c>
      <x:c r="AF576" s="123" t="n">
        <x:v>1350</x:v>
      </x:c>
      <x:c r="AG576" s="112" t="str">
        <x:v>g</x:v>
      </x:c>
      <x:c r="AH576" s="112" t="str">
        <x:v>CHAI</x:v>
      </x:c>
      <x:c r="AI576" s="112" t="str">
        <x:v>1350 g / CHAI</x:v>
      </x:c>
      <x:c r="AJ576" s="120" t="n">
        <x:v>91000</x:v>
      </x:c>
      <x:c r="AK576" s="120" t="n">
        <x:v>91000</x:v>
      </x:c>
      <x:c r="AL576" s="120" t="n">
        <x:v>91000</x:v>
      </x:c>
      <x:c r="AM576" s="112" t="str">
        <x:v>GIỮ NGUYÊN - ĐÃ KHỚP</x:v>
      </x:c>
      <x:c r="AN576" s="126" t="n">
        <x:v>1298</x:v>
      </x:c>
      <x:c r="AO576" s="126" t="n">
        <x:v>1299</x:v>
      </x:c>
      <x:c r="AP576" s="113" t="str">
        <x:v>12 CHAI / THÙNG</x:v>
      </x:c>
    </x:row>
    <x:row r="577">
      <x:c r="A577" s="71" t="str">
        <x:v>BERINO VIỆT QUỐC</x:v>
      </x:c>
      <x:c r="B577" s="30" t="str">
        <x:v>BERINO VIỆT QUỐC - THÙNG</x:v>
      </x:c>
      <x:c r="C577" s="37" t="str">
        <x:v>BERVQU</x:v>
      </x:c>
      <x:c r="D577" s="37" t="str">
        <x:v>BERVQUT</x:v>
      </x:c>
      <x:c r="E577" s="37" t="str">
        <x:v>BERVQUT</x:v>
      </x:c>
      <x:c r="F577" s="37" t="n">
        <x:v>12</x:v>
      </x:c>
      <x:c r="G577" s="37" t="n">
        <x:v>17000</x:v>
      </x:c>
      <x:c r="H577" s="37" t="str">
        <x:v>g</x:v>
      </x:c>
      <x:c r="I577" s="37" t="str">
        <x:v>THÙNG</x:v>
      </x:c>
      <x:c r="J577" s="59" t="n">
        <x:v>1394000</x:v>
      </x:c>
      <x:c r="K577" s="59" t="n">
        <x:v>0</x:v>
      </x:c>
      <x:c r="L577" s="59" t="n">
        <x:v>0</x:v>
      </x:c>
      <x:c r="M577" s="37" t="str">
        <x:v>Sinh tố / mứt</x:v>
      </x:c>
      <x:c r="N577" s="37" t="str">
        <x:v>ĐÃ GHÉP - AUTO</x:v>
      </x:c>
      <x:c r="O577" s="61" t="n">
        <x:v>0.964</x:v>
      </x:c>
      <x:c r="P577" s="37" t="n">
        <x:v>23</x:v>
      </x:c>
      <x:c r="Q577" s="30" t="str">
        <x:v>Sinh Tố Berrino Việt Quốc</x:v>
      </x:c>
      <x:c r="R577" s="30" t="str">
        <x:v>Thùng12 chai</x:v>
      </x:c>
      <x:c r="S577" s="30" t="str">
        <x:v>Chai</x:v>
      </x:c>
      <x:c r="T577" s="37" t="str">
        <x:v>ĐƠN VỊ</x:v>
      </x:c>
      <x:c r="U577" s="59" t="n">
        <x:v>123000</x:v>
      </x:c>
      <x:c r="V577" s="59"/>
      <x:c r="W577" s="117" t="n">
        <x:v>123000</x:v>
      </x:c>
      <x:c r="X577" s="59" t="str">
        <x:f>IFERROR(IF(OR($N577="ĐÃ GHÉP - AUTO",$N577="ĐÃ GHÉP - QUY TẮC"),IF($V577="","",IF($T577="THÙNG",$V577/$F577,$V577)),""),"")</x:f>
      </x:c>
      <x:c r="Y577" s="117" t="n">
        <x:f>IF(OR(W577="",F577=""),"",W577*F577)</x:f>
        <x:v>1476000</x:v>
      </x:c>
      <x:c r="Z577" s="59" t="str">
        <x:f>IFERROR(IF(OR($N577="ĐÃ GHÉP - AUTO",$N577="ĐÃ GHÉP - QUY TẮC"),IF($V577="","",IF($T577="THÙNG",$V577,$V577*$F577)),""),"")</x:f>
      </x:c>
      <x:c r="AA577" s="28" t="str">
        <x:f>IFERROR(IF(OR($K577="",$K577=0,$Y577=""),"",($Y577-$K577)/$K577),"")</x:f>
      </x:c>
      <x:c r="AB577" s="37" t="str">
        <x:f>IFERROR(IF($N577="CẦN DUYỆT","DUYỆT MAP",IF($N577="CHƯA CÓ GIÁ LẺ","THIẾU GIÁ",IF(OR($K577="",$K577=0,$Y577=""),"OK",IF(ABS(($Y577-$K577)/$K577)&gt;0.15,"LỆCH GIÁ CŨ","OK")))),"OK")</x:f>
        <x:v>OK</x:v>
      </x:c>
      <x:c r="AC577" s="30" t="str">
        <x:v>score=0.964; gap=0.221</x:v>
      </x:c>
      <x:c r="AD577" s="37" t="str">
        <x:v>BERVQU</x:v>
      </x:c>
      <x:c r="AE577" s="38" t="str">
        <x:v>BERVQUT</x:v>
      </x:c>
      <x:c r="AF577" s="123" t="n">
        <x:v>1350</x:v>
      </x:c>
      <x:c r="AG577" s="112" t="str">
        <x:v>g</x:v>
      </x:c>
      <x:c r="AH577" s="112" t="str">
        <x:v>CHAI</x:v>
      </x:c>
      <x:c r="AI577" s="112" t="str">
        <x:v>1350 g / CHAI</x:v>
      </x:c>
      <x:c r="AJ577" s="120" t="n">
        <x:v>123000</x:v>
      </x:c>
      <x:c r="AK577" s="120" t="n">
        <x:v>123000</x:v>
      </x:c>
      <x:c r="AL577" s="120" t="n">
        <x:v>123000</x:v>
      </x:c>
      <x:c r="AM577" s="112" t="str">
        <x:v>GIỮ NGUYÊN - ĐÃ KHỚP</x:v>
      </x:c>
      <x:c r="AN577" s="126" t="n">
        <x:v>1300</x:v>
      </x:c>
      <x:c r="AO577" s="126" t="n">
        <x:v>1301</x:v>
      </x:c>
      <x:c r="AP577" s="113" t="str">
        <x:v>12 CHAI / THÙNG</x:v>
      </x:c>
    </x:row>
    <x:row r="578">
      <x:c r="A578" s="71" t="str">
        <x:v>BERINO VẢI</x:v>
      </x:c>
      <x:c r="B578" s="30" t="str">
        <x:v>BERINO VẢI - THÙNG</x:v>
      </x:c>
      <x:c r="C578" s="37" t="str">
        <x:v>BERVAI</x:v>
      </x:c>
      <x:c r="D578" s="37" t="str">
        <x:v>BERVAIT</x:v>
      </x:c>
      <x:c r="E578" s="37" t="str">
        <x:v>BERVAIT</x:v>
      </x:c>
      <x:c r="F578" s="37" t="n">
        <x:v>12</x:v>
      </x:c>
      <x:c r="G578" s="37" t="n">
        <x:v>1</x:v>
      </x:c>
      <x:c r="H578" s="37" t="str">
        <x:v>kg</x:v>
      </x:c>
      <x:c r="I578" s="37" t="str">
        <x:v>THÙNG</x:v>
      </x:c>
      <x:c r="J578" s="59" t="n">
        <x:v>1320000</x:v>
      </x:c>
      <x:c r="K578" s="59" t="n">
        <x:v>0</x:v>
      </x:c>
      <x:c r="L578" s="59" t="n">
        <x:v>0</x:v>
      </x:c>
      <x:c r="M578" s="37" t="str">
        <x:v>Sinh tố / mứt</x:v>
      </x:c>
      <x:c r="N578" s="37" t="str">
        <x:v>ĐÃ GHÉP - AUTO</x:v>
      </x:c>
      <x:c r="O578" s="61" t="n">
        <x:v>0.958</x:v>
      </x:c>
      <x:c r="P578" s="37" t="n">
        <x:v>25</x:v>
      </x:c>
      <x:c r="Q578" s="30" t="str">
        <x:v>Sinh Tố Berrino Vải</x:v>
      </x:c>
      <x:c r="R578" s="30" t="str">
        <x:v>Thùng12 chai</x:v>
      </x:c>
      <x:c r="S578" s="30" t="str">
        <x:v>Chai</x:v>
      </x:c>
      <x:c r="T578" s="37" t="str">
        <x:v>ĐƠN VỊ</x:v>
      </x:c>
      <x:c r="U578" s="59" t="n">
        <x:v>115000</x:v>
      </x:c>
      <x:c r="V578" s="59"/>
      <x:c r="W578" s="117" t="n">
        <x:v>115000</x:v>
      </x:c>
      <x:c r="X578" s="59" t="str">
        <x:f>IFERROR(IF(OR($N578="ĐÃ GHÉP - AUTO",$N578="ĐÃ GHÉP - QUY TẮC"),IF($V578="","",IF($T578="THÙNG",$V578/$F578,$V578)),""),"")</x:f>
      </x:c>
      <x:c r="Y578" s="117" t="n">
        <x:f>IF(OR(W578="",F578=""),"",W578*F578)</x:f>
        <x:v>1380000</x:v>
      </x:c>
      <x:c r="Z578" s="59" t="str">
        <x:f>IFERROR(IF(OR($N578="ĐÃ GHÉP - AUTO",$N578="ĐÃ GHÉP - QUY TẮC"),IF($V578="","",IF($T578="THÙNG",$V578,$V578*$F578)),""),"")</x:f>
      </x:c>
      <x:c r="AA578" s="28" t="str">
        <x:f>IFERROR(IF(OR($K578="",$K578=0,$Y578=""),"",($Y578-$K578)/$K578),"")</x:f>
      </x:c>
      <x:c r="AB578" s="37" t="str">
        <x:f>IFERROR(IF($N578="CẦN DUYỆT","DUYỆT MAP",IF($N578="CHƯA CÓ GIÁ LẺ","THIẾU GIÁ",IF(OR($K578="",$K578=0,$Y578=""),"OK",IF(ABS(($Y578-$K578)/$K578)&gt;0.15,"LỆCH GIÁ CŨ","OK")))),"OK")</x:f>
        <x:v>OK</x:v>
      </x:c>
      <x:c r="AC578" s="30" t="str">
        <x:v>score=0.958; gap=0.362</x:v>
      </x:c>
      <x:c r="AD578" s="37" t="str">
        <x:v>BERVAI</x:v>
      </x:c>
      <x:c r="AE578" s="38" t="str">
        <x:v>BERVAIT</x:v>
      </x:c>
      <x:c r="AF578" s="123" t="n">
        <x:v>1.35</x:v>
      </x:c>
      <x:c r="AG578" s="112" t="str">
        <x:v>kg</x:v>
      </x:c>
      <x:c r="AH578" s="112" t="str">
        <x:v>CHAI</x:v>
      </x:c>
      <x:c r="AI578" s="112" t="str">
        <x:v>1.35 kg / CHAI</x:v>
      </x:c>
      <x:c r="AJ578" s="120" t="n">
        <x:v>115000</x:v>
      </x:c>
      <x:c r="AK578" s="120" t="n">
        <x:v>115000</x:v>
      </x:c>
      <x:c r="AL578" s="120" t="n">
        <x:v>115000</x:v>
      </x:c>
      <x:c r="AM578" s="112" t="str">
        <x:v>GIỮ NGUYÊN - ĐÃ KHỚP</x:v>
      </x:c>
      <x:c r="AN578" s="126" t="n">
        <x:v>1302</x:v>
      </x:c>
      <x:c r="AO578" s="126" t="n">
        <x:v>1303</x:v>
      </x:c>
      <x:c r="AP578" s="113" t="str">
        <x:v>12 CHAI / THÙNG</x:v>
      </x:c>
    </x:row>
    <x:row r="579">
      <x:c r="A579" s="71" t="str">
        <x:v>BERINO THƠM</x:v>
      </x:c>
      <x:c r="B579" s="30" t="str">
        <x:v>BERINO THƠM - THÙNG</x:v>
      </x:c>
      <x:c r="C579" s="37" t="str">
        <x:v>BERTHM</x:v>
      </x:c>
      <x:c r="D579" s="37" t="str">
        <x:v>BERTHMT</x:v>
      </x:c>
      <x:c r="E579" s="37" t="str">
        <x:v>BERTHMT</x:v>
      </x:c>
      <x:c r="F579" s="37" t="n">
        <x:v>12</x:v>
      </x:c>
      <x:c r="G579" s="37" t="n">
        <x:v>17000</x:v>
      </x:c>
      <x:c r="H579" s="37" t="str">
        <x:v>g</x:v>
      </x:c>
      <x:c r="I579" s="37" t="str">
        <x:v>THÙNG</x:v>
      </x:c>
      <x:c r="J579" s="59" t="n">
        <x:v>1099000</x:v>
      </x:c>
      <x:c r="K579" s="59" t="n">
        <x:v>0</x:v>
      </x:c>
      <x:c r="L579" s="59" t="n">
        <x:v>0</x:v>
      </x:c>
      <x:c r="M579" s="37" t="str">
        <x:v>Sinh tố / mứt</x:v>
      </x:c>
      <x:c r="N579" s="37" t="str">
        <x:v>ĐÃ GHÉP - AUTO</x:v>
      </x:c>
      <x:c r="O579" s="61" t="n">
        <x:v>0.958</x:v>
      </x:c>
      <x:c r="P579" s="37" t="n">
        <x:v>31</x:v>
      </x:c>
      <x:c r="Q579" s="30" t="str">
        <x:v>Sinh Tô berino khom</x:v>
      </x:c>
      <x:c r="R579" s="30" t="str">
        <x:v>Thung 12 chai</x:v>
      </x:c>
      <x:c r="S579" s="30" t="str">
        <x:v>chai</x:v>
      </x:c>
      <x:c r="T579" s="37" t="str">
        <x:v>ĐƠN VỊ</x:v>
      </x:c>
      <x:c r="U579" s="59" t="n">
        <x:v>98000</x:v>
      </x:c>
      <x:c r="V579" s="59"/>
      <x:c r="W579" s="117" t="n">
        <x:v>98000</x:v>
      </x:c>
      <x:c r="X579" s="59" t="str">
        <x:f>IFERROR(IF(OR($N579="ĐÃ GHÉP - AUTO",$N579="ĐÃ GHÉP - QUY TẮC"),IF($V579="","",IF($T579="THÙNG",$V579/$F579,$V579)),""),"")</x:f>
      </x:c>
      <x:c r="Y579" s="117" t="n">
        <x:f>IF(OR(W579="",F579=""),"",W579*F579)</x:f>
        <x:v>1176000</x:v>
      </x:c>
      <x:c r="Z579" s="59" t="str">
        <x:f>IFERROR(IF(OR($N579="ĐÃ GHÉP - AUTO",$N579="ĐÃ GHÉP - QUY TẮC"),IF($V579="","",IF($T579="THÙNG",$V579,$V579*$F579)),""),"")</x:f>
      </x:c>
      <x:c r="AA579" s="28" t="str">
        <x:f>IFERROR(IF(OR($K579="",$K579=0,$Y579=""),"",($Y579-$K579)/$K579),"")</x:f>
      </x:c>
      <x:c r="AB579" s="37" t="str">
        <x:f>IFERROR(IF($N579="CẦN DUYỆT","DUYỆT MAP",IF($N579="CHƯA CÓ GIÁ LẺ","THIẾU GIÁ",IF(OR($K579="",$K579=0,$Y579=""),"OK",IF(ABS(($Y579-$K579)/$K579)&gt;0.15,"LỆCH GIÁ CŨ","OK")))),"OK")</x:f>
        <x:v>OK</x:v>
      </x:c>
      <x:c r="AC579" s="30" t="str">
        <x:v>score=0.958; gap=0.385</x:v>
      </x:c>
      <x:c r="AD579" s="37" t="str">
        <x:v>BERTHM</x:v>
      </x:c>
      <x:c r="AE579" s="38" t="str">
        <x:v>BERTHMT</x:v>
      </x:c>
      <x:c r="AF579" s="123" t="n">
        <x:v>1350</x:v>
      </x:c>
      <x:c r="AG579" s="112" t="str">
        <x:v>g</x:v>
      </x:c>
      <x:c r="AH579" s="112" t="str">
        <x:v>CHAI</x:v>
      </x:c>
      <x:c r="AI579" s="112" t="str">
        <x:v>1350 g / CHAI</x:v>
      </x:c>
      <x:c r="AJ579" s="120" t="n">
        <x:v>98000</x:v>
      </x:c>
      <x:c r="AK579" s="120" t="n">
        <x:v>98000</x:v>
      </x:c>
      <x:c r="AL579" s="120" t="n">
        <x:v>98000</x:v>
      </x:c>
      <x:c r="AM579" s="112" t="str">
        <x:v>GIỮ NGUYÊN - ĐÃ KHỚP</x:v>
      </x:c>
      <x:c r="AN579" s="126" t="n">
        <x:v>1304</x:v>
      </x:c>
      <x:c r="AO579" s="126" t="n">
        <x:v>1305</x:v>
      </x:c>
      <x:c r="AP579" s="113" t="str">
        <x:v>12 CHAI / THÙNG</x:v>
      </x:c>
    </x:row>
    <x:row r="580">
      <x:c r="A580" s="71" t="str">
        <x:v>BERINO PHÚC BỒN TỬ</x:v>
      </x:c>
      <x:c r="B580" s="30" t="str">
        <x:v>BERINO PHÚC BỒN TỬ - THÙNG</x:v>
      </x:c>
      <x:c r="C580" s="37" t="str">
        <x:v>BERPBT</x:v>
      </x:c>
      <x:c r="D580" s="37" t="str">
        <x:v>BERPBTT</x:v>
      </x:c>
      <x:c r="E580" s="37" t="str">
        <x:v>BERPBTT</x:v>
      </x:c>
      <x:c r="F580" s="37" t="n">
        <x:v>12</x:v>
      </x:c>
      <x:c r="G580" s="37" t="n">
        <x:v>17000</x:v>
      </x:c>
      <x:c r="H580" s="37" t="str">
        <x:v>g</x:v>
      </x:c>
      <x:c r="I580" s="37" t="str">
        <x:v>THÙNG</x:v>
      </x:c>
      <x:c r="J580" s="59" t="n">
        <x:v>1302000</x:v>
      </x:c>
      <x:c r="K580" s="59" t="n">
        <x:v>0</x:v>
      </x:c>
      <x:c r="L580" s="59" t="n">
        <x:v>0</x:v>
      </x:c>
      <x:c r="M580" s="37" t="str">
        <x:v>Sinh tố / mứt</x:v>
      </x:c>
      <x:c r="N580" s="37" t="str">
        <x:v>ĐÃ GHÉP - AUTO</x:v>
      </x:c>
      <x:c r="O580" s="61" t="n">
        <x:v>0.964</x:v>
      </x:c>
      <x:c r="P580" s="37" t="n">
        <x:v>27</x:v>
      </x:c>
      <x:c r="Q580" s="30" t="str">
        <x:v>Sinh Tố Berrino Phúc Bồn Tử</x:v>
      </x:c>
      <x:c r="R580" s="30" t="str">
        <x:v>Thùng12 chai</x:v>
      </x:c>
      <x:c r="S580" s="30" t="str">
        <x:v>Chai</x:v>
      </x:c>
      <x:c r="T580" s="37" t="str">
        <x:v>ĐƠN VỊ</x:v>
      </x:c>
      <x:c r="U580" s="59" t="n">
        <x:v>114000</x:v>
      </x:c>
      <x:c r="V580" s="59"/>
      <x:c r="W580" s="117" t="n">
        <x:v>114000</x:v>
      </x:c>
      <x:c r="X580" s="59" t="str">
        <x:f>IFERROR(IF(OR($N580="ĐÃ GHÉP - AUTO",$N580="ĐÃ GHÉP - QUY TẮC"),IF($V580="","",IF($T580="THÙNG",$V580/$F580,$V580)),""),"")</x:f>
      </x:c>
      <x:c r="Y580" s="117" t="n">
        <x:f>IF(OR(W580="",F580=""),"",W580*F580)</x:f>
        <x:v>1368000</x:v>
      </x:c>
      <x:c r="Z580" s="59" t="str">
        <x:f>IFERROR(IF(OR($N580="ĐÃ GHÉP - AUTO",$N580="ĐÃ GHÉP - QUY TẮC"),IF($V580="","",IF($T580="THÙNG",$V580,$V580*$F580)),""),"")</x:f>
      </x:c>
      <x:c r="AA580" s="28" t="str">
        <x:f>IFERROR(IF(OR($K580="",$K580=0,$Y580=""),"",($Y580-$K580)/$K580),"")</x:f>
      </x:c>
      <x:c r="AB580" s="37" t="str">
        <x:f>IFERROR(IF($N580="CẦN DUYỆT","DUYỆT MAP",IF($N580="CHƯA CÓ GIÁ LẺ","THIẾU GIÁ",IF(OR($K580="",$K580=0,$Y580=""),"OK",IF(ABS(($Y580-$K580)/$K580)&gt;0.15,"LỆCH GIÁ CŨ","OK")))),"OK")</x:f>
        <x:v>OK</x:v>
      </x:c>
      <x:c r="AC580" s="30" t="str">
        <x:v>score=0.964; gap=0.159</x:v>
      </x:c>
      <x:c r="AD580" s="37" t="str">
        <x:v>BERPBT</x:v>
      </x:c>
      <x:c r="AE580" s="38" t="str">
        <x:v>BERPBTT</x:v>
      </x:c>
      <x:c r="AF580" s="123" t="n">
        <x:v>1350</x:v>
      </x:c>
      <x:c r="AG580" s="112" t="str">
        <x:v>g</x:v>
      </x:c>
      <x:c r="AH580" s="112" t="str">
        <x:v>CHAI</x:v>
      </x:c>
      <x:c r="AI580" s="112" t="str">
        <x:v>1350 g / CHAI</x:v>
      </x:c>
      <x:c r="AJ580" s="120" t="n">
        <x:v>114000</x:v>
      </x:c>
      <x:c r="AK580" s="120" t="n">
        <x:v>114000</x:v>
      </x:c>
      <x:c r="AL580" s="120" t="n">
        <x:v>114000</x:v>
      </x:c>
      <x:c r="AM580" s="112" t="str">
        <x:v>GIỮ NGUYÊN - ĐÃ KHỚP</x:v>
      </x:c>
      <x:c r="AN580" s="126" t="n">
        <x:v>1306</x:v>
      </x:c>
      <x:c r="AO580" s="126" t="n">
        <x:v>1307</x:v>
      </x:c>
      <x:c r="AP580" s="113" t="str">
        <x:v>12 CHAI / THÙNG</x:v>
      </x:c>
    </x:row>
    <x:row r="581">
      <x:c r="A581" s="71" t="str">
        <x:v>BERINO ỔI</x:v>
      </x:c>
      <x:c r="B581" s="30" t="str">
        <x:v>BERINO ỔI - THÙNG</x:v>
      </x:c>
      <x:c r="C581" s="37" t="str">
        <x:v>BEROIH</x:v>
      </x:c>
      <x:c r="D581" s="37" t="str">
        <x:v>BEROIHT</x:v>
      </x:c>
      <x:c r="E581" s="37" t="str">
        <x:v>BEROIHT</x:v>
      </x:c>
      <x:c r="F581" s="37" t="n">
        <x:v>12</x:v>
      </x:c>
      <x:c r="G581" s="37" t="n">
        <x:v>17000</x:v>
      </x:c>
      <x:c r="H581" s="37" t="str">
        <x:v>g</x:v>
      </x:c>
      <x:c r="I581" s="37" t="str">
        <x:v>THÙNG</x:v>
      </x:c>
      <x:c r="J581" s="59" t="n">
        <x:v>1253000</x:v>
      </x:c>
      <x:c r="K581" s="59" t="n">
        <x:v>0</x:v>
      </x:c>
      <x:c r="L581" s="59" t="n">
        <x:v>0</x:v>
      </x:c>
      <x:c r="M581" s="37" t="str">
        <x:v>Sinh tố / mứt</x:v>
      </x:c>
      <x:c r="N581" s="37" t="str">
        <x:v>ĐÃ GHÉP - AUTO</x:v>
      </x:c>
      <x:c r="O581" s="61" t="n">
        <x:v>0.958</x:v>
      </x:c>
      <x:c r="P581" s="37" t="n">
        <x:v>22</x:v>
      </x:c>
      <x:c r="Q581" s="30" t="str">
        <x:v>Sinh tố Berrino ổi</x:v>
      </x:c>
      <x:c r="R581" s="30" t="str">
        <x:v>Thùng12 chai</x:v>
      </x:c>
      <x:c r="S581" s="30" t="str">
        <x:v>chai</x:v>
      </x:c>
      <x:c r="T581" s="37" t="str">
        <x:v>ĐƠN VỊ</x:v>
      </x:c>
      <x:c r="U581" s="59" t="n">
        <x:v>111000</x:v>
      </x:c>
      <x:c r="V581" s="59"/>
      <x:c r="W581" s="117" t="n">
        <x:v>111000</x:v>
      </x:c>
      <x:c r="X581" s="59" t="str">
        <x:f>IFERROR(IF(OR($N581="ĐÃ GHÉP - AUTO",$N581="ĐÃ GHÉP - QUY TẮC"),IF($V581="","",IF($T581="THÙNG",$V581/$F581,$V581)),""),"")</x:f>
      </x:c>
      <x:c r="Y581" s="117" t="n">
        <x:f>IF(OR(W581="",F581=""),"",W581*F581)</x:f>
        <x:v>1332000</x:v>
      </x:c>
      <x:c r="Z581" s="59" t="str">
        <x:f>IFERROR(IF(OR($N581="ĐÃ GHÉP - AUTO",$N581="ĐÃ GHÉP - QUY TẮC"),IF($V581="","",IF($T581="THÙNG",$V581,$V581*$F581)),""),"")</x:f>
      </x:c>
      <x:c r="AA581" s="28" t="str">
        <x:f>IFERROR(IF(OR($K581="",$K581=0,$Y581=""),"",($Y581-$K581)/$K581),"")</x:f>
      </x:c>
      <x:c r="AB581" s="37" t="str">
        <x:f>IFERROR(IF($N581="CẦN DUYỆT","DUYỆT MAP",IF($N581="CHƯA CÓ GIÁ LẺ","THIẾU GIÁ",IF(OR($K581="",$K581=0,$Y581=""),"OK",IF(ABS(($Y581-$K581)/$K581)&gt;0.15,"LỆCH GIÁ CŨ","OK")))),"OK")</x:f>
        <x:v>OK</x:v>
      </x:c>
      <x:c r="AC581" s="30" t="str">
        <x:v>score=0.958; gap=0.372</x:v>
      </x:c>
      <x:c r="AD581" s="37" t="str">
        <x:v>BEROIH</x:v>
      </x:c>
      <x:c r="AE581" s="38" t="str">
        <x:v>BEROIHT</x:v>
      </x:c>
      <x:c r="AF581" s="123" t="n">
        <x:v>1350</x:v>
      </x:c>
      <x:c r="AG581" s="112" t="str">
        <x:v>g</x:v>
      </x:c>
      <x:c r="AH581" s="112" t="str">
        <x:v>CHAI</x:v>
      </x:c>
      <x:c r="AI581" s="112" t="str">
        <x:v>1350 g / CHAI</x:v>
      </x:c>
      <x:c r="AJ581" s="120" t="n">
        <x:v>111000</x:v>
      </x:c>
      <x:c r="AK581" s="120" t="n">
        <x:v>111000</x:v>
      </x:c>
      <x:c r="AL581" s="120" t="n">
        <x:v>111000</x:v>
      </x:c>
      <x:c r="AM581" s="112" t="str">
        <x:v>GIỮ NGUYÊN - ĐÃ KHỚP</x:v>
      </x:c>
      <x:c r="AN581" s="126" t="n">
        <x:v>1308</x:v>
      </x:c>
      <x:c r="AO581" s="126" t="n">
        <x:v>1309</x:v>
      </x:c>
      <x:c r="AP581" s="113" t="str">
        <x:v>12 CHAI / THÙNG</x:v>
      </x:c>
    </x:row>
    <x:row r="582">
      <x:c r="A582" s="71" t="str">
        <x:v>BERINO NHO</x:v>
      </x:c>
      <x:c r="B582" s="30" t="str">
        <x:v>BERINO NHO - THÙNG</x:v>
      </x:c>
      <x:c r="C582" s="37" t="str">
        <x:v>BERNHO</x:v>
      </x:c>
      <x:c r="D582" s="37" t="str">
        <x:v>BERNHOT</x:v>
      </x:c>
      <x:c r="E582" s="37" t="str">
        <x:v>BERNHOT</x:v>
      </x:c>
      <x:c r="F582" s="37" t="n">
        <x:v>12</x:v>
      </x:c>
      <x:c r="G582" s="37" t="n">
        <x:v>17000</x:v>
      </x:c>
      <x:c r="H582" s="37" t="str">
        <x:v>g</x:v>
      </x:c>
      <x:c r="I582" s="37" t="str">
        <x:v>THÙNG</x:v>
      </x:c>
      <x:c r="J582" s="59" t="n">
        <x:v>1222000</x:v>
      </x:c>
      <x:c r="K582" s="59" t="n">
        <x:v>0</x:v>
      </x:c>
      <x:c r="L582" s="59" t="n">
        <x:v>0</x:v>
      </x:c>
      <x:c r="M582" s="37" t="str">
        <x:v>Sinh tố / mứt</x:v>
      </x:c>
      <x:c r="N582" s="37" t="str">
        <x:v>ĐÃ GHÉP - AUTO</x:v>
      </x:c>
      <x:c r="O582" s="61" t="n">
        <x:v>0.958</x:v>
      </x:c>
      <x:c r="P582" s="37" t="n">
        <x:v>29</x:v>
      </x:c>
      <x:c r="Q582" s="30" t="str">
        <x:v>Sinh Tố Berrino Nho</x:v>
      </x:c>
      <x:c r="R582" s="30" t="str">
        <x:v>Thùng12 chai</x:v>
      </x:c>
      <x:c r="S582" s="30" t="str">
        <x:v>Chai</x:v>
      </x:c>
      <x:c r="T582" s="37" t="str">
        <x:v>ĐƠN VỊ</x:v>
      </x:c>
      <x:c r="U582" s="59" t="n">
        <x:v>108000</x:v>
      </x:c>
      <x:c r="V582" s="59"/>
      <x:c r="W582" s="117" t="n">
        <x:v>108000</x:v>
      </x:c>
      <x:c r="X582" s="59" t="str">
        <x:f>IFERROR(IF(OR($N582="ĐÃ GHÉP - AUTO",$N582="ĐÃ GHÉP - QUY TẮC"),IF($V582="","",IF($T582="THÙNG",$V582/$F582,$V582)),""),"")</x:f>
      </x:c>
      <x:c r="Y582" s="117" t="n">
        <x:f>IF(OR(W582="",F582=""),"",W582*F582)</x:f>
        <x:v>1296000</x:v>
      </x:c>
      <x:c r="Z582" s="59" t="str">
        <x:f>IFERROR(IF(OR($N582="ĐÃ GHÉP - AUTO",$N582="ĐÃ GHÉP - QUY TẮC"),IF($V582="","",IF($T582="THÙNG",$V582,$V582*$F582)),""),"")</x:f>
      </x:c>
      <x:c r="AA582" s="28" t="str">
        <x:f>IFERROR(IF(OR($K582="",$K582=0,$Y582=""),"",($Y582-$K582)/$K582),"")</x:f>
      </x:c>
      <x:c r="AB582" s="37" t="str">
        <x:f>IFERROR(IF($N582="CẦN DUYỆT","DUYỆT MAP",IF($N582="CHƯA CÓ GIÁ LẺ","THIẾU GIÁ",IF(OR($K582="",$K582=0,$Y582=""),"OK",IF(ABS(($Y582-$K582)/$K582)&gt;0.15,"LỆCH GIÁ CŨ","OK")))),"OK")</x:f>
        <x:v>OK</x:v>
      </x:c>
      <x:c r="AC582" s="30" t="str">
        <x:v>score=0.958; gap=0.351</x:v>
      </x:c>
      <x:c r="AD582" s="37" t="str">
        <x:v>BERNHO</x:v>
      </x:c>
      <x:c r="AE582" s="38" t="str">
        <x:v>BERNHOT</x:v>
      </x:c>
      <x:c r="AF582" s="123" t="n">
        <x:v>1350</x:v>
      </x:c>
      <x:c r="AG582" s="112" t="str">
        <x:v>g</x:v>
      </x:c>
      <x:c r="AH582" s="112" t="str">
        <x:v>CHAI</x:v>
      </x:c>
      <x:c r="AI582" s="112" t="str">
        <x:v>1350 g / CHAI</x:v>
      </x:c>
      <x:c r="AJ582" s="120" t="n">
        <x:v>108000</x:v>
      </x:c>
      <x:c r="AK582" s="120" t="n">
        <x:v>108000</x:v>
      </x:c>
      <x:c r="AL582" s="120" t="n">
        <x:v>108000</x:v>
      </x:c>
      <x:c r="AM582" s="112" t="str">
        <x:v>GIỮ NGUYÊN - ĐÃ KHỚP</x:v>
      </x:c>
      <x:c r="AN582" s="126" t="n">
        <x:v>1310</x:v>
      </x:c>
      <x:c r="AO582" s="126" t="n">
        <x:v>1311</x:v>
      </x:c>
      <x:c r="AP582" s="113" t="str">
        <x:v>12 CHAI / THÙNG</x:v>
      </x:c>
    </x:row>
    <x:row r="583">
      <x:c r="A583" s="71" t="str">
        <x:v>BERINO MÃNG CẦU</x:v>
      </x:c>
      <x:c r="B583" s="30" t="str">
        <x:v>BERINO MÃNG CẦU - THÙNG</x:v>
      </x:c>
      <x:c r="C583" s="37" t="str">
        <x:v>BERMCA</x:v>
      </x:c>
      <x:c r="D583" s="37" t="str">
        <x:v>BERMCAT</x:v>
      </x:c>
      <x:c r="E583" s="37" t="str">
        <x:v>BERMCAT</x:v>
      </x:c>
      <x:c r="F583" s="37" t="n">
        <x:v>12</x:v>
      </x:c>
      <x:c r="G583" s="37" t="n">
        <x:v>17000</x:v>
      </x:c>
      <x:c r="H583" s="37" t="str">
        <x:v>g</x:v>
      </x:c>
      <x:c r="I583" s="37" t="str">
        <x:v>THÙNG</x:v>
      </x:c>
      <x:c r="J583" s="59" t="n">
        <x:v>1255000</x:v>
      </x:c>
      <x:c r="K583" s="59" t="n">
        <x:v>0</x:v>
      </x:c>
      <x:c r="L583" s="59" t="n">
        <x:v>0</x:v>
      </x:c>
      <x:c r="M583" s="37" t="str">
        <x:v>Sinh tố / mứt</x:v>
      </x:c>
      <x:c r="N583" s="37" t="str">
        <x:v>CẦN DUYỆT</x:v>
      </x:c>
      <x:c r="O583" s="61" t="n">
        <x:v>0.748</x:v>
      </x:c>
      <x:c r="P583" s="37" t="n">
        <x:v>42</x:v>
      </x:c>
      <x:c r="Q583" s="30" t="str">
        <x:v>Sinh  To mang câu glod</x:v>
      </x:c>
      <x:c r="R583" s="30" t="str">
        <x:v>Thung 12 chai</x:v>
      </x:c>
      <x:c r="S583" s="30" t="str">
        <x:v>chai</x:v>
      </x:c>
      <x:c r="T583" s="37" t="str">
        <x:v>ĐƠN VỊ</x:v>
      </x:c>
      <x:c r="U583" s="59" t="n">
        <x:v>117000</x:v>
      </x:c>
      <x:c r="V583" s="59"/>
      <x:c r="W583" s="117" t="n">
        <x:v>113000</x:v>
      </x:c>
      <x:c r="X583" s="59" t="str">
        <x:f>IFERROR(IF(OR($N583="ĐÃ GHÉP - AUTO",$N583="ĐÃ GHÉP - QUY TẮC"),IF($V583="","",IF($T583="THÙNG",$V583/$F583,$V583)),""),"")</x:f>
      </x:c>
      <x:c r="Y583" s="117" t="n">
        <x:f>IF(OR(W583="",F583=""),"",W583*F583)</x:f>
        <x:v>1356000</x:v>
      </x:c>
      <x:c r="Z583" s="59" t="str">
        <x:f>IFERROR(IF(OR($N583="ĐÃ GHÉP - AUTO",$N583="ĐÃ GHÉP - QUY TẮC"),IF($V583="","",IF($T583="THÙNG",$V583,$V583*$F583)),""),"")</x:f>
      </x:c>
      <x:c r="AA583" s="28" t="str">
        <x:f>IFERROR(IF(OR($K583="",$K583=0,$Y583=""),"",($Y583-$K583)/$K583),"")</x:f>
      </x:c>
      <x:c r="AB583" s="37" t="str">
        <x:f>IFERROR(IF($N583="CẦN DUYỆT","DUYỆT MAP",IF($N583="CHƯA CÓ GIÁ LẺ","THIẾU GIÁ",IF(OR($K583="",$K583=0,$Y583=""),"OK",IF(ABS(($Y583-$K583)/$K583)&gt;0.15,"LỆCH GIÁ CŨ","OK")))),"OK")</x:f>
        <x:v>DUYỆT MAP</x:v>
      </x:c>
      <x:c r="AC583" s="30" t="str">
        <x:v>score=0.748; gap=0.093; phương án 2=SINH TỐ VINA MÃNG CẦU</x:v>
      </x:c>
      <x:c r="AD583" s="37" t="str">
        <x:v>BERMCA</x:v>
      </x:c>
      <x:c r="AE583" s="38" t="str">
        <x:v>BERMCAT</x:v>
      </x:c>
      <x:c r="AF583" s="123" t="n">
        <x:v>1350</x:v>
      </x:c>
      <x:c r="AG583" s="112" t="str">
        <x:v>g</x:v>
      </x:c>
      <x:c r="AH583" s="112" t="str">
        <x:v>CHAI</x:v>
      </x:c>
      <x:c r="AI583" s="112" t="str">
        <x:v>1350 g / CHAI</x:v>
      </x:c>
      <x:c r="AJ583" s="120" t="n">
        <x:v>113000</x:v>
      </x:c>
      <x:c r="AK583" s="120"/>
      <x:c r="AL583" s="120" t="n">
        <x:v>113000</x:v>
      </x:c>
      <x:c r="AM583" s="112" t="str">
        <x:v>BỔ SUNG GIÁ</x:v>
      </x:c>
      <x:c r="AN583" s="126" t="n">
        <x:v>1312</x:v>
      </x:c>
      <x:c r="AO583" s="126" t="n">
        <x:v>1313</x:v>
      </x:c>
      <x:c r="AP583" s="113" t="str">
        <x:v>12 CHAI / THÙNG</x:v>
      </x:c>
    </x:row>
    <x:row r="584">
      <x:c r="A584" s="71" t="str">
        <x:v>BERINO KIWI</x:v>
      </x:c>
      <x:c r="B584" s="30" t="str">
        <x:v>BERINO KIWI - THÙNG</x:v>
      </x:c>
      <x:c r="C584" s="37" t="str">
        <x:v>BERKWI</x:v>
      </x:c>
      <x:c r="D584" s="37" t="str">
        <x:v>BERKWIT</x:v>
      </x:c>
      <x:c r="E584" s="37" t="str">
        <x:v>BERKWIT</x:v>
      </x:c>
      <x:c r="F584" s="37" t="n">
        <x:v>12</x:v>
      </x:c>
      <x:c r="G584" s="37" t="n">
        <x:v>17000</x:v>
      </x:c>
      <x:c r="H584" s="37" t="str">
        <x:v>g</x:v>
      </x:c>
      <x:c r="I584" s="37" t="str">
        <x:v>THÙNG</x:v>
      </x:c>
      <x:c r="J584" s="59" t="n">
        <x:v>1222000</x:v>
      </x:c>
      <x:c r="K584" s="59" t="n">
        <x:v>0</x:v>
      </x:c>
      <x:c r="L584" s="59" t="n">
        <x:v>0</x:v>
      </x:c>
      <x:c r="M584" s="37" t="str">
        <x:v>Sinh tố / mứt</x:v>
      </x:c>
      <x:c r="N584" s="37" t="str">
        <x:v>ĐÃ GHÉP - AUTO</x:v>
      </x:c>
      <x:c r="O584" s="61" t="n">
        <x:v>0.958</x:v>
      </x:c>
      <x:c r="P584" s="37" t="n">
        <x:v>26</x:v>
      </x:c>
      <x:c r="Q584" s="30" t="str">
        <x:v>Sinh Tố Berrino  Kiwi</x:v>
      </x:c>
      <x:c r="R584" s="30" t="str">
        <x:v>Thùng12 chai</x:v>
      </x:c>
      <x:c r="S584" s="30" t="str">
        <x:v>Chai</x:v>
      </x:c>
      <x:c r="T584" s="37" t="str">
        <x:v>ĐƠN VỊ</x:v>
      </x:c>
      <x:c r="U584" s="59" t="n">
        <x:v>108000</x:v>
      </x:c>
      <x:c r="V584" s="59"/>
      <x:c r="W584" s="117" t="n">
        <x:v>108000</x:v>
      </x:c>
      <x:c r="X584" s="59" t="str">
        <x:f>IFERROR(IF(OR($N584="ĐÃ GHÉP - AUTO",$N584="ĐÃ GHÉP - QUY TẮC"),IF($V584="","",IF($T584="THÙNG",$V584/$F584,$V584)),""),"")</x:f>
      </x:c>
      <x:c r="Y584" s="117" t="n">
        <x:f>IF(OR(W584="",F584=""),"",W584*F584)</x:f>
        <x:v>1296000</x:v>
      </x:c>
      <x:c r="Z584" s="59" t="str">
        <x:f>IFERROR(IF(OR($N584="ĐÃ GHÉP - AUTO",$N584="ĐÃ GHÉP - QUY TẮC"),IF($V584="","",IF($T584="THÙNG",$V584,$V584*$F584)),""),"")</x:f>
      </x:c>
      <x:c r="AA584" s="28" t="str">
        <x:f>IFERROR(IF(OR($K584="",$K584=0,$Y584=""),"",($Y584-$K584)/$K584),"")</x:f>
      </x:c>
      <x:c r="AB584" s="37" t="str">
        <x:f>IFERROR(IF($N584="CẦN DUYỆT","DUYỆT MAP",IF($N584="CHƯA CÓ GIÁ LẺ","THIẾU GIÁ",IF(OR($K584="",$K584=0,$Y584=""),"OK",IF(ABS(($Y584-$K584)/$K584)&gt;0.15,"LỆCH GIÁ CŨ","OK")))),"OK")</x:f>
        <x:v>OK</x:v>
      </x:c>
      <x:c r="AC584" s="30" t="str">
        <x:v>score=0.958; gap=0.342</x:v>
      </x:c>
      <x:c r="AD584" s="37" t="str">
        <x:v>BERKWI</x:v>
      </x:c>
      <x:c r="AE584" s="38" t="str">
        <x:v>BERKWIT</x:v>
      </x:c>
      <x:c r="AF584" s="123" t="n">
        <x:v>13</x:v>
      </x:c>
      <x:c r="AG584" s="112" t="str">
        <x:v>g</x:v>
      </x:c>
      <x:c r="AH584" s="112" t="str">
        <x:v>CHAI</x:v>
      </x:c>
      <x:c r="AI584" s="112" t="str">
        <x:v>13 g / CHAI</x:v>
      </x:c>
      <x:c r="AJ584" s="120" t="n">
        <x:v>108000</x:v>
      </x:c>
      <x:c r="AK584" s="120" t="n">
        <x:v>108000</x:v>
      </x:c>
      <x:c r="AL584" s="120" t="n">
        <x:v>108000</x:v>
      </x:c>
      <x:c r="AM584" s="112" t="str">
        <x:v>GIỮ NGUYÊN - ĐÃ KHỚP</x:v>
      </x:c>
      <x:c r="AN584" s="126" t="n">
        <x:v>1314</x:v>
      </x:c>
      <x:c r="AO584" s="126" t="n">
        <x:v>1315</x:v>
      </x:c>
      <x:c r="AP584" s="113" t="str">
        <x:v>12 CHAI / THÙNG</x:v>
      </x:c>
    </x:row>
    <x:row r="585">
      <x:c r="A585" s="71" t="str">
        <x:v>BERINO ĐÀO</x:v>
      </x:c>
      <x:c r="B585" s="30" t="str">
        <x:v>BERINO ĐÀO - THÙNG</x:v>
      </x:c>
      <x:c r="C585" s="37" t="str">
        <x:v>BERDAO</x:v>
      </x:c>
      <x:c r="D585" s="37" t="str">
        <x:v>BERDAOT</x:v>
      </x:c>
      <x:c r="E585" s="37" t="str">
        <x:v>BERDAOT</x:v>
      </x:c>
      <x:c r="F585" s="37" t="n">
        <x:v>12</x:v>
      </x:c>
      <x:c r="G585" s="37" t="n">
        <x:v>17000</x:v>
      </x:c>
      <x:c r="H585" s="37" t="str">
        <x:v>g</x:v>
      </x:c>
      <x:c r="I585" s="37" t="str">
        <x:v>THÙNG</x:v>
      </x:c>
      <x:c r="J585" s="59" t="n">
        <x:v>1039000</x:v>
      </x:c>
      <x:c r="K585" s="59" t="n">
        <x:v>0</x:v>
      </x:c>
      <x:c r="L585" s="59" t="n">
        <x:v>0</x:v>
      </x:c>
      <x:c r="M585" s="37" t="str">
        <x:v>Sinh tố / mứt</x:v>
      </x:c>
      <x:c r="N585" s="37" t="str">
        <x:v>ĐÃ GHÉP - AUTO</x:v>
      </x:c>
      <x:c r="O585" s="61" t="n">
        <x:v>0.958</x:v>
      </x:c>
      <x:c r="P585" s="37" t="n">
        <x:v>21</x:v>
      </x:c>
      <x:c r="Q585" s="30" t="str">
        <x:v>Sinh Tố Berrino Đào</x:v>
      </x:c>
      <x:c r="R585" s="30" t="str">
        <x:v>Thùng12 chai</x:v>
      </x:c>
      <x:c r="S585" s="30" t="str">
        <x:v>Chai</x:v>
      </x:c>
      <x:c r="T585" s="37" t="str">
        <x:v>ĐƠN VỊ</x:v>
      </x:c>
      <x:c r="U585" s="59" t="n">
        <x:v>91000</x:v>
      </x:c>
      <x:c r="V585" s="59"/>
      <x:c r="W585" s="117" t="n">
        <x:v>91000</x:v>
      </x:c>
      <x:c r="X585" s="59" t="str">
        <x:f>IFERROR(IF(OR($N585="ĐÃ GHÉP - AUTO",$N585="ĐÃ GHÉP - QUY TẮC"),IF($V585="","",IF($T585="THÙNG",$V585/$F585,$V585)),""),"")</x:f>
      </x:c>
      <x:c r="Y585" s="117" t="n">
        <x:f>IF(OR(W585="",F585=""),"",W585*F585)</x:f>
        <x:v>1092000</x:v>
      </x:c>
      <x:c r="Z585" s="59" t="str">
        <x:f>IFERROR(IF(OR($N585="ĐÃ GHÉP - AUTO",$N585="ĐÃ GHÉP - QUY TẮC"),IF($V585="","",IF($T585="THÙNG",$V585,$V585*$F585)),""),"")</x:f>
      </x:c>
      <x:c r="AA585" s="28" t="str">
        <x:f>IFERROR(IF(OR($K585="",$K585=0,$Y585=""),"",($Y585-$K585)/$K585),"")</x:f>
      </x:c>
      <x:c r="AB585" s="37" t="str">
        <x:f>IFERROR(IF($N585="CẦN DUYỆT","DUYỆT MAP",IF($N585="CHƯA CÓ GIÁ LẺ","THIẾU GIÁ",IF(OR($K585="",$K585=0,$Y585=""),"OK",IF(ABS(($Y585-$K585)/$K585)&gt;0.15,"LỆCH GIÁ CŨ","OK")))),"OK")</x:f>
        <x:v>OK</x:v>
      </x:c>
      <x:c r="AC585" s="30" t="str">
        <x:v>score=0.958; gap=0.350</x:v>
      </x:c>
      <x:c r="AD585" s="37" t="str">
        <x:v>BERDAO</x:v>
      </x:c>
      <x:c r="AE585" s="38" t="str">
        <x:v>BERDAOT</x:v>
      </x:c>
      <x:c r="AF585" s="123" t="n">
        <x:v>1350</x:v>
      </x:c>
      <x:c r="AG585" s="112" t="str">
        <x:v>g</x:v>
      </x:c>
      <x:c r="AH585" s="112" t="str">
        <x:v>CHAI</x:v>
      </x:c>
      <x:c r="AI585" s="112" t="str">
        <x:v>1350 g / CHAI</x:v>
      </x:c>
      <x:c r="AJ585" s="120" t="n">
        <x:v>91000</x:v>
      </x:c>
      <x:c r="AK585" s="120" t="n">
        <x:v>91000</x:v>
      </x:c>
      <x:c r="AL585" s="120" t="n">
        <x:v>91000</x:v>
      </x:c>
      <x:c r="AM585" s="112" t="str">
        <x:v>GIỮ NGUYÊN - ĐÃ KHỚP</x:v>
      </x:c>
      <x:c r="AN585" s="126" t="n">
        <x:v>1316</x:v>
      </x:c>
      <x:c r="AO585" s="126" t="n">
        <x:v>1317</x:v>
      </x:c>
      <x:c r="AP585" s="113" t="str">
        <x:v>12 CHAI / THÙNG</x:v>
      </x:c>
    </x:row>
    <x:row r="586">
      <x:c r="A586" s="71" t="str">
        <x:v>BERINO DƯA LƯỚI</x:v>
      </x:c>
      <x:c r="B586" s="30" t="str">
        <x:v>BERINO DƯA LƯỚI - THÙNG</x:v>
      </x:c>
      <x:c r="C586" s="37" t="str">
        <x:v>BERDLU</x:v>
      </x:c>
      <x:c r="D586" s="37" t="str">
        <x:v>BERDLUT</x:v>
      </x:c>
      <x:c r="E586" s="37" t="str">
        <x:v>BERDLUT</x:v>
      </x:c>
      <x:c r="F586" s="37" t="n">
        <x:v>12</x:v>
      </x:c>
      <x:c r="G586" s="37" t="n">
        <x:v>17000</x:v>
      </x:c>
      <x:c r="H586" s="37" t="str">
        <x:v>g</x:v>
      </x:c>
      <x:c r="I586" s="37" t="str">
        <x:v>THÙNG</x:v>
      </x:c>
      <x:c r="J586" s="59" t="n">
        <x:v>1242000</x:v>
      </x:c>
      <x:c r="K586" s="59" t="n">
        <x:v>0</x:v>
      </x:c>
      <x:c r="L586" s="59" t="n">
        <x:v>0</x:v>
      </x:c>
      <x:c r="M586" s="37" t="str">
        <x:v>Sinh tố / mứt</x:v>
      </x:c>
      <x:c r="N586" s="37" t="str">
        <x:v>CHƯA CÓ GIÁ LẺ</x:v>
      </x:c>
      <x:c r="O586" s="61" t="n">
        <x:v>0.559</x:v>
      </x:c>
      <x:c r="P586" s="37"/>
      <x:c r="Q586" s="30"/>
      <x:c r="R586" s="30"/>
      <x:c r="S586" s="30"/>
      <x:c r="T586" s="37"/>
      <x:c r="U586" s="59"/>
      <x:c r="V586" s="59"/>
      <x:c r="W586" s="117" t="n">
        <x:v>109000</x:v>
      </x:c>
      <x:c r="X586" s="59" t="str">
        <x:f>IFERROR(IF(OR($N586="ĐÃ GHÉP - AUTO",$N586="ĐÃ GHÉP - QUY TẮC"),IF($V586="","",IF($T586="THÙNG",$V586/$F586,$V586)),""),"")</x:f>
      </x:c>
      <x:c r="Y586" s="117" t="n">
        <x:f>IF(OR(W586="",F586=""),"",W586*F586)</x:f>
        <x:v>1308000</x:v>
      </x:c>
      <x:c r="Z586" s="59" t="str">
        <x:f>IFERROR(IF(OR($N586="ĐÃ GHÉP - AUTO",$N586="ĐÃ GHÉP - QUY TẮC"),IF($V586="","",IF($T586="THÙNG",$V586,$V586*$F586)),""),"")</x:f>
      </x:c>
      <x:c r="AA586" s="28" t="str">
        <x:f>IFERROR(IF(OR($K586="",$K586=0,$Y586=""),"",($Y586-$K586)/$K586),"")</x:f>
      </x:c>
      <x:c r="AB586" s="37" t="str">
        <x:f>IFERROR(IF($N586="CẦN DUYỆT","DUYỆT MAP",IF($N586="CHƯA CÓ GIÁ LẺ","THIẾU GIÁ",IF(OR($K586="",$K586=0,$Y586=""),"OK",IF(ABS(($Y586-$K586)/$K586)&gt;0.15,"LỆCH GIÁ CŨ","OK")))),"OK")</x:f>
        <x:v>THIẾU GIÁ</x:v>
      </x:c>
      <x:c r="AC586" s="30" t="str">
        <x:v>ứng viên gần nhất=Sinh Tố Berrino Dâu; score=0.559</x:v>
      </x:c>
      <x:c r="AD586" s="37" t="str">
        <x:v>BERDLU</x:v>
      </x:c>
      <x:c r="AE586" s="38" t="str">
        <x:v>BERDLUT</x:v>
      </x:c>
      <x:c r="AF586" s="123" t="n">
        <x:v>1350</x:v>
      </x:c>
      <x:c r="AG586" s="112" t="str">
        <x:v>g</x:v>
      </x:c>
      <x:c r="AH586" s="112" t="str">
        <x:v>CHAI</x:v>
      </x:c>
      <x:c r="AI586" s="112" t="str">
        <x:v>1350 g / CHAI</x:v>
      </x:c>
      <x:c r="AJ586" s="120" t="n">
        <x:v>109000</x:v>
      </x:c>
      <x:c r="AK586" s="120"/>
      <x:c r="AL586" s="120" t="n">
        <x:v>109000</x:v>
      </x:c>
      <x:c r="AM586" s="112" t="str">
        <x:v>BỔ SUNG GIÁ</x:v>
      </x:c>
      <x:c r="AN586" s="126" t="n">
        <x:v>1318</x:v>
      </x:c>
      <x:c r="AO586" s="126" t="n">
        <x:v>1319</x:v>
      </x:c>
      <x:c r="AP586" s="113" t="str">
        <x:v>12 CHAI / THÙNG</x:v>
      </x:c>
    </x:row>
    <x:row r="587">
      <x:c r="A587" s="71" t="str">
        <x:v>BERINO DÂU TẰM</x:v>
      </x:c>
      <x:c r="B587" s="30" t="str">
        <x:v>BERINO DÂU TẰM - THÙNG</x:v>
      </x:c>
      <x:c r="C587" s="37" t="str">
        <x:v>BERDTM</x:v>
      </x:c>
      <x:c r="D587" s="37" t="str">
        <x:v>BERDTMT</x:v>
      </x:c>
      <x:c r="E587" s="37" t="str">
        <x:v>BERDTMT</x:v>
      </x:c>
      <x:c r="F587" s="37" t="n">
        <x:v>12</x:v>
      </x:c>
      <x:c r="G587" s="37" t="n">
        <x:v>17000</x:v>
      </x:c>
      <x:c r="H587" s="37" t="str">
        <x:v>g</x:v>
      </x:c>
      <x:c r="I587" s="37" t="str">
        <x:v>THÙNG</x:v>
      </x:c>
      <x:c r="J587" s="59" t="n">
        <x:v>1159000</x:v>
      </x:c>
      <x:c r="K587" s="59" t="n">
        <x:v>0</x:v>
      </x:c>
      <x:c r="L587" s="59" t="n">
        <x:v>0</x:v>
      </x:c>
      <x:c r="M587" s="37" t="str">
        <x:v>Sinh tố / mứt</x:v>
      </x:c>
      <x:c r="N587" s="37" t="str">
        <x:v>ĐÃ GHÉP - AUTO</x:v>
      </x:c>
      <x:c r="O587" s="61" t="n">
        <x:v>0.958</x:v>
      </x:c>
      <x:c r="P587" s="37" t="n">
        <x:v>30</x:v>
      </x:c>
      <x:c r="Q587" s="30" t="str">
        <x:v>Sinh Tố Berrino dâu tằm</x:v>
      </x:c>
      <x:c r="R587" s="30" t="str">
        <x:v>Thùng 12 chai</x:v>
      </x:c>
      <x:c r="S587" s="30" t="str">
        <x:v>Chai</x:v>
      </x:c>
      <x:c r="T587" s="37" t="str">
        <x:v>ĐƠN VỊ</x:v>
      </x:c>
      <x:c r="U587" s="59" t="n">
        <x:v>103000</x:v>
      </x:c>
      <x:c r="V587" s="59"/>
      <x:c r="W587" s="117" t="n">
        <x:v>103000</x:v>
      </x:c>
      <x:c r="X587" s="59" t="str">
        <x:f>IFERROR(IF(OR($N587="ĐÃ GHÉP - AUTO",$N587="ĐÃ GHÉP - QUY TẮC"),IF($V587="","",IF($T587="THÙNG",$V587/$F587,$V587)),""),"")</x:f>
      </x:c>
      <x:c r="Y587" s="117" t="n">
        <x:f>IF(OR(W587="",F587=""),"",W587*F587)</x:f>
        <x:v>1236000</x:v>
      </x:c>
      <x:c r="Z587" s="59" t="str">
        <x:f>IFERROR(IF(OR($N587="ĐÃ GHÉP - AUTO",$N587="ĐÃ GHÉP - QUY TẮC"),IF($V587="","",IF($T587="THÙNG",$V587,$V587*$F587)),""),"")</x:f>
      </x:c>
      <x:c r="AA587" s="28" t="str">
        <x:f>IFERROR(IF(OR($K587="",$K587=0,$Y587=""),"",($Y587-$K587)/$K587),"")</x:f>
      </x:c>
      <x:c r="AB587" s="37" t="str">
        <x:f>IFERROR(IF($N587="CẦN DUYỆT","DUYỆT MAP",IF($N587="CHƯA CÓ GIÁ LẺ","THIẾU GIÁ",IF(OR($K587="",$K587=0,$Y587=""),"OK",IF(ABS(($Y587-$K587)/$K587)&gt;0.15,"LỆCH GIÁ CŨ","OK")))),"OK")</x:f>
        <x:v>OK</x:v>
      </x:c>
      <x:c r="AC587" s="30" t="str">
        <x:v>score=0.958; gap=0.062</x:v>
      </x:c>
      <x:c r="AD587" s="37" t="str">
        <x:v>BERDTM</x:v>
      </x:c>
      <x:c r="AE587" s="38" t="str">
        <x:v>BERDTMT</x:v>
      </x:c>
      <x:c r="AF587" s="123" t="n">
        <x:v>1350</x:v>
      </x:c>
      <x:c r="AG587" s="112" t="str">
        <x:v>g</x:v>
      </x:c>
      <x:c r="AH587" s="112" t="str">
        <x:v>CHAI</x:v>
      </x:c>
      <x:c r="AI587" s="112" t="str">
        <x:v>1350 g / CHAI</x:v>
      </x:c>
      <x:c r="AJ587" s="120" t="n">
        <x:v>103000</x:v>
      </x:c>
      <x:c r="AK587" s="120" t="n">
        <x:v>103000</x:v>
      </x:c>
      <x:c r="AL587" s="120" t="n">
        <x:v>103000</x:v>
      </x:c>
      <x:c r="AM587" s="112" t="str">
        <x:v>GIỮ NGUYÊN - ĐÃ KHỚP</x:v>
      </x:c>
      <x:c r="AN587" s="126" t="n">
        <x:v>1320</x:v>
      </x:c>
      <x:c r="AO587" s="126" t="n">
        <x:v>1321</x:v>
      </x:c>
      <x:c r="AP587" s="113" t="str">
        <x:v>12 CHAI / THÙNG</x:v>
      </x:c>
    </x:row>
    <x:row r="588">
      <x:c r="A588" s="71" t="str">
        <x:v>BERINO DÂU</x:v>
      </x:c>
      <x:c r="B588" s="30" t="str">
        <x:v>BERINO DÂU - THÙNG</x:v>
      </x:c>
      <x:c r="C588" s="37" t="str">
        <x:v>BERDAU</x:v>
      </x:c>
      <x:c r="D588" s="37" t="str">
        <x:v>BERDAUT</x:v>
      </x:c>
      <x:c r="E588" s="37" t="str">
        <x:v>BERDAUT</x:v>
      </x:c>
      <x:c r="F588" s="37" t="n">
        <x:v>12</x:v>
      </x:c>
      <x:c r="G588" s="37" t="n">
        <x:v>17000</x:v>
      </x:c>
      <x:c r="H588" s="37" t="str">
        <x:v>g</x:v>
      </x:c>
      <x:c r="I588" s="37" t="str">
        <x:v>THÙNG</x:v>
      </x:c>
      <x:c r="J588" s="59" t="n">
        <x:v>991000</x:v>
      </x:c>
      <x:c r="K588" s="59" t="n">
        <x:v>0</x:v>
      </x:c>
      <x:c r="L588" s="59" t="n">
        <x:v>0</x:v>
      </x:c>
      <x:c r="M588" s="37" t="str">
        <x:v>Sinh tố / mứt</x:v>
      </x:c>
      <x:c r="N588" s="37" t="str">
        <x:v>ĐÃ GHÉP - AUTO</x:v>
      </x:c>
      <x:c r="O588" s="61" t="n">
        <x:v>0.958</x:v>
      </x:c>
      <x:c r="P588" s="37" t="n">
        <x:v>20</x:v>
      </x:c>
      <x:c r="Q588" s="30" t="str">
        <x:v>Sinh Tố Berrino Dâu</x:v>
      </x:c>
      <x:c r="R588" s="30" t="str">
        <x:v>Thùng12 chai</x:v>
      </x:c>
      <x:c r="S588" s="30" t="str">
        <x:v>Chai</x:v>
      </x:c>
      <x:c r="T588" s="37" t="str">
        <x:v>ĐƠN VỊ</x:v>
      </x:c>
      <x:c r="U588" s="59" t="n">
        <x:v>89000</x:v>
      </x:c>
      <x:c r="V588" s="59"/>
      <x:c r="W588" s="117" t="n">
        <x:v>89000</x:v>
      </x:c>
      <x:c r="X588" s="59" t="str">
        <x:f>IFERROR(IF(OR($N588="ĐÃ GHÉP - AUTO",$N588="ĐÃ GHÉP - QUY TẮC"),IF($V588="","",IF($T588="THÙNG",$V588/$F588,$V588)),""),"")</x:f>
      </x:c>
      <x:c r="Y588" s="117" t="n">
        <x:f>IF(OR(W588="",F588=""),"",W588*F588)</x:f>
        <x:v>1068000</x:v>
      </x:c>
      <x:c r="Z588" s="59" t="str">
        <x:f>IFERROR(IF(OR($N588="ĐÃ GHÉP - AUTO",$N588="ĐÃ GHÉP - QUY TẮC"),IF($V588="","",IF($T588="THÙNG",$V588,$V588*$F588)),""),"")</x:f>
      </x:c>
      <x:c r="AA588" s="28" t="str">
        <x:f>IFERROR(IF(OR($K588="",$K588=0,$Y588=""),"",($Y588-$K588)/$K588),"")</x:f>
      </x:c>
      <x:c r="AB588" s="37" t="str">
        <x:f>IFERROR(IF($N588="CẦN DUYỆT","DUYỆT MAP",IF($N588="CHƯA CÓ GIÁ LẺ","THIẾU GIÁ",IF(OR($K588="",$K588=0,$Y588=""),"OK",IF(ABS(($Y588-$K588)/$K588)&gt;0.15,"LỆCH GIÁ CŨ","OK")))),"OK")</x:f>
        <x:v>OK</x:v>
      </x:c>
      <x:c r="AC588" s="30" t="str">
        <x:v>score=0.958; gap=0.221</x:v>
      </x:c>
      <x:c r="AD588" s="37" t="str">
        <x:v>BERDAU</x:v>
      </x:c>
      <x:c r="AE588" s="38" t="str">
        <x:v>BERDAUT</x:v>
      </x:c>
      <x:c r="AF588" s="123" t="n">
        <x:v>1350</x:v>
      </x:c>
      <x:c r="AG588" s="112" t="str">
        <x:v>g</x:v>
      </x:c>
      <x:c r="AH588" s="112" t="str">
        <x:v>CHAI</x:v>
      </x:c>
      <x:c r="AI588" s="112" t="str">
        <x:v>1350 g / CHAI</x:v>
      </x:c>
      <x:c r="AJ588" s="120" t="n">
        <x:v>89000</x:v>
      </x:c>
      <x:c r="AK588" s="120" t="n">
        <x:v>89000</x:v>
      </x:c>
      <x:c r="AL588" s="120" t="n">
        <x:v>89000</x:v>
      </x:c>
      <x:c r="AM588" s="112" t="str">
        <x:v>GIỮ NGUYÊN - ĐÃ KHỚP</x:v>
      </x:c>
      <x:c r="AN588" s="126" t="n">
        <x:v>1322</x:v>
      </x:c>
      <x:c r="AO588" s="126" t="n">
        <x:v>1323</x:v>
      </x:c>
      <x:c r="AP588" s="113" t="str">
        <x:v>12 CHAI / THÙNG</x:v>
      </x:c>
    </x:row>
    <x:row r="589">
      <x:c r="A589" s="71" t="str">
        <x:v>BERINO CHANH DÂY</x:v>
      </x:c>
      <x:c r="B589" s="30" t="str">
        <x:v>BERINO CHANH DÂY - THÙNG</x:v>
      </x:c>
      <x:c r="C589" s="37" t="str">
        <x:v>BERCDA</x:v>
      </x:c>
      <x:c r="D589" s="37" t="str">
        <x:v>BERCDAT</x:v>
      </x:c>
      <x:c r="E589" s="37" t="str">
        <x:v>BERCDAT</x:v>
      </x:c>
      <x:c r="F589" s="37" t="n">
        <x:v>12</x:v>
      </x:c>
      <x:c r="G589" s="37" t="n">
        <x:v>17000</x:v>
      </x:c>
      <x:c r="H589" s="37" t="str">
        <x:v>g</x:v>
      </x:c>
      <x:c r="I589" s="37" t="str">
        <x:v>THÙNG</x:v>
      </x:c>
      <x:c r="J589" s="59" t="n">
        <x:v>1153000</x:v>
      </x:c>
      <x:c r="K589" s="59" t="n">
        <x:v>0</x:v>
      </x:c>
      <x:c r="L589" s="59" t="n">
        <x:v>0</x:v>
      </x:c>
      <x:c r="M589" s="37" t="str">
        <x:v>Sinh tố / mứt</x:v>
      </x:c>
      <x:c r="N589" s="37" t="str">
        <x:v>ĐÃ GHÉP - AUTO</x:v>
      </x:c>
      <x:c r="O589" s="61" t="n">
        <x:v>0.964</x:v>
      </x:c>
      <x:c r="P589" s="37" t="n">
        <x:v>24</x:v>
      </x:c>
      <x:c r="Q589" s="30" t="str">
        <x:v>Sinh Tố Berrino Chanh Dây</x:v>
      </x:c>
      <x:c r="R589" s="30" t="str">
        <x:v>Thùng12 chai</x:v>
      </x:c>
      <x:c r="S589" s="30" t="str">
        <x:v>Chai</x:v>
      </x:c>
      <x:c r="T589" s="37" t="str">
        <x:v>ĐƠN VỊ</x:v>
      </x:c>
      <x:c r="U589" s="59" t="n">
        <x:v>102000</x:v>
      </x:c>
      <x:c r="V589" s="59"/>
      <x:c r="W589" s="117" t="n">
        <x:v>102000</x:v>
      </x:c>
      <x:c r="X589" s="59" t="str">
        <x:f>IFERROR(IF(OR($N589="ĐÃ GHÉP - AUTO",$N589="ĐÃ GHÉP - QUY TẮC"),IF($V589="","",IF($T589="THÙNG",$V589/$F589,$V589)),""),"")</x:f>
      </x:c>
      <x:c r="Y589" s="117" t="n">
        <x:f>IF(OR(W589="",F589=""),"",W589*F589)</x:f>
        <x:v>1224000</x:v>
      </x:c>
      <x:c r="Z589" s="59" t="str">
        <x:f>IFERROR(IF(OR($N589="ĐÃ GHÉP - AUTO",$N589="ĐÃ GHÉP - QUY TẮC"),IF($V589="","",IF($T589="THÙNG",$V589,$V589*$F589)),""),"")</x:f>
      </x:c>
      <x:c r="AA589" s="28" t="str">
        <x:f>IFERROR(IF(OR($K589="",$K589=0,$Y589=""),"",($Y589-$K589)/$K589),"")</x:f>
      </x:c>
      <x:c r="AB589" s="37" t="str">
        <x:f>IFERROR(IF($N589="CẦN DUYỆT","DUYỆT MAP",IF($N589="CHƯA CÓ GIÁ LẺ","THIẾU GIÁ",IF(OR($K589="",$K589=0,$Y589=""),"OK",IF(ABS(($Y589-$K589)/$K589)&gt;0.15,"LỆCH GIÁ CŨ","OK")))),"OK")</x:f>
        <x:v>OK</x:v>
      </x:c>
      <x:c r="AC589" s="30" t="str">
        <x:v>score=0.964; gap=0.214</x:v>
      </x:c>
      <x:c r="AD589" s="37" t="str">
        <x:v>BERCDA</x:v>
      </x:c>
      <x:c r="AE589" s="38" t="str">
        <x:v>BERCDAT</x:v>
      </x:c>
      <x:c r="AF589" s="123" t="n">
        <x:v>1350</x:v>
      </x:c>
      <x:c r="AG589" s="112" t="str">
        <x:v>g</x:v>
      </x:c>
      <x:c r="AH589" s="112" t="str">
        <x:v>CHAI</x:v>
      </x:c>
      <x:c r="AI589" s="112" t="str">
        <x:v>1350 g / CHAI</x:v>
      </x:c>
      <x:c r="AJ589" s="120" t="n">
        <x:v>102000</x:v>
      </x:c>
      <x:c r="AK589" s="120" t="n">
        <x:v>102000</x:v>
      </x:c>
      <x:c r="AL589" s="120" t="n">
        <x:v>102000</x:v>
      </x:c>
      <x:c r="AM589" s="112" t="str">
        <x:v>GIỮ NGUYÊN - ĐÃ KHỚP</x:v>
      </x:c>
      <x:c r="AN589" s="126" t="n">
        <x:v>1324</x:v>
      </x:c>
      <x:c r="AO589" s="126" t="n">
        <x:v>1325</x:v>
      </x:c>
      <x:c r="AP589" s="113" t="str">
        <x:v>12 CHAI / THÙNG</x:v>
      </x:c>
    </x:row>
    <x:row r="590">
      <x:c r="A590" s="71" t="str">
        <x:v>BAO CHỮ T</x:v>
      </x:c>
      <x:c r="B590" s="30" t="str">
        <x:v>BAO CHỮ T - BAO</x:v>
      </x:c>
      <x:c r="C590" s="37" t="str">
        <x:v>BAOCHT</x:v>
      </x:c>
      <x:c r="D590" s="37" t="str">
        <x:v>BAOCHTT</x:v>
      </x:c>
      <x:c r="E590" s="37" t="str">
        <x:v>BAOCHTT</x:v>
      </x:c>
      <x:c r="F590" s="37" t="n">
        <x:v>30</x:v>
      </x:c>
      <x:c r="G590" s="37" t="n">
        <x:v>0</x:v>
      </x:c>
      <x:c r="H590" s="37" t="str">
        <x:v>g</x:v>
      </x:c>
      <x:c r="I590" s="37" t="str">
        <x:v>BAO</x:v>
      </x:c>
      <x:c r="J590" s="59" t="n">
        <x:v>0</x:v>
      </x:c>
      <x:c r="K590" s="59" t="n">
        <x:v>0</x:v>
      </x:c>
      <x:c r="L590" s="59" t="n">
        <x:v>0</x:v>
      </x:c>
      <x:c r="M590" s="37" t="str">
        <x:v>Bao ly / cuộn ép</x:v>
      </x:c>
      <x:c r="N590" s="37" t="str">
        <x:v>ĐÃ GHÉP - QUY TẮC</x:v>
      </x:c>
      <x:c r="O590" s="61" t="n">
        <x:v>0.99</x:v>
      </x:c>
      <x:c r="P590" s="37" t="n">
        <x:v>240</x:v>
      </x:c>
      <x:c r="Q590" s="30" t="str">
        <x:v>Bịch chữ T</x:v>
      </x:c>
      <x:c r="R590" s="30" t="str"/>
      <x:c r="S590" s="30" t="str">
        <x:v>kg</x:v>
      </x:c>
      <x:c r="T590" s="37" t="str">
        <x:v>ĐƠN VỊ</x:v>
      </x:c>
      <x:c r="U590" s="59" t="n">
        <x:v>58000</x:v>
      </x:c>
      <x:c r="V590" s="59"/>
      <x:c r="W590" s="117" t="n">
        <x:v>52000</x:v>
      </x:c>
      <x:c r="X590" s="59" t="str">
        <x:f>IFERROR(IF(OR($N590="ĐÃ GHÉP - AUTO",$N590="ĐÃ GHÉP - QUY TẮC"),IF($V590="","",IF($T590="THÙNG",$V590/$F590,$V590)),""),"")</x:f>
      </x:c>
      <x:c r="Y590" s="117" t="n">
        <x:f>IF(OR(W590="",F590=""),"",W590*F590)</x:f>
        <x:v>1560000</x:v>
      </x:c>
      <x:c r="Z590" s="59" t="str">
        <x:f>IFERROR(IF(OR($N590="ĐÃ GHÉP - AUTO",$N590="ĐÃ GHÉP - QUY TẮC"),IF($V590="","",IF($T590="THÙNG",$V590,$V590*$F590)),""),"")</x:f>
      </x:c>
      <x:c r="AA590" s="28" t="str">
        <x:f>IFERROR(IF(OR($K590="",$K590=0,$Y590=""),"",($Y590-$K590)/$K590),"")</x:f>
      </x:c>
      <x:c r="AB590" s="37" t="str">
        <x:f>IFERROR(IF($N590="CẦN DUYỆT","DUYỆT MAP",IF($N590="CHƯA CÓ GIÁ LẺ","THIẾU GIÁ",IF(OR($K590="",$K590=0,$Y590=""),"OK",IF(ABS(($Y590-$K590)/$K590)&gt;0.15,"LỆCH GIÁ CŨ","OK")))),"OK")</x:f>
        <x:v>OK</x:v>
      </x:c>
      <x:c r="AC590" s="30" t="str">
        <x:v>Bao chữ T</x:v>
      </x:c>
      <x:c r="AD590" s="37" t="str">
        <x:v>BAOCHT</x:v>
      </x:c>
      <x:c r="AE590" s="38" t="str">
        <x:v>BAOCHTT</x:v>
      </x:c>
      <x:c r="AF590" s="123" t="n">
        <x:v>0</x:v>
      </x:c>
      <x:c r="AG590" s="112" t="str">
        <x:v>g</x:v>
      </x:c>
      <x:c r="AH590" s="112" t="str">
        <x:v>KG</x:v>
      </x:c>
      <x:c r="AI590" s="112" t="str">
        <x:v>0 g / KG</x:v>
      </x:c>
      <x:c r="AJ590" s="120" t="n">
        <x:v>52000</x:v>
      </x:c>
      <x:c r="AK590" s="120" t="n">
        <x:v>58000</x:v>
      </x:c>
      <x:c r="AL590" s="120" t="n">
        <x:v>52000</x:v>
      </x:c>
      <x:c r="AM590" s="112" t="str">
        <x:v>CẬP NHẬT GIÁ</x:v>
      </x:c>
      <x:c r="AN590" s="126" t="n">
        <x:v>1328</x:v>
      </x:c>
      <x:c r="AO590" s="126" t="n">
        <x:v>1329</x:v>
      </x:c>
      <x:c r="AP590" s="113" t="str">
        <x:v>30 KG / BAO</x:v>
      </x:c>
    </x:row>
    <x:row r="591">
      <x:c r="A591" s="71" t="str">
        <x:v>BAO 2 LY NGANG</x:v>
      </x:c>
      <x:c r="B591" s="30" t="str">
        <x:v>BAO 2 LY NGANG - BAO</x:v>
      </x:c>
      <x:c r="C591" s="37" t="str">
        <x:v>BAO2LN</x:v>
      </x:c>
      <x:c r="D591" s="37" t="str">
        <x:v>BAO2LNT</x:v>
      </x:c>
      <x:c r="E591" s="37" t="str">
        <x:v>BAO2LNT</x:v>
      </x:c>
      <x:c r="F591" s="37" t="n">
        <x:v>30</x:v>
      </x:c>
      <x:c r="G591" s="37" t="n">
        <x:v>0</x:v>
      </x:c>
      <x:c r="H591" s="37" t="str">
        <x:v>g</x:v>
      </x:c>
      <x:c r="I591" s="37" t="str">
        <x:v>BAO</x:v>
      </x:c>
      <x:c r="J591" s="59" t="n">
        <x:v>0</x:v>
      </x:c>
      <x:c r="K591" s="59" t="n">
        <x:v>0</x:v>
      </x:c>
      <x:c r="L591" s="59" t="n">
        <x:v>0</x:v>
      </x:c>
      <x:c r="M591" s="37" t="str">
        <x:v>Bao ly / cuộn ép</x:v>
      </x:c>
      <x:c r="N591" s="37" t="str">
        <x:v>CHƯA CÓ GIÁ LẺ</x:v>
      </x:c>
      <x:c r="O591" s="61" t="n">
        <x:v>0.626</x:v>
      </x:c>
      <x:c r="P591" s="37"/>
      <x:c r="Q591" s="30"/>
      <x:c r="R591" s="30"/>
      <x:c r="S591" s="30"/>
      <x:c r="T591" s="37"/>
      <x:c r="U591" s="59"/>
      <x:c r="V591" s="59"/>
      <x:c r="W591" s="117" t="n">
        <x:v>49000</x:v>
      </x:c>
      <x:c r="X591" s="59" t="str">
        <x:f>IFERROR(IF(OR($N591="ĐÃ GHÉP - AUTO",$N591="ĐÃ GHÉP - QUY TẮC"),IF($V591="","",IF($T591="THÙNG",$V591/$F591,$V591)),""),"")</x:f>
      </x:c>
      <x:c r="Y591" s="117" t="n">
        <x:f>IF(OR(W591="",F591=""),"",W591*F591)</x:f>
        <x:v>1470000</x:v>
      </x:c>
      <x:c r="Z591" s="59" t="str">
        <x:f>IFERROR(IF(OR($N591="ĐÃ GHÉP - AUTO",$N591="ĐÃ GHÉP - QUY TẮC"),IF($V591="","",IF($T591="THÙNG",$V591,$V591*$F591)),""),"")</x:f>
      </x:c>
      <x:c r="AA591" s="28" t="str">
        <x:f>IFERROR(IF(OR($K591="",$K591=0,$Y591=""),"",($Y591-$K591)/$K591),"")</x:f>
      </x:c>
      <x:c r="AB591" s="37" t="str">
        <x:f>IFERROR(IF($N591="CẦN DUYỆT","DUYỆT MAP",IF($N591="CHƯA CÓ GIÁ LẺ","THIẾU GIÁ",IF(OR($K591="",$K591=0,$Y591=""),"OK",IF(ABS(($Y591-$K591)/$K591)&gt;0.15,"LỆCH GIÁ CŨ","OK")))),"OK")</x:f>
        <x:v>THIẾU GIÁ</x:v>
      </x:c>
      <x:c r="AC591" s="30" t="str">
        <x:v>ứng viên gần nhất=Bịch 1ly ngang; score=0.626</x:v>
      </x:c>
      <x:c r="AD591" s="37" t="str">
        <x:v>BAO2LN</x:v>
      </x:c>
      <x:c r="AE591" s="38" t="str">
        <x:v>BAO2LNT</x:v>
      </x:c>
      <x:c r="AF591" s="123" t="n">
        <x:v>0</x:v>
      </x:c>
      <x:c r="AG591" s="112" t="str">
        <x:v>g</x:v>
      </x:c>
      <x:c r="AH591" s="112" t="str">
        <x:v>KG</x:v>
      </x:c>
      <x:c r="AI591" s="112" t="str">
        <x:v>0 g / KG</x:v>
      </x:c>
      <x:c r="AJ591" s="120" t="n">
        <x:v>49000</x:v>
      </x:c>
      <x:c r="AK591" s="120"/>
      <x:c r="AL591" s="120" t="n">
        <x:v>49000</x:v>
      </x:c>
      <x:c r="AM591" s="112" t="str">
        <x:v>BỔ SUNG GIÁ</x:v>
      </x:c>
      <x:c r="AN591" s="126" t="n">
        <x:v>1332</x:v>
      </x:c>
      <x:c r="AO591" s="126" t="n">
        <x:v>1333</x:v>
      </x:c>
      <x:c r="AP591" s="113" t="str">
        <x:v>30 KG / BAO</x:v>
      </x:c>
    </x:row>
    <x:row r="592">
      <x:c r="A592" s="71" t="str">
        <x:v>BAO 1 LY NGANG</x:v>
      </x:c>
      <x:c r="B592" s="30" t="str">
        <x:v>BAO 1 LY NGANG - BAO</x:v>
      </x:c>
      <x:c r="C592" s="37" t="str">
        <x:v>BAO1LN</x:v>
      </x:c>
      <x:c r="D592" s="37" t="str">
        <x:v>BAO1LNT</x:v>
      </x:c>
      <x:c r="E592" s="37" t="str">
        <x:v>BAO1LNT</x:v>
      </x:c>
      <x:c r="F592" s="37" t="n">
        <x:v>30</x:v>
      </x:c>
      <x:c r="G592" s="37" t="n">
        <x:v>0</x:v>
      </x:c>
      <x:c r="H592" s="37" t="str">
        <x:v>g</x:v>
      </x:c>
      <x:c r="I592" s="37" t="str">
        <x:v>BAO</x:v>
      </x:c>
      <x:c r="J592" s="59" t="n">
        <x:v>0</x:v>
      </x:c>
      <x:c r="K592" s="59" t="n">
        <x:v>0</x:v>
      </x:c>
      <x:c r="L592" s="59" t="n">
        <x:v>0</x:v>
      </x:c>
      <x:c r="M592" s="37" t="str">
        <x:v>Bao ly / cuộn ép</x:v>
      </x:c>
      <x:c r="N592" s="37" t="str">
        <x:v>CHƯA CÓ GIÁ LẺ</x:v>
      </x:c>
      <x:c r="O592" s="61" t="n">
        <x:v>0.626</x:v>
      </x:c>
      <x:c r="P592" s="37"/>
      <x:c r="Q592" s="30"/>
      <x:c r="R592" s="30"/>
      <x:c r="S592" s="30"/>
      <x:c r="T592" s="37"/>
      <x:c r="U592" s="59"/>
      <x:c r="V592" s="59"/>
      <x:c r="W592" s="117" t="n">
        <x:v>49000</x:v>
      </x:c>
      <x:c r="X592" s="59" t="str">
        <x:f>IFERROR(IF(OR($N592="ĐÃ GHÉP - AUTO",$N592="ĐÃ GHÉP - QUY TẮC"),IF($V592="","",IF($T592="THÙNG",$V592/$F592,$V592)),""),"")</x:f>
      </x:c>
      <x:c r="Y592" s="117" t="n">
        <x:f>IF(OR(W592="",F592=""),"",W592*F592)</x:f>
        <x:v>1470000</x:v>
      </x:c>
      <x:c r="Z592" s="59" t="str">
        <x:f>IFERROR(IF(OR($N592="ĐÃ GHÉP - AUTO",$N592="ĐÃ GHÉP - QUY TẮC"),IF($V592="","",IF($T592="THÙNG",$V592,$V592*$F592)),""),"")</x:f>
      </x:c>
      <x:c r="AA592" s="28" t="str">
        <x:f>IFERROR(IF(OR($K592="",$K592=0,$Y592=""),"",($Y592-$K592)/$K592),"")</x:f>
      </x:c>
      <x:c r="AB592" s="37" t="str">
        <x:f>IFERROR(IF($N592="CẦN DUYỆT","DUYỆT MAP",IF($N592="CHƯA CÓ GIÁ LẺ","THIẾU GIÁ",IF(OR($K592="",$K592=0,$Y592=""),"OK",IF(ABS(($Y592-$K592)/$K592)&gt;0.15,"LỆCH GIÁ CŨ","OK")))),"OK")</x:f>
        <x:v>THIẾU GIÁ</x:v>
      </x:c>
      <x:c r="AC592" s="30" t="str">
        <x:v>ứng viên gần nhất=Bịch 1ly ngang; score=0.626</x:v>
      </x:c>
      <x:c r="AD592" s="37" t="str">
        <x:v>BAO1LN</x:v>
      </x:c>
      <x:c r="AE592" s="38" t="str">
        <x:v>BAO1LNT</x:v>
      </x:c>
      <x:c r="AF592" s="123" t="n">
        <x:v>0</x:v>
      </x:c>
      <x:c r="AG592" s="112" t="str">
        <x:v>g</x:v>
      </x:c>
      <x:c r="AH592" s="112" t="str">
        <x:v>KG</x:v>
      </x:c>
      <x:c r="AI592" s="112" t="str">
        <x:v>0 g / KG</x:v>
      </x:c>
      <x:c r="AJ592" s="120" t="n">
        <x:v>49000</x:v>
      </x:c>
      <x:c r="AK592" s="120"/>
      <x:c r="AL592" s="120" t="n">
        <x:v>49000</x:v>
      </x:c>
      <x:c r="AM592" s="112" t="str">
        <x:v>BỔ SUNG GIÁ</x:v>
      </x:c>
      <x:c r="AN592" s="126" t="n">
        <x:v>1336</x:v>
      </x:c>
      <x:c r="AO592" s="126" t="n">
        <x:v>1337</x:v>
      </x:c>
      <x:c r="AP592" s="113" t="str">
        <x:v>30 KG / BAO</x:v>
      </x:c>
    </x:row>
    <x:row r="593">
      <x:c r="A593" s="71" t="str">
        <x:v>BÁNH TRÁNG NƯỚNG VÀNG</x:v>
      </x:c>
      <x:c r="B593" s="30" t="str">
        <x:v>BÁNH TRÁNG NƯỚNG VÀNG - CÂY</x:v>
      </x:c>
      <x:c r="C593" s="37" t="str">
        <x:v>BTNVAG</x:v>
      </x:c>
      <x:c r="D593" s="37" t="str">
        <x:v>BTNVAGT</x:v>
      </x:c>
      <x:c r="E593" s="37" t="str">
        <x:v>BTNVAGT</x:v>
      </x:c>
      <x:c r="F593" s="37" t="n">
        <x:v>8</x:v>
      </x:c>
      <x:c r="G593" s="37" t="n">
        <x:v>8000</x:v>
      </x:c>
      <x:c r="H593" s="37" t="str">
        <x:v>g</x:v>
      </x:c>
      <x:c r="I593" s="37" t="str">
        <x:v>CÂY</x:v>
      </x:c>
      <x:c r="J593" s="59" t="n">
        <x:v>315000</x:v>
      </x:c>
      <x:c r="K593" s="59" t="n">
        <x:v>0</x:v>
      </x:c>
      <x:c r="L593" s="59" t="n">
        <x:v>0</x:v>
      </x:c>
      <x:c r="M593" s="37" t="str">
        <x:v>Nguyên liệu bánh tráng</x:v>
      </x:c>
      <x:c r="N593" s="37" t="str">
        <x:v>ĐÃ GHÉP - QUY TẮC</x:v>
      </x:c>
      <x:c r="O593" s="61" t="n">
        <x:v>0.99</x:v>
      </x:c>
      <x:c r="P593" s="37" t="n">
        <x:v>297</x:v>
      </x:c>
      <x:c r="Q593" s="30" t="str">
        <x:v>bánh trán nướng trắng+vàng</x:v>
      </x:c>
      <x:c r="R593" s="30" t="str"/>
      <x:c r="S593" s="30" t="str">
        <x:v>kg</x:v>
      </x:c>
      <x:c r="T593" s="37" t="str">
        <x:v>ĐƠN VỊ</x:v>
      </x:c>
      <x:c r="U593" s="59" t="n">
        <x:v>45000</x:v>
      </x:c>
      <x:c r="V593" s="59"/>
      <x:c r="W593" s="117" t="n">
        <x:v>45000</x:v>
      </x:c>
      <x:c r="X593" s="59" t="str">
        <x:f>IFERROR(IF(OR($N593="ĐÃ GHÉP - AUTO",$N593="ĐÃ GHÉP - QUY TẮC"),IF($V593="","",IF($T593="THÙNG",$V593/$F593,$V593)),""),"")</x:f>
      </x:c>
      <x:c r="Y593" s="117" t="n">
        <x:f>IF(OR(W593="",F593=""),"",W593*F593)</x:f>
        <x:v>360000</x:v>
      </x:c>
      <x:c r="Z593" s="59" t="str">
        <x:f>IFERROR(IF(OR($N593="ĐÃ GHÉP - AUTO",$N593="ĐÃ GHÉP - QUY TẮC"),IF($V593="","",IF($T593="THÙNG",$V593,$V593*$F593)),""),"")</x:f>
      </x:c>
      <x:c r="AA593" s="28" t="str">
        <x:f>IFERROR(IF(OR($K593="",$K593=0,$Y593=""),"",($Y593-$K593)/$K593),"")</x:f>
      </x:c>
      <x:c r="AB593" s="37" t="str">
        <x:f>IFERROR(IF($N593="CẦN DUYỆT","DUYỆT MAP",IF($N593="CHƯA CÓ GIÁ LẺ","THIẾU GIÁ",IF(OR($K593="",$K593=0,$Y593=""),"OK",IF(ABS(($Y593-$K593)/$K593)&gt;0.15,"LỆCH GIÁ CŨ","OK")))),"OK")</x:f>
        <x:v>OK</x:v>
      </x:c>
      <x:c r="AC593" s="30" t="str">
        <x:v>Giá chung trắng/vàng</x:v>
      </x:c>
      <x:c r="AD593" s="37" t="str">
        <x:v>BTNVAG</x:v>
      </x:c>
      <x:c r="AE593" s="38" t="str">
        <x:v>BTNVAGT</x:v>
      </x:c>
      <x:c r="AF593" s="123" t="n">
        <x:v>1000</x:v>
      </x:c>
      <x:c r="AG593" s="112" t="str">
        <x:v>g</x:v>
      </x:c>
      <x:c r="AH593" s="112" t="str">
        <x:v>KG</x:v>
      </x:c>
      <x:c r="AI593" s="112" t="str">
        <x:v>1000 g / KG</x:v>
      </x:c>
      <x:c r="AJ593" s="120" t="n">
        <x:v>45000</x:v>
      </x:c>
      <x:c r="AK593" s="120" t="n">
        <x:v>45000</x:v>
      </x:c>
      <x:c r="AL593" s="120" t="n">
        <x:v>45000</x:v>
      </x:c>
      <x:c r="AM593" s="112" t="str">
        <x:v>GIỮ NGUYÊN - ĐÃ KHỚP</x:v>
      </x:c>
      <x:c r="AN593" s="126" t="n">
        <x:v>1339</x:v>
      </x:c>
      <x:c r="AO593" s="126" t="n">
        <x:v>1340</x:v>
      </x:c>
      <x:c r="AP593" s="113" t="str">
        <x:v>8 KG / CÂY</x:v>
      </x:c>
    </x:row>
    <x:row r="594">
      <x:c r="A594" s="71" t="str">
        <x:v>BÁNH TRÁNG CẮT NGON</x:v>
      </x:c>
      <x:c r="B594" s="30" t="str">
        <x:v>BÁNH TRÁNG CẮT NGON - BAO</x:v>
      </x:c>
      <x:c r="C594" s="37" t="str">
        <x:v>BTRCAT</x:v>
      </x:c>
      <x:c r="D594" s="37" t="str">
        <x:v>BTRCATT</x:v>
      </x:c>
      <x:c r="E594" s="37" t="str">
        <x:v>BTRCATT</x:v>
      </x:c>
      <x:c r="F594" s="37" t="n">
        <x:v>8</x:v>
      </x:c>
      <x:c r="G594" s="37" t="n">
        <x:v>8000</x:v>
      </x:c>
      <x:c r="H594" s="37" t="str">
        <x:v>g</x:v>
      </x:c>
      <x:c r="I594" s="37" t="str">
        <x:v>BAO</x:v>
      </x:c>
      <x:c r="J594" s="59" t="n">
        <x:v>0</x:v>
      </x:c>
      <x:c r="K594" s="59" t="n">
        <x:v>0</x:v>
      </x:c>
      <x:c r="L594" s="59" t="n">
        <x:v>0</x:v>
      </x:c>
      <x:c r="M594" s="37" t="str">
        <x:v>Nguyên liệu bánh tráng</x:v>
      </x:c>
      <x:c r="N594" s="37" t="str">
        <x:v>ĐÃ GHÉP - QUY TẮC</x:v>
      </x:c>
      <x:c r="O594" s="61" t="n">
        <x:v>0.99</x:v>
      </x:c>
      <x:c r="P594" s="37" t="n">
        <x:v>299</x:v>
      </x:c>
      <x:c r="Q594" s="30" t="str">
        <x:v>bánh tráng cắt</x:v>
      </x:c>
      <x:c r="R594" s="30" t="str"/>
      <x:c r="S594" s="30" t="str">
        <x:v>5 kg</x:v>
      </x:c>
      <x:c r="T594" s="37" t="str">
        <x:v>ĐƠN VỊ</x:v>
      </x:c>
      <x:c r="U594" s="59" t="n">
        <x:v>110000</x:v>
      </x:c>
      <x:c r="V594" s="59"/>
      <x:c r="W594" s="117" t="n">
        <x:v>110000</x:v>
      </x:c>
      <x:c r="X594" s="59" t="str">
        <x:f>IFERROR(IF(OR($N594="ĐÃ GHÉP - AUTO",$N594="ĐÃ GHÉP - QUY TẮC"),IF($V594="","",IF($T594="THÙNG",$V594/$F594,$V594)),""),"")</x:f>
      </x:c>
      <x:c r="Y594" s="117" t="n">
        <x:f>IF(OR(W594="",F594=""),"",W594*F594)</x:f>
        <x:v>880000</x:v>
      </x:c>
      <x:c r="Z594" s="59" t="str">
        <x:f>IFERROR(IF(OR($N594="ĐÃ GHÉP - AUTO",$N594="ĐÃ GHÉP - QUY TẮC"),IF($V594="","",IF($T594="THÙNG",$V594,$V594*$F594)),""),"")</x:f>
      </x:c>
      <x:c r="AA594" s="28" t="str">
        <x:f>IFERROR(IF(OR($K594="",$K594=0,$Y594=""),"",($Y594-$K594)/$K594),"")</x:f>
      </x:c>
      <x:c r="AB594" s="37" t="str">
        <x:f>IFERROR(IF($N594="CẦN DUYỆT","DUYỆT MAP",IF($N594="CHƯA CÓ GIÁ LẺ","THIẾU GIÁ",IF(OR($K594="",$K594=0,$Y594=""),"OK",IF(ABS(($Y594-$K594)/$K594)&gt;0.15,"LỆCH GIÁ CŨ","OK")))),"OK")</x:f>
        <x:v>OK</x:v>
      </x:c>
      <x:c r="AC594" s="30" t="str">
        <x:v>Bánh tráng cắt</x:v>
      </x:c>
      <x:c r="AD594" s="37" t="str">
        <x:v>BTRCAT</x:v>
      </x:c>
      <x:c r="AE594" s="38" t="str">
        <x:v>BTRCATT</x:v>
      </x:c>
      <x:c r="AF594" s="123" t="n">
        <x:v>5000</x:v>
      </x:c>
      <x:c r="AG594" s="112" t="str">
        <x:v>g</x:v>
      </x:c>
      <x:c r="AH594" s="112" t="str">
        <x:v>TÚI 5KG</x:v>
      </x:c>
      <x:c r="AI594" s="112" t="str">
        <x:v>5000 g / TÚI 5KG</x:v>
      </x:c>
      <x:c r="AJ594" s="120" t="n">
        <x:v>110000</x:v>
      </x:c>
      <x:c r="AK594" s="120" t="n">
        <x:v>110000</x:v>
      </x:c>
      <x:c r="AL594" s="120" t="n">
        <x:v>110000</x:v>
      </x:c>
      <x:c r="AM594" s="112" t="str">
        <x:v>GIỮ NGUYÊN - ĐÃ KHỚP</x:v>
      </x:c>
      <x:c r="AN594" s="126" t="n">
        <x:v>1341</x:v>
      </x:c>
      <x:c r="AO594" s="126" t="n">
        <x:v>1342</x:v>
      </x:c>
      <x:c r="AP594" s="113" t="str">
        <x:v>8 TÚI 5KG / BAO</x:v>
      </x:c>
    </x:row>
    <x:row r="595">
      <x:c r="A595" s="71" t="str">
        <x:v>BÁNH TRÁNG CAM</x:v>
      </x:c>
      <x:c r="B595" s="30" t="str">
        <x:v>BÁNH TRÁNG CAM - CÂY</x:v>
      </x:c>
      <x:c r="C595" s="37" t="str">
        <x:v>BTRCAM</x:v>
      </x:c>
      <x:c r="D595" s="37" t="str">
        <x:v>BTRCAMT</x:v>
      </x:c>
      <x:c r="E595" s="37" t="str">
        <x:v>BTRCAMT</x:v>
      </x:c>
      <x:c r="F595" s="37" t="n">
        <x:v>6</x:v>
      </x:c>
      <x:c r="G595" s="37" t="n">
        <x:v>6000</x:v>
      </x:c>
      <x:c r="H595" s="37" t="str">
        <x:v>g</x:v>
      </x:c>
      <x:c r="I595" s="37" t="str">
        <x:v>CÂY</x:v>
      </x:c>
      <x:c r="J595" s="59" t="n">
        <x:v>215000</x:v>
      </x:c>
      <x:c r="K595" s="59" t="n">
        <x:v>240000</x:v>
      </x:c>
      <x:c r="L595" s="59" t="n">
        <x:v>0</x:v>
      </x:c>
      <x:c r="M595" s="37" t="str">
        <x:v>Nguyên liệu bánh tráng</x:v>
      </x:c>
      <x:c r="N595" s="37" t="str">
        <x:v>CHƯA CÓ GIÁ LẺ</x:v>
      </x:c>
      <x:c r="O595" s="61" t="n">
        <x:v>0.625</x:v>
      </x:c>
      <x:c r="P595" s="37"/>
      <x:c r="Q595" s="30"/>
      <x:c r="R595" s="30"/>
      <x:c r="S595" s="30"/>
      <x:c r="T595" s="37"/>
      <x:c r="U595" s="59"/>
      <x:c r="V595" s="59"/>
      <x:c r="W595" s="117" t="n">
        <x:v>45000</x:v>
      </x:c>
      <x:c r="X595" s="59" t="str">
        <x:f>IFERROR(IF(OR($N595="ĐÃ GHÉP - AUTO",$N595="ĐÃ GHÉP - QUY TẮC"),IF($V595="","",IF($T595="THÙNG",$V595/$F595,$V595)),""),"")</x:f>
      </x:c>
      <x:c r="Y595" s="117" t="n">
        <x:f>IF(OR(W595="",F595=""),"",W595*F595)</x:f>
        <x:v>270000</x:v>
      </x:c>
      <x:c r="Z595" s="59" t="str">
        <x:f>IFERROR(IF(OR($N595="ĐÃ GHÉP - AUTO",$N595="ĐÃ GHÉP - QUY TẮC"),IF($V595="","",IF($T595="THÙNG",$V595,$V595*$F595)),""),"")</x:f>
      </x:c>
      <x:c r="AA595" s="28" t="n">
        <x:f>IFERROR(IF(OR($K595="",$K595=0,$Y595=""),"",($Y595-$K595)/$K595),"")</x:f>
        <x:v>0.125</x:v>
      </x:c>
      <x:c r="AB595" s="37" t="str">
        <x:f>IFERROR(IF($N595="CẦN DUYỆT","DUYỆT MAP",IF($N595="CHƯA CÓ GIÁ LẺ","THIẾU GIÁ",IF(OR($K595="",$K595=0,$Y595=""),"OK",IF(ABS(($Y595-$K595)/$K595)&gt;0.15,"LỆCH GIÁ CŨ","OK")))),"OK")</x:f>
        <x:v>THIẾU GIÁ</x:v>
      </x:c>
      <x:c r="AC595" s="30" t="str">
        <x:v>ứng viên gần nhất=bánh tráng cắt; score=0.625</x:v>
      </x:c>
      <x:c r="AD595" s="37" t="str">
        <x:v>BTRCAM</x:v>
      </x:c>
      <x:c r="AE595" s="38" t="str">
        <x:v>BTRCAMT</x:v>
      </x:c>
      <x:c r="AF595" s="123" t="n">
        <x:v>1000</x:v>
      </x:c>
      <x:c r="AG595" s="112" t="str">
        <x:v>g</x:v>
      </x:c>
      <x:c r="AH595" s="112" t="str">
        <x:v>KG</x:v>
      </x:c>
      <x:c r="AI595" s="112" t="str">
        <x:v>1000 g / KG</x:v>
      </x:c>
      <x:c r="AJ595" s="120" t="n">
        <x:v>45000</x:v>
      </x:c>
      <x:c r="AK595" s="120"/>
      <x:c r="AL595" s="120" t="n">
        <x:v>45000</x:v>
      </x:c>
      <x:c r="AM595" s="112" t="str">
        <x:v>BỔ SUNG GIÁ</x:v>
      </x:c>
      <x:c r="AN595" s="126" t="n">
        <x:v>1343</x:v>
      </x:c>
      <x:c r="AO595" s="126" t="n">
        <x:v>1344</x:v>
      </x:c>
      <x:c r="AP595" s="113" t="str">
        <x:v>6 KG / CÂY</x:v>
      </x:c>
    </x:row>
    <x:row r="596">
      <x:c r="A596" s="71" t="str">
        <x:v>GTP BẠC HÀ</x:v>
      </x:c>
      <x:c r="B596" s="30" t="str">
        <x:v>GTP BẠC HÀ - THÙNG</x:v>
      </x:c>
      <x:c r="C596" s="37" t="str">
        <x:v>GTPBHA</x:v>
      </x:c>
      <x:c r="D596" s="37" t="str">
        <x:v>GTPBHAT</x:v>
      </x:c>
      <x:c r="E596" s="37" t="str">
        <x:v>GTPBHAT</x:v>
      </x:c>
      <x:c r="F596" s="37" t="n">
        <x:v>6</x:v>
      </x:c>
      <x:c r="G596" s="37" t="n">
        <x:v>16000</x:v>
      </x:c>
      <x:c r="H596" s="37" t="str">
        <x:v>g</x:v>
      </x:c>
      <x:c r="I596" s="37" t="str">
        <x:v>THÙNG</x:v>
      </x:c>
      <x:c r="J596" s="59" t="n">
        <x:v>0</x:v>
      </x:c>
      <x:c r="K596" s="59" t="n">
        <x:v>0</x:v>
      </x:c>
      <x:c r="L596" s="59" t="n">
        <x:v>0</x:v>
      </x:c>
      <x:c r="M596" s="37" t="str">
        <x:v>Siro</x:v>
      </x:c>
      <x:c r="N596" s="37" t="str">
        <x:v>ĐÃ GHÉP - AUTO</x:v>
      </x:c>
      <x:c r="O596" s="61" t="n">
        <x:v>0.847</x:v>
      </x:c>
      <x:c r="P596" s="37" t="n">
        <x:v>10</x:v>
      </x:c>
      <x:c r="Q596" s="30" t="str">
        <x:v>Siro GTP</x:v>
      </x:c>
      <x:c r="R596" s="30" t="str">
        <x:v>Thùng 6 bình</x:v>
      </x:c>
      <x:c r="S596" s="30" t="str">
        <x:v>Chai</x:v>
      </x:c>
      <x:c r="T596" s="37" t="str">
        <x:v>ĐƠN VỊ</x:v>
      </x:c>
      <x:c r="U596" s="59" t="n">
        <x:v>140000</x:v>
      </x:c>
      <x:c r="V596" s="59"/>
      <x:c r="W596" s="117" t="n">
        <x:v>140000</x:v>
      </x:c>
      <x:c r="X596" s="59" t="str">
        <x:f>IFERROR(IF(OR($N596="ĐÃ GHÉP - AUTO",$N596="ĐÃ GHÉP - QUY TẮC"),IF($V596="","",IF($T596="THÙNG",$V596/$F596,$V596)),""),"")</x:f>
      </x:c>
      <x:c r="Y596" s="117" t="n">
        <x:f>IF(OR(W596="",F596=""),"",W596*F596)</x:f>
        <x:v>840000</x:v>
      </x:c>
      <x:c r="Z596" s="59" t="str">
        <x:f>IFERROR(IF(OR($N596="ĐÃ GHÉP - AUTO",$N596="ĐÃ GHÉP - QUY TẮC"),IF($V596="","",IF($T596="THÙNG",$V596,$V596*$F596)),""),"")</x:f>
      </x:c>
      <x:c r="AA596" s="28" t="str">
        <x:f>IFERROR(IF(OR($K596="",$K596=0,$Y596=""),"",($Y596-$K596)/$K596),"")</x:f>
      </x:c>
      <x:c r="AB596" s="37" t="str">
        <x:f>IFERROR(IF($N596="CẦN DUYỆT","DUYỆT MAP",IF($N596="CHƯA CÓ GIÁ LẺ","THIẾU GIÁ",IF(OR($K596="",$K596=0,$Y596=""),"OK",IF(ABS(($Y596-$K596)/$K596)&gt;0.15,"LỆCH GIÁ CŨ","OK")))),"OK")</x:f>
        <x:v>OK</x:v>
      </x:c>
      <x:c r="AC596" s="30" t="str">
        <x:v>score=0.847; gap=0.426</x:v>
      </x:c>
      <x:c r="AD596" s="37" t="str">
        <x:v>GTPBHA</x:v>
      </x:c>
      <x:c r="AE596" s="38" t="str">
        <x:v>GTPBHAT</x:v>
      </x:c>
      <x:c r="AF596" s="123" t="n">
        <x:v>2550</x:v>
      </x:c>
      <x:c r="AG596" s="112" t="str">
        <x:v>g</x:v>
      </x:c>
      <x:c r="AH596" s="112" t="str">
        <x:v>BÌNH</x:v>
      </x:c>
      <x:c r="AI596" s="112" t="str">
        <x:v>2550 g / BÌNH</x:v>
      </x:c>
      <x:c r="AJ596" s="120" t="n">
        <x:v>140000</x:v>
      </x:c>
      <x:c r="AK596" s="120" t="n">
        <x:v>140000</x:v>
      </x:c>
      <x:c r="AL596" s="120" t="n">
        <x:v>140000</x:v>
      </x:c>
      <x:c r="AM596" s="112" t="str">
        <x:v>GIỮ NGUYÊN - ĐÃ KHỚP</x:v>
      </x:c>
      <x:c r="AN596" s="126" t="n">
        <x:v>1348</x:v>
      </x:c>
      <x:c r="AO596" s="126" t="n">
        <x:v>1349</x:v>
      </x:c>
      <x:c r="AP596" s="113" t="str">
        <x:v>6 BÌNH / THÙNG</x:v>
      </x:c>
    </x:row>
    <x:row r="597">
      <x:c r="A597" s="71" t="str">
        <x:v>ATISO WONDERFUL</x:v>
      </x:c>
      <x:c r="B597" s="30" t="str">
        <x:v>ATISO WONDERFUL - THÙNG</x:v>
      </x:c>
      <x:c r="C597" s="37" t="str">
        <x:v>ATSWDF</x:v>
      </x:c>
      <x:c r="D597" s="37" t="str">
        <x:v>ATSWDFT</x:v>
      </x:c>
      <x:c r="E597" s="37" t="str">
        <x:v>ATSWDFT</x:v>
      </x:c>
      <x:c r="F597" s="37" t="n">
        <x:v>12</x:v>
      </x:c>
      <x:c r="G597" s="37" t="n">
        <x:v>0</x:v>
      </x:c>
      <x:c r="H597" s="37" t="str">
        <x:v>g</x:v>
      </x:c>
      <x:c r="I597" s="37" t="str">
        <x:v>THÙNG</x:v>
      </x:c>
      <x:c r="J597" s="59" t="n">
        <x:v>0</x:v>
      </x:c>
      <x:c r="K597" s="59" t="n">
        <x:v>888000</x:v>
      </x:c>
      <x:c r="L597" s="59" t="n">
        <x:v>0</x:v>
      </x:c>
      <x:c r="M597" s="37" t="str">
        <x:v>Trái cây hộp</x:v>
      </x:c>
      <x:c r="N597" s="37" t="str">
        <x:v>ĐÃ GHÉP - AUTO</x:v>
      </x:c>
      <x:c r="O597" s="61" t="n">
        <x:v>0.903</x:v>
      </x:c>
      <x:c r="P597" s="37" t="n">
        <x:v>112</x:v>
      </x:c>
      <x:c r="Q597" s="30" t="str">
        <x:v>ATISO</x:v>
      </x:c>
      <x:c r="R597" s="30" t="str">
        <x:v>Thùng 12lon</x:v>
      </x:c>
      <x:c r="S597" s="30" t="str">
        <x:v>LON</x:v>
      </x:c>
      <x:c r="T597" s="37" t="str">
        <x:v>ĐƠN VỊ</x:v>
      </x:c>
      <x:c r="U597" s="59" t="n">
        <x:v>75000</x:v>
      </x:c>
      <x:c r="V597" s="59"/>
      <x:c r="W597" s="117" t="n">
        <x:v>75000</x:v>
      </x:c>
      <x:c r="X597" s="59" t="str">
        <x:f>IFERROR(IF(OR($N597="ĐÃ GHÉP - AUTO",$N597="ĐÃ GHÉP - QUY TẮC"),IF($V597="","",IF($T597="THÙNG",$V597/$F597,$V597)),""),"")</x:f>
      </x:c>
      <x:c r="Y597" s="117" t="n">
        <x:f>IF(OR(W597="",F597=""),"",W597*F597)</x:f>
        <x:v>900000</x:v>
      </x:c>
      <x:c r="Z597" s="59" t="str">
        <x:f>IFERROR(IF(OR($N597="ĐÃ GHÉP - AUTO",$N597="ĐÃ GHÉP - QUY TẮC"),IF($V597="","",IF($T597="THÙNG",$V597,$V597*$F597)),""),"")</x:f>
      </x:c>
      <x:c r="AA597" s="28" t="n">
        <x:f>IFERROR(IF(OR($K597="",$K597=0,$Y597=""),"",($Y597-$K597)/$K597),"")</x:f>
        <x:v>0.013513513513513514</x:v>
      </x:c>
      <x:c r="AB597" s="37" t="str">
        <x:f>IFERROR(IF($N597="CẦN DUYỆT","DUYỆT MAP",IF($N597="CHƯA CÓ GIÁ LẺ","THIẾU GIÁ",IF(OR($K597="",$K597=0,$Y597=""),"OK",IF(ABS(($Y597-$K597)/$K597)&gt;0.15,"LỆCH GIÁ CŨ","OK")))),"OK")</x:f>
        <x:v>OK</x:v>
      </x:c>
      <x:c r="AC597" s="30" t="str">
        <x:v>score=0.903; gap=0.839</x:v>
      </x:c>
      <x:c r="AD597" s="37" t="str">
        <x:v>ATSWDF</x:v>
      </x:c>
      <x:c r="AE597" s="38" t="str">
        <x:v>ATSWDFT</x:v>
      </x:c>
      <x:c r="AF597" s="123" t="n">
        <x:v>0</x:v>
      </x:c>
      <x:c r="AG597" s="112" t="str">
        <x:v>g</x:v>
      </x:c>
      <x:c r="AH597" s="112" t="str">
        <x:v>LON</x:v>
      </x:c>
      <x:c r="AI597" s="112" t="str">
        <x:v>0 g / LON</x:v>
      </x:c>
      <x:c r="AJ597" s="120" t="n">
        <x:v>75000</x:v>
      </x:c>
      <x:c r="AK597" s="120" t="n">
        <x:v>75000</x:v>
      </x:c>
      <x:c r="AL597" s="120" t="n">
        <x:v>75000</x:v>
      </x:c>
      <x:c r="AM597" s="112" t="str">
        <x:v>GIỮ NGUYÊN - ĐÃ KHỚP</x:v>
      </x:c>
      <x:c r="AN597" s="126" t="n">
        <x:v>1350</x:v>
      </x:c>
      <x:c r="AO597" s="126" t="n">
        <x:v>1351</x:v>
      </x:c>
      <x:c r="AP597" s="113" t="str">
        <x:v>12 LON / THÙNG</x:v>
      </x:c>
    </x:row>
    <x:row r="598">
      <x:c r="A598" s="71" t="str">
        <x:v>ANCHOR</x:v>
      </x:c>
      <x:c r="B598" s="30" t="str">
        <x:v>ANCHOR - THÙNG</x:v>
      </x:c>
      <x:c r="C598" s="37" t="str">
        <x:v>ANCHOR</x:v>
      </x:c>
      <x:c r="D598" s="37" t="str">
        <x:v>ANCHORT</x:v>
      </x:c>
      <x:c r="E598" s="37" t="str">
        <x:v>ANCHORT</x:v>
      </x:c>
      <x:c r="F598" s="37" t="n">
        <x:v>12</x:v>
      </x:c>
      <x:c r="G598" s="37" t="n">
        <x:v>0</x:v>
      </x:c>
      <x:c r="H598" s="37" t="str">
        <x:v>g</x:v>
      </x:c>
      <x:c r="I598" s="37" t="str">
        <x:v>THÙNG</x:v>
      </x:c>
      <x:c r="J598" s="59" t="n">
        <x:v>0</x:v>
      </x:c>
      <x:c r="K598" s="59" t="n">
        <x:v>1920000</x:v>
      </x:c>
      <x:c r="L598" s="59" t="n">
        <x:v>0</x:v>
      </x:c>
      <x:c r="M598" s="37" t="str">
        <x:v>Khác</x:v>
      </x:c>
      <x:c r="N598" s="37" t="str">
        <x:v>CHƯA CÓ GIÁ LẺ</x:v>
      </x:c>
      <x:c r="O598" s="61" t="n">
        <x:v>0.053</x:v>
      </x:c>
      <x:c r="P598" s="37"/>
      <x:c r="Q598" s="30"/>
      <x:c r="R598" s="30"/>
      <x:c r="S598" s="30"/>
      <x:c r="T598" s="37"/>
      <x:c r="U598" s="59"/>
      <x:c r="V598" s="59"/>
      <x:c r="W598" s="117" t="n">
        <x:v>165000</x:v>
      </x:c>
      <x:c r="X598" s="59" t="str">
        <x:f>IFERROR(IF(OR($N598="ĐÃ GHÉP - AUTO",$N598="ĐÃ GHÉP - QUY TẮC"),IF($V598="","",IF($T598="THÙNG",$V598/$F598,$V598)),""),"")</x:f>
      </x:c>
      <x:c r="Y598" s="117" t="n">
        <x:f>IF(OR(W598="",F598=""),"",W598*F598)</x:f>
        <x:v>1980000</x:v>
      </x:c>
      <x:c r="Z598" s="59" t="str">
        <x:f>IFERROR(IF(OR($N598="ĐÃ GHÉP - AUTO",$N598="ĐÃ GHÉP - QUY TẮC"),IF($V598="","",IF($T598="THÙNG",$V598,$V598*$F598)),""),"")</x:f>
      </x:c>
      <x:c r="AA598" s="28" t="n">
        <x:f>IFERROR(IF(OR($K598="",$K598=0,$Y598=""),"",($Y598-$K598)/$K598),"")</x:f>
        <x:v>0.03125</x:v>
      </x:c>
      <x:c r="AB598" s="37" t="str">
        <x:f>IFERROR(IF($N598="CẦN DUYỆT","DUYỆT MAP",IF($N598="CHƯA CÓ GIÁ LẺ","THIẾU GIÁ",IF(OR($K598="",$K598=0,$Y598=""),"OK",IF(ABS(($Y598-$K598)/$K598)&gt;0.15,"LỆCH GIÁ CŨ","OK")))),"OK")</x:f>
        <x:v>THIẾU GIÁ</x:v>
      </x:c>
      <x:c r="AC598" s="30" t="str">
        <x:v>ứng viên gần nhất=Bot matcha SEOUL; score=0.053</x:v>
      </x:c>
      <x:c r="AD598" s="37" t="str">
        <x:v>ANCHOR</x:v>
      </x:c>
      <x:c r="AE598" s="38" t="str">
        <x:v>ANCHORT</x:v>
      </x:c>
      <x:c r="AF598" s="123" t="n">
        <x:v>0</x:v>
      </x:c>
      <x:c r="AG598" s="112" t="str">
        <x:v>g</x:v>
      </x:c>
      <x:c r="AH598" s="112" t="str">
        <x:v>HỘP</x:v>
      </x:c>
      <x:c r="AI598" s="112" t="str">
        <x:v>0 g / HỘP</x:v>
      </x:c>
      <x:c r="AJ598" s="120" t="n">
        <x:v>165000</x:v>
      </x:c>
      <x:c r="AK598" s="120"/>
      <x:c r="AL598" s="120" t="n">
        <x:v>165000</x:v>
      </x:c>
      <x:c r="AM598" s="112" t="str">
        <x:v>BỔ SUNG GIÁ</x:v>
      </x:c>
      <x:c r="AN598" s="126" t="n">
        <x:v>1352</x:v>
      </x:c>
      <x:c r="AO598" s="126" t="n">
        <x:v>1353</x:v>
      </x:c>
      <x:c r="AP598" s="113" t="str">
        <x:v>12 HỘP / THÙNG</x:v>
      </x:c>
    </x:row>
    <x:row r="599">
      <x:c r="A599" s="71" t="str">
        <x:v>3Q ZION TRẮNG</x:v>
      </x:c>
      <x:c r="B599" s="30" t="str">
        <x:v>3Q ZION TRẮNG - THÙNG</x:v>
      </x:c>
      <x:c r="C599" s="37" t="str">
        <x:v>3QZITR</x:v>
      </x:c>
      <x:c r="D599" s="37" t="str">
        <x:v>3QZITRT</x:v>
      </x:c>
      <x:c r="E599" s="37" t="str">
        <x:v>3QZITRT</x:v>
      </x:c>
      <x:c r="F599" s="37" t="n">
        <x:v>6</x:v>
      </x:c>
      <x:c r="G599" s="37" t="n">
        <x:v>13000</x:v>
      </x:c>
      <x:c r="H599" s="37" t="str">
        <x:v>g</x:v>
      </x:c>
      <x:c r="I599" s="37" t="str">
        <x:v>THÙNG</x:v>
      </x:c>
      <x:c r="J599" s="59" t="n">
        <x:v>0</x:v>
      </x:c>
      <x:c r="K599" s="59" t="n">
        <x:v>275000</x:v>
      </x:c>
      <x:c r="L599" s="59" t="n">
        <x:v>0</x:v>
      </x:c>
      <x:c r="M599" s="37" t="str">
        <x:v>3Q / thạch hũ</x:v>
      </x:c>
      <x:c r="N599" s="37" t="str">
        <x:v>ĐÃ GHÉP - AUTO</x:v>
      </x:c>
      <x:c r="O599" s="61" t="n">
        <x:v>0.991</x:v>
      </x:c>
      <x:c r="P599" s="37" t="n">
        <x:v>89</x:v>
      </x:c>
      <x:c r="Q599" s="30" t="str">
        <x:v>3Q Zion trang</x:v>
      </x:c>
      <x:c r="R599" s="30" t="str">
        <x:v>Thùng 6 gói</x:v>
      </x:c>
      <x:c r="S599" s="30" t="str">
        <x:v>bịch</x:v>
      </x:c>
      <x:c r="T599" s="37" t="str">
        <x:v>ĐƠN VỊ</x:v>
      </x:c>
      <x:c r="U599" s="59" t="n">
        <x:v>50000</x:v>
      </x:c>
      <x:c r="V599" s="59" t="n">
        <x:v>49000</x:v>
      </x:c>
      <x:c r="W599" s="117" t="n">
        <x:v>50000</x:v>
      </x:c>
      <x:c r="X599" s="59" t="n">
        <x:f>IFERROR(IF(OR($N599="ĐÃ GHÉP - AUTO",$N599="ĐÃ GHÉP - QUY TẮC"),IF($V599="","",IF($T599="THÙNG",$V599/$F599,$V599)),""),"")</x:f>
        <x:v>49000</x:v>
      </x:c>
      <x:c r="Y599" s="117" t="n">
        <x:f>IF(OR(W599="",F599=""),"",W599*F599)</x:f>
        <x:v>300000</x:v>
      </x:c>
      <x:c r="Z599" s="59" t="n">
        <x:f>IFERROR(IF(OR($N599="ĐÃ GHÉP - AUTO",$N599="ĐÃ GHÉP - QUY TẮC"),IF($V599="","",IF($T599="THÙNG",$V599,$V599*$F599)),""),"")</x:f>
        <x:v>294000</x:v>
      </x:c>
      <x:c r="AA599" s="28" t="n">
        <x:f>IFERROR(IF(OR($K599="",$K599=0,$Y599=""),"",($Y599-$K599)/$K599),"")</x:f>
        <x:v>0.09090909090909091</x:v>
      </x:c>
      <x:c r="AB599" s="37" t="str">
        <x:f>IFERROR(IF($N599="CẦN DUYỆT","DUYỆT MAP",IF($N599="CHƯA CÓ GIÁ LẺ","THIẾU GIÁ",IF(OR($K599="",$K599=0,$Y599=""),"OK",IF(ABS(($Y599-$K599)/$K599)&gt;0.15,"LỆCH GIÁ CŨ","OK")))),"OK")</x:f>
        <x:v>OK</x:v>
      </x:c>
      <x:c r="AC599" s="30" t="str">
        <x:v>score=0.991; gap=0.310</x:v>
      </x:c>
      <x:c r="AD599" s="37" t="str">
        <x:v>3QZITR</x:v>
      </x:c>
      <x:c r="AE599" s="38" t="str">
        <x:v>3QZITRT</x:v>
      </x:c>
      <x:c r="AF599" s="123" t="n">
        <x:v>2000</x:v>
      </x:c>
      <x:c r="AG599" s="112" t="str">
        <x:v>g</x:v>
      </x:c>
      <x:c r="AH599" s="112" t="str">
        <x:v>GÓI</x:v>
      </x:c>
      <x:c r="AI599" s="112" t="str">
        <x:v>2000 g / GÓI</x:v>
      </x:c>
      <x:c r="AJ599" s="120" t="n">
        <x:v>50000</x:v>
      </x:c>
      <x:c r="AK599" s="120" t="n">
        <x:v>50000</x:v>
      </x:c>
      <x:c r="AL599" s="120" t="n">
        <x:v>50000</x:v>
      </x:c>
      <x:c r="AM599" s="112" t="str">
        <x:v>GIỮ NGUYÊN - ĐÃ KHỚP</x:v>
      </x:c>
      <x:c r="AN599" s="126" t="n">
        <x:v>1354</x:v>
      </x:c>
      <x:c r="AO599" s="126" t="n">
        <x:v>1355</x:v>
      </x:c>
      <x:c r="AP599" s="113" t="str">
        <x:v>6 GÓI / THÙNG</x:v>
      </x:c>
    </x:row>
    <x:row r="600">
      <x:c r="A600" s="71" t="str">
        <x:v>3Q SEA TRẮNG</x:v>
      </x:c>
      <x:c r="B600" s="30" t="str">
        <x:v>3Q SEA TRẮNG - THÙNG</x:v>
      </x:c>
      <x:c r="C600" s="37" t="str">
        <x:v>3QSEAT</x:v>
      </x:c>
      <x:c r="D600" s="37" t="str">
        <x:v>3QSEATT</x:v>
      </x:c>
      <x:c r="E600" s="37" t="str">
        <x:v>3QSEATT</x:v>
      </x:c>
      <x:c r="F600" s="37" t="n">
        <x:v>6</x:v>
      </x:c>
      <x:c r="G600" s="37" t="n">
        <x:v>13000</x:v>
      </x:c>
      <x:c r="H600" s="37" t="str">
        <x:v>g</x:v>
      </x:c>
      <x:c r="I600" s="37" t="str">
        <x:v>THÙNG</x:v>
      </x:c>
      <x:c r="J600" s="59" t="n">
        <x:v>0</x:v>
      </x:c>
      <x:c r="K600" s="59" t="n">
        <x:v>265000</x:v>
      </x:c>
      <x:c r="L600" s="59" t="n">
        <x:v>0</x:v>
      </x:c>
      <x:c r="M600" s="37" t="str">
        <x:v>3Q / thạch hũ</x:v>
      </x:c>
      <x:c r="N600" s="37" t="str">
        <x:v>ĐÃ GHÉP - AUTO</x:v>
      </x:c>
      <x:c r="O600" s="61" t="n">
        <x:v>0.991</x:v>
      </x:c>
      <x:c r="P600" s="37" t="n">
        <x:v>87</x:v>
      </x:c>
      <x:c r="Q600" s="30" t="str">
        <x:v>3Q Sea Trắng</x:v>
      </x:c>
      <x:c r="R600" s="30" t="str">
        <x:v>Thùng 6 gói</x:v>
      </x:c>
      <x:c r="S600" s="30" t="str">
        <x:v>bịch</x:v>
      </x:c>
      <x:c r="T600" s="37" t="str">
        <x:v>ĐƠN VỊ</x:v>
      </x:c>
      <x:c r="U600" s="59" t="n">
        <x:v>48000</x:v>
      </x:c>
      <x:c r="V600" s="59" t="n">
        <x:v>47000</x:v>
      </x:c>
      <x:c r="W600" s="117" t="n">
        <x:v>48000</x:v>
      </x:c>
      <x:c r="X600" s="59" t="n">
        <x:f>IFERROR(IF(OR($N600="ĐÃ GHÉP - AUTO",$N600="ĐÃ GHÉP - QUY TẮC"),IF($V600="","",IF($T600="THÙNG",$V600/$F600,$V600)),""),"")</x:f>
        <x:v>47000</x:v>
      </x:c>
      <x:c r="Y600" s="117" t="n">
        <x:f>IF(OR(W600="",F600=""),"",W600*F600)</x:f>
        <x:v>288000</x:v>
      </x:c>
      <x:c r="Z600" s="59" t="n">
        <x:f>IFERROR(IF(OR($N600="ĐÃ GHÉP - AUTO",$N600="ĐÃ GHÉP - QUY TẮC"),IF($V600="","",IF($T600="THÙNG",$V600,$V600*$F600)),""),"")</x:f>
        <x:v>282000</x:v>
      </x:c>
      <x:c r="AA600" s="28" t="n">
        <x:f>IFERROR(IF(OR($K600="",$K600=0,$Y600=""),"",($Y600-$K600)/$K600),"")</x:f>
        <x:v>0.08679245283018867</x:v>
      </x:c>
      <x:c r="AB600" s="37" t="str">
        <x:f>IFERROR(IF($N600="CẦN DUYỆT","DUYỆT MAP",IF($N600="CHƯA CÓ GIÁ LẺ","THIẾU GIÁ",IF(OR($K600="",$K600=0,$Y600=""),"OK",IF(ABS(($Y600-$K600)/$K600)&gt;0.15,"LỆCH GIÁ CŨ","OK")))),"OK")</x:f>
        <x:v>OK</x:v>
      </x:c>
      <x:c r="AC600" s="30" t="str">
        <x:v>score=0.991; gap=0.319</x:v>
      </x:c>
      <x:c r="AD600" s="37" t="str">
        <x:v>3QSEAT</x:v>
      </x:c>
      <x:c r="AE600" s="38" t="str">
        <x:v>3QSEATT</x:v>
      </x:c>
      <x:c r="AF600" s="123" t="n">
        <x:v>0</x:v>
      </x:c>
      <x:c r="AG600" s="112" t="str">
        <x:v>g</x:v>
      </x:c>
      <x:c r="AH600" s="112" t="str">
        <x:v>GÓI</x:v>
      </x:c>
      <x:c r="AI600" s="112" t="str">
        <x:v>0 g / GÓI</x:v>
      </x:c>
      <x:c r="AJ600" s="120" t="n">
        <x:v>48000</x:v>
      </x:c>
      <x:c r="AK600" s="120" t="n">
        <x:v>48000</x:v>
      </x:c>
      <x:c r="AL600" s="120" t="n">
        <x:v>48000</x:v>
      </x:c>
      <x:c r="AM600" s="112" t="str">
        <x:v>GIỮ NGUYÊN - ĐÃ KHỚP</x:v>
      </x:c>
      <x:c r="AN600" s="126" t="n">
        <x:v>1356</x:v>
      </x:c>
      <x:c r="AO600" s="126" t="n">
        <x:v>1357</x:v>
      </x:c>
      <x:c r="AP600" s="113" t="str">
        <x:v>6 GÓI / THÙNG</x:v>
      </x:c>
    </x:row>
    <x:row r="601">
      <x:c r="A601" s="71" t="str">
        <x:v>3Q SEA ĐEN</x:v>
      </x:c>
      <x:c r="B601" s="30" t="str">
        <x:v>3Q SEA ĐEN - THÙNG</x:v>
      </x:c>
      <x:c r="C601" s="37" t="str">
        <x:v>3QSEAD</x:v>
      </x:c>
      <x:c r="D601" s="37" t="str">
        <x:v>3QSEADT</x:v>
      </x:c>
      <x:c r="E601" s="37" t="str">
        <x:v>3QSEADT</x:v>
      </x:c>
      <x:c r="F601" s="37" t="n">
        <x:v>6</x:v>
      </x:c>
      <x:c r="G601" s="37" t="n">
        <x:v>13000</x:v>
      </x:c>
      <x:c r="H601" s="37" t="str">
        <x:v>g</x:v>
      </x:c>
      <x:c r="I601" s="37" t="str">
        <x:v>THÙNG</x:v>
      </x:c>
      <x:c r="J601" s="59" t="n">
        <x:v>0</x:v>
      </x:c>
      <x:c r="K601" s="59" t="n">
        <x:v>270000</x:v>
      </x:c>
      <x:c r="L601" s="59" t="n">
        <x:v>0</x:v>
      </x:c>
      <x:c r="M601" s="37" t="str">
        <x:v>3Q / thạch hũ</x:v>
      </x:c>
      <x:c r="N601" s="37" t="str">
        <x:v>ĐÃ GHÉP - AUTO</x:v>
      </x:c>
      <x:c r="O601" s="61" t="n">
        <x:v>0.991</x:v>
      </x:c>
      <x:c r="P601" s="37" t="n">
        <x:v>88</x:v>
      </x:c>
      <x:c r="Q601" s="30" t="str">
        <x:v>3Q sea đen</x:v>
      </x:c>
      <x:c r="R601" s="30" t="str">
        <x:v>Thùng 6 gói</x:v>
      </x:c>
      <x:c r="S601" s="30" t="str">
        <x:v>bịch</x:v>
      </x:c>
      <x:c r="T601" s="37" t="str">
        <x:v>ĐƠN VỊ</x:v>
      </x:c>
      <x:c r="U601" s="59" t="n">
        <x:v>50000</x:v>
      </x:c>
      <x:c r="V601" s="59"/>
      <x:c r="W601" s="117" t="n">
        <x:v>50000</x:v>
      </x:c>
      <x:c r="X601" s="59" t="str">
        <x:f>IFERROR(IF(OR($N601="ĐÃ GHÉP - AUTO",$N601="ĐÃ GHÉP - QUY TẮC"),IF($V601="","",IF($T601="THÙNG",$V601/$F601,$V601)),""),"")</x:f>
      </x:c>
      <x:c r="Y601" s="117" t="n">
        <x:f>IF(OR(W601="",F601=""),"",W601*F601)</x:f>
        <x:v>300000</x:v>
      </x:c>
      <x:c r="Z601" s="59" t="str">
        <x:f>IFERROR(IF(OR($N601="ĐÃ GHÉP - AUTO",$N601="ĐÃ GHÉP - QUY TẮC"),IF($V601="","",IF($T601="THÙNG",$V601,$V601*$F601)),""),"")</x:f>
      </x:c>
      <x:c r="AA601" s="28" t="n">
        <x:f>IFERROR(IF(OR($K601="",$K601=0,$Y601=""),"",($Y601-$K601)/$K601),"")</x:f>
        <x:v>0.1111111111111111</x:v>
      </x:c>
      <x:c r="AB601" s="37" t="str">
        <x:f>IFERROR(IF($N601="CẦN DUYỆT","DUYỆT MAP",IF($N601="CHƯA CÓ GIÁ LẺ","THIẾU GIÁ",IF(OR($K601="",$K601=0,$Y601=""),"OK",IF(ABS(($Y601-$K601)/$K601)&gt;0.15,"LỆCH GIÁ CŨ","OK")))),"OK")</x:f>
        <x:v>OK</x:v>
      </x:c>
      <x:c r="AC601" s="30" t="str">
        <x:v>score=0.991; gap=0.297</x:v>
      </x:c>
      <x:c r="AD601" s="37" t="str">
        <x:v>3QSEAD</x:v>
      </x:c>
      <x:c r="AE601" s="38" t="str">
        <x:v>3QSEADT</x:v>
      </x:c>
      <x:c r="AF601" s="123" t="n">
        <x:v>0</x:v>
      </x:c>
      <x:c r="AG601" s="112" t="str">
        <x:v>g</x:v>
      </x:c>
      <x:c r="AH601" s="112" t="str">
        <x:v>GÓI</x:v>
      </x:c>
      <x:c r="AI601" s="112" t="str">
        <x:v>0 g / GÓI</x:v>
      </x:c>
      <x:c r="AJ601" s="120" t="n">
        <x:v>50000</x:v>
      </x:c>
      <x:c r="AK601" s="120" t="n">
        <x:v>50000</x:v>
      </x:c>
      <x:c r="AL601" s="120" t="n">
        <x:v>50000</x:v>
      </x:c>
      <x:c r="AM601" s="112" t="str">
        <x:v>GIỮ NGUYÊN - ĐÃ KHỚP</x:v>
      </x:c>
      <x:c r="AN601" s="126" t="n">
        <x:v>1358</x:v>
      </x:c>
      <x:c r="AO601" s="126" t="n">
        <x:v>1359</x:v>
      </x:c>
      <x:c r="AP601" s="113" t="str">
        <x:v>6 GÓI / THÙNG</x:v>
      </x:c>
    </x:row>
    <x:row r="602">
      <x:c r="A602" s="71" t="str">
        <x:v>3Q OK TRẮNG</x:v>
      </x:c>
      <x:c r="B602" s="30" t="str">
        <x:v>3Q OK TRẮNG - THÙNG</x:v>
      </x:c>
      <x:c r="C602" s="37" t="str">
        <x:v>3QOKTR</x:v>
      </x:c>
      <x:c r="D602" s="37" t="str">
        <x:v>3QOKTRT</x:v>
      </x:c>
      <x:c r="E602" s="37" t="str">
        <x:v>3QOKTRT</x:v>
      </x:c>
      <x:c r="F602" s="37" t="n">
        <x:v>6</x:v>
      </x:c>
      <x:c r="G602" s="37" t="n">
        <x:v>13000</x:v>
      </x:c>
      <x:c r="H602" s="37" t="str">
        <x:v>g</x:v>
      </x:c>
      <x:c r="I602" s="37" t="str">
        <x:v>THÙNG</x:v>
      </x:c>
      <x:c r="J602" s="59" t="n">
        <x:v>0</x:v>
      </x:c>
      <x:c r="K602" s="59" t="n">
        <x:v>315000</x:v>
      </x:c>
      <x:c r="L602" s="59" t="n">
        <x:v>0</x:v>
      </x:c>
      <x:c r="M602" s="37" t="str">
        <x:v>3Q / thạch hũ</x:v>
      </x:c>
      <x:c r="N602" s="37" t="str">
        <x:v>ĐÃ GHÉP - AUTO</x:v>
      </x:c>
      <x:c r="O602" s="61" t="n">
        <x:v>0.991</x:v>
      </x:c>
      <x:c r="P602" s="37" t="n">
        <x:v>91</x:v>
      </x:c>
      <x:c r="Q602" s="30" t="str">
        <x:v>3Q Ok trang</x:v>
      </x:c>
      <x:c r="R602" s="30" t="str">
        <x:v>Thùng 6 gói</x:v>
      </x:c>
      <x:c r="S602" s="30" t="str">
        <x:v>gói</x:v>
      </x:c>
      <x:c r="T602" s="37" t="str">
        <x:v>ĐƠN VỊ</x:v>
      </x:c>
      <x:c r="U602" s="59" t="n">
        <x:v>55000</x:v>
      </x:c>
      <x:c r="V602" s="59"/>
      <x:c r="W602" s="117" t="n">
        <x:v>55000</x:v>
      </x:c>
      <x:c r="X602" s="59" t="str">
        <x:f>IFERROR(IF(OR($N602="ĐÃ GHÉP - AUTO",$N602="ĐÃ GHÉP - QUY TẮC"),IF($V602="","",IF($T602="THÙNG",$V602/$F602,$V602)),""),"")</x:f>
      </x:c>
      <x:c r="Y602" s="117" t="n">
        <x:f>IF(OR(W602="",F602=""),"",W602*F602)</x:f>
        <x:v>330000</x:v>
      </x:c>
      <x:c r="Z602" s="59" t="str">
        <x:f>IFERROR(IF(OR($N602="ĐÃ GHÉP - AUTO",$N602="ĐÃ GHÉP - QUY TẮC"),IF($V602="","",IF($T602="THÙNG",$V602,$V602*$F602)),""),"")</x:f>
      </x:c>
      <x:c r="AA602" s="28" t="n">
        <x:f>IFERROR(IF(OR($K602="",$K602=0,$Y602=""),"",($Y602-$K602)/$K602),"")</x:f>
        <x:v>0.047619047619047616</x:v>
      </x:c>
      <x:c r="AB602" s="37" t="str">
        <x:f>IFERROR(IF($N602="CẦN DUYỆT","DUYỆT MAP",IF($N602="CHƯA CÓ GIÁ LẺ","THIẾU GIÁ",IF(OR($K602="",$K602=0,$Y602=""),"OK",IF(ABS(($Y602-$K602)/$K602)&gt;0.15,"LỆCH GIÁ CŨ","OK")))),"OK")</x:f>
        <x:v>OK</x:v>
      </x:c>
      <x:c r="AC602" s="30" t="str">
        <x:v>score=0.991; gap=0.305</x:v>
      </x:c>
      <x:c r="AD602" s="37" t="str">
        <x:v>3QOKTR</x:v>
      </x:c>
      <x:c r="AE602" s="38" t="str">
        <x:v>3QOKTRT</x:v>
      </x:c>
      <x:c r="AF602" s="123" t="n">
        <x:v>0</x:v>
      </x:c>
      <x:c r="AG602" s="112" t="str">
        <x:v>g</x:v>
      </x:c>
      <x:c r="AH602" s="112" t="str">
        <x:v>GÓI</x:v>
      </x:c>
      <x:c r="AI602" s="112" t="str">
        <x:v>0 g / GÓI</x:v>
      </x:c>
      <x:c r="AJ602" s="120" t="n">
        <x:v>55000</x:v>
      </x:c>
      <x:c r="AK602" s="120" t="n">
        <x:v>55000</x:v>
      </x:c>
      <x:c r="AL602" s="120" t="n">
        <x:v>55000</x:v>
      </x:c>
      <x:c r="AM602" s="112" t="str">
        <x:v>GIỮ NGUYÊN - ĐÃ KHỚP</x:v>
      </x:c>
      <x:c r="AN602" s="126" t="n">
        <x:v>1360</x:v>
      </x:c>
      <x:c r="AO602" s="126" t="n">
        <x:v>1361</x:v>
      </x:c>
      <x:c r="AP602" s="113" t="str">
        <x:v>6 GÓI / THÙNG</x:v>
      </x:c>
    </x:row>
    <x:row r="603">
      <x:c r="A603" s="71" t="str">
        <x:v>3Q OK OLONG</x:v>
      </x:c>
      <x:c r="B603" s="30" t="str">
        <x:v>3Q OK OLONG - THÙNG</x:v>
      </x:c>
      <x:c r="C603" s="37" t="str">
        <x:v>3QOKOL</x:v>
      </x:c>
      <x:c r="D603" s="37" t="str">
        <x:v>3QOKOLT</x:v>
      </x:c>
      <x:c r="E603" s="37" t="str">
        <x:v>3QOKOLT</x:v>
      </x:c>
      <x:c r="F603" s="37" t="n">
        <x:v>6</x:v>
      </x:c>
      <x:c r="G603" s="37" t="n">
        <x:v>13000</x:v>
      </x:c>
      <x:c r="H603" s="37" t="str">
        <x:v>g</x:v>
      </x:c>
      <x:c r="I603" s="37" t="str">
        <x:v>THÙNG</x:v>
      </x:c>
      <x:c r="J603" s="59" t="n">
        <x:v>0</x:v>
      </x:c>
      <x:c r="K603" s="59" t="n">
        <x:v>360000</x:v>
      </x:c>
      <x:c r="L603" s="59" t="n">
        <x:v>0</x:v>
      </x:c>
      <x:c r="M603" s="37" t="str">
        <x:v>3Q / thạch hũ</x:v>
      </x:c>
      <x:c r="N603" s="37" t="str">
        <x:v>ĐÃ GHÉP - AUTO</x:v>
      </x:c>
      <x:c r="O603" s="61" t="n">
        <x:v>0.991</x:v>
      </x:c>
      <x:c r="P603" s="37" t="n">
        <x:v>92</x:v>
      </x:c>
      <x:c r="Q603" s="30" t="str">
        <x:v>3Q ok olong</x:v>
      </x:c>
      <x:c r="R603" s="30" t="str">
        <x:v>thung 6 goi</x:v>
      </x:c>
      <x:c r="S603" s="30" t="str">
        <x:v>goi</x:v>
      </x:c>
      <x:c r="T603" s="37" t="str">
        <x:v>ĐƠN VỊ</x:v>
      </x:c>
      <x:c r="U603" s="59" t="n">
        <x:v>63000</x:v>
      </x:c>
      <x:c r="V603" s="59"/>
      <x:c r="W603" s="117" t="n">
        <x:v>63000</x:v>
      </x:c>
      <x:c r="X603" s="59" t="str">
        <x:f>IFERROR(IF(OR($N603="ĐÃ GHÉP - AUTO",$N603="ĐÃ GHÉP - QUY TẮC"),IF($V603="","",IF($T603="THÙNG",$V603/$F603,$V603)),""),"")</x:f>
      </x:c>
      <x:c r="Y603" s="117" t="n">
        <x:f>IF(OR(W603="",F603=""),"",W603*F603)</x:f>
        <x:v>378000</x:v>
      </x:c>
      <x:c r="Z603" s="59" t="str">
        <x:f>IFERROR(IF(OR($N603="ĐÃ GHÉP - AUTO",$N603="ĐÃ GHÉP - QUY TẮC"),IF($V603="","",IF($T603="THÙNG",$V603,$V603*$F603)),""),"")</x:f>
      </x:c>
      <x:c r="AA603" s="28" t="n">
        <x:f>IFERROR(IF(OR($K603="",$K603=0,$Y603=""),"",($Y603-$K603)/$K603),"")</x:f>
        <x:v>0.05</x:v>
      </x:c>
      <x:c r="AB603" s="37" t="str">
        <x:f>IFERROR(IF($N603="CẦN DUYỆT","DUYỆT MAP",IF($N603="CHƯA CÓ GIÁ LẺ","THIẾU GIÁ",IF(OR($K603="",$K603=0,$Y603=""),"OK",IF(ABS(($Y603-$K603)/$K603)&gt;0.15,"LỆCH GIÁ CŨ","OK")))),"OK")</x:f>
        <x:v>OK</x:v>
      </x:c>
      <x:c r="AC603" s="30" t="str">
        <x:v>score=0.991; gap=0.309</x:v>
      </x:c>
      <x:c r="AD603" s="37" t="str">
        <x:v>3QOKOL</x:v>
      </x:c>
      <x:c r="AE603" s="38" t="str">
        <x:v>3QOKOLT</x:v>
      </x:c>
      <x:c r="AF603" s="123" t="n">
        <x:v>2000</x:v>
      </x:c>
      <x:c r="AG603" s="112" t="str">
        <x:v>g</x:v>
      </x:c>
      <x:c r="AH603" s="112" t="str">
        <x:v>GÓI</x:v>
      </x:c>
      <x:c r="AI603" s="112" t="str">
        <x:v>2000 g / GÓI</x:v>
      </x:c>
      <x:c r="AJ603" s="120" t="n">
        <x:v>63000</x:v>
      </x:c>
      <x:c r="AK603" s="120" t="n">
        <x:v>63000</x:v>
      </x:c>
      <x:c r="AL603" s="120" t="n">
        <x:v>63000</x:v>
      </x:c>
      <x:c r="AM603" s="112" t="str">
        <x:v>GIỮ NGUYÊN - ĐÃ KHỚP</x:v>
      </x:c>
      <x:c r="AN603" s="126" t="n">
        <x:v>1362</x:v>
      </x:c>
      <x:c r="AO603" s="126" t="n">
        <x:v>1363</x:v>
      </x:c>
      <x:c r="AP603" s="113" t="str">
        <x:v>6 GÓI / THÙNG</x:v>
      </x:c>
    </x:row>
    <x:row r="604">
      <x:c r="A604" s="71" t="str">
        <x:v>3Q BIBI TRẮNG</x:v>
      </x:c>
      <x:c r="B604" s="30" t="str">
        <x:v>3Q BIBI TRẮNG - THÙNG</x:v>
      </x:c>
      <x:c r="C604" s="37" t="str">
        <x:v>3QBBTR</x:v>
      </x:c>
      <x:c r="D604" s="37" t="str">
        <x:v>3QBBTRT</x:v>
      </x:c>
      <x:c r="E604" s="37" t="str">
        <x:v>3QBBTRT</x:v>
      </x:c>
      <x:c r="F604" s="37" t="n">
        <x:v>6</x:v>
      </x:c>
      <x:c r="G604" s="37" t="n">
        <x:v>13000</x:v>
      </x:c>
      <x:c r="H604" s="37" t="str">
        <x:v>g</x:v>
      </x:c>
      <x:c r="I604" s="37" t="str">
        <x:v>THÙNG</x:v>
      </x:c>
      <x:c r="J604" s="59" t="n">
        <x:v>0</x:v>
      </x:c>
      <x:c r="K604" s="59" t="n">
        <x:v>270000</x:v>
      </x:c>
      <x:c r="L604" s="59" t="n">
        <x:v>0</x:v>
      </x:c>
      <x:c r="M604" s="37" t="str">
        <x:v>3Q / thạch hũ</x:v>
      </x:c>
      <x:c r="N604" s="37" t="str">
        <x:v>ĐÃ GHÉP - AUTO</x:v>
      </x:c>
      <x:c r="O604" s="61" t="n">
        <x:v>0.991</x:v>
      </x:c>
      <x:c r="P604" s="37" t="n">
        <x:v>85</x:v>
      </x:c>
      <x:c r="Q604" s="30" t="str">
        <x:v>3Q Bibi TRĂNG</x:v>
      </x:c>
      <x:c r="R604" s="30" t="str">
        <x:v>Thùng 6 gói</x:v>
      </x:c>
      <x:c r="S604" s="30" t="str">
        <x:v>gói</x:v>
      </x:c>
      <x:c r="T604" s="37" t="str">
        <x:v>ĐƠN VỊ</x:v>
      </x:c>
      <x:c r="U604" s="59" t="n">
        <x:v>50000</x:v>
      </x:c>
      <x:c r="V604" s="59"/>
      <x:c r="W604" s="117" t="n">
        <x:v>50000</x:v>
      </x:c>
      <x:c r="X604" s="59" t="str">
        <x:f>IFERROR(IF(OR($N604="ĐÃ GHÉP - AUTO",$N604="ĐÃ GHÉP - QUY TẮC"),IF($V604="","",IF($T604="THÙNG",$V604/$F604,$V604)),""),"")</x:f>
      </x:c>
      <x:c r="Y604" s="117" t="n">
        <x:f>IF(OR(W604="",F604=""),"",W604*F604)</x:f>
        <x:v>300000</x:v>
      </x:c>
      <x:c r="Z604" s="59" t="str">
        <x:f>IFERROR(IF(OR($N604="ĐÃ GHÉP - AUTO",$N604="ĐÃ GHÉP - QUY TẮC"),IF($V604="","",IF($T604="THÙNG",$V604,$V604*$F604)),""),"")</x:f>
      </x:c>
      <x:c r="AA604" s="28" t="n">
        <x:f>IFERROR(IF(OR($K604="",$K604=0,$Y604=""),"",($Y604-$K604)/$K604),"")</x:f>
        <x:v>0.1111111111111111</x:v>
      </x:c>
      <x:c r="AB604" s="37" t="str">
        <x:f>IFERROR(IF($N604="CẦN DUYỆT","DUYỆT MAP",IF($N604="CHƯA CÓ GIÁ LẺ","THIẾU GIÁ",IF(OR($K604="",$K604=0,$Y604=""),"OK",IF(ABS(($Y604-$K604)/$K604)&gt;0.15,"LỆCH GIÁ CŨ","OK")))),"OK")</x:f>
        <x:v>OK</x:v>
      </x:c>
      <x:c r="AC604" s="30" t="str">
        <x:v>score=0.991; gap=0.322</x:v>
      </x:c>
      <x:c r="AD604" s="37" t="str">
        <x:v>3QBBTR</x:v>
      </x:c>
      <x:c r="AE604" s="38" t="str">
        <x:v>3QBBTRT</x:v>
      </x:c>
      <x:c r="AF604" s="123" t="n">
        <x:v>0</x:v>
      </x:c>
      <x:c r="AG604" s="112" t="str">
        <x:v>g</x:v>
      </x:c>
      <x:c r="AH604" s="112" t="str">
        <x:v>GÓI</x:v>
      </x:c>
      <x:c r="AI604" s="112" t="str">
        <x:v>0 g / GÓI</x:v>
      </x:c>
      <x:c r="AJ604" s="120" t="n">
        <x:v>50000</x:v>
      </x:c>
      <x:c r="AK604" s="120" t="n">
        <x:v>50000</x:v>
      </x:c>
      <x:c r="AL604" s="120" t="n">
        <x:v>50000</x:v>
      </x:c>
      <x:c r="AM604" s="112" t="str">
        <x:v>GIỮ NGUYÊN - ĐÃ KHỚP</x:v>
      </x:c>
      <x:c r="AN604" s="126" t="n">
        <x:v>1364</x:v>
      </x:c>
      <x:c r="AO604" s="126" t="n">
        <x:v>1365</x:v>
      </x:c>
      <x:c r="AP604" s="113" t="str">
        <x:v>6 GÓI / THÙNG</x:v>
      </x:c>
    </x:row>
    <x:row r="605">
      <x:c r="A605" s="71" t="str">
        <x:v>3Q BIBI ĐEN</x:v>
      </x:c>
      <x:c r="B605" s="30" t="str">
        <x:v>3Q BIBI ĐEN - THÙNG</x:v>
      </x:c>
      <x:c r="C605" s="37" t="str">
        <x:v>3QBBDE</x:v>
      </x:c>
      <x:c r="D605" s="37" t="str">
        <x:v>3QBBDET</x:v>
      </x:c>
      <x:c r="E605" s="37" t="str">
        <x:v>3QBBDET</x:v>
      </x:c>
      <x:c r="F605" s="37" t="n">
        <x:v>6</x:v>
      </x:c>
      <x:c r="G605" s="37" t="n">
        <x:v>13000</x:v>
      </x:c>
      <x:c r="H605" s="37" t="str">
        <x:v>g</x:v>
      </x:c>
      <x:c r="I605" s="37" t="str">
        <x:v>THÙNG</x:v>
      </x:c>
      <x:c r="J605" s="59" t="n">
        <x:v>0</x:v>
      </x:c>
      <x:c r="K605" s="59" t="n">
        <x:v>280000</x:v>
      </x:c>
      <x:c r="L605" s="59" t="n">
        <x:v>0</x:v>
      </x:c>
      <x:c r="M605" s="37" t="str">
        <x:v>3Q / thạch hũ</x:v>
      </x:c>
      <x:c r="N605" s="37" t="str">
        <x:v>ĐÃ GHÉP - AUTO</x:v>
      </x:c>
      <x:c r="O605" s="61" t="n">
        <x:v>0.979</x:v>
      </x:c>
      <x:c r="P605" s="37" t="n">
        <x:v>86</x:v>
      </x:c>
      <x:c r="Q605" s="30" t="str">
        <x:v>3Q Bibi đen</x:v>
      </x:c>
      <x:c r="R605" s="30" t="str">
        <x:v>Thùng 6 gói</x:v>
      </x:c>
      <x:c r="S605" s="30" t="str">
        <x:v>gói</x:v>
      </x:c>
      <x:c r="T605" s="37" t="str">
        <x:v>ĐƠN VỊ</x:v>
      </x:c>
      <x:c r="U605" s="59" t="n">
        <x:v>52000</x:v>
      </x:c>
      <x:c r="V605" s="59"/>
      <x:c r="W605" s="117" t="n">
        <x:v>52000</x:v>
      </x:c>
      <x:c r="X605" s="59" t="str">
        <x:f>IFERROR(IF(OR($N605="ĐÃ GHÉP - AUTO",$N605="ĐÃ GHÉP - QUY TẮC"),IF($V605="","",IF($T605="THÙNG",$V605/$F605,$V605)),""),"")</x:f>
      </x:c>
      <x:c r="Y605" s="117" t="n">
        <x:f>IF(OR(W605="",F605=""),"",W605*F605)</x:f>
        <x:v>312000</x:v>
      </x:c>
      <x:c r="Z605" s="59" t="str">
        <x:f>IFERROR(IF(OR($N605="ĐÃ GHÉP - AUTO",$N605="ĐÃ GHÉP - QUY TẮC"),IF($V605="","",IF($T605="THÙNG",$V605,$V605*$F605)),""),"")</x:f>
      </x:c>
      <x:c r="AA605" s="28" t="n">
        <x:f>IFERROR(IF(OR($K605="",$K605=0,$Y605=""),"",($Y605-$K605)/$K605),"")</x:f>
        <x:v>0.11428571428571428</x:v>
      </x:c>
      <x:c r="AB605" s="37" t="str">
        <x:f>IFERROR(IF($N605="CẦN DUYỆT","DUYỆT MAP",IF($N605="CHƯA CÓ GIÁ LẺ","THIẾU GIÁ",IF(OR($K605="",$K605=0,$Y605=""),"OK",IF(ABS(($Y605-$K605)/$K605)&gt;0.15,"LỆCH GIÁ CŨ","OK")))),"OK")</x:f>
        <x:v>OK</x:v>
      </x:c>
      <x:c r="AC605" s="30" t="str">
        <x:v>score=0.979; gap=0.288</x:v>
      </x:c>
      <x:c r="AD605" s="37" t="str">
        <x:v>3QBBDE</x:v>
      </x:c>
      <x:c r="AE605" s="38" t="str">
        <x:v>3QBBDET</x:v>
      </x:c>
      <x:c r="AF605" s="123" t="n">
        <x:v>0</x:v>
      </x:c>
      <x:c r="AG605" s="112" t="str">
        <x:v>g</x:v>
      </x:c>
      <x:c r="AH605" s="112" t="str">
        <x:v>GÓI</x:v>
      </x:c>
      <x:c r="AI605" s="112" t="str">
        <x:v>0 g / GÓI</x:v>
      </x:c>
      <x:c r="AJ605" s="120" t="n">
        <x:v>52000</x:v>
      </x:c>
      <x:c r="AK605" s="120" t="n">
        <x:v>52000</x:v>
      </x:c>
      <x:c r="AL605" s="120" t="n">
        <x:v>52000</x:v>
      </x:c>
      <x:c r="AM605" s="112" t="str">
        <x:v>GIỮ NGUYÊN - ĐÃ KHỚP</x:v>
      </x:c>
      <x:c r="AN605" s="126" t="n">
        <x:v>1366</x:v>
      </x:c>
      <x:c r="AO605" s="126" t="n">
        <x:v>1367</x:v>
      </x:c>
      <x:c r="AP605" s="113" t="str">
        <x:v>6 GÓI / THÙNG</x:v>
      </x:c>
    </x:row>
    <x:row r="606">
      <x:c r="A606" s="71" t="str">
        <x:v>3Q BIBI DÂU</x:v>
      </x:c>
      <x:c r="B606" s="30" t="str">
        <x:v>3Q BIBI DÂU - THÙNG</x:v>
      </x:c>
      <x:c r="C606" s="37" t="str">
        <x:v>3QBBDA</x:v>
      </x:c>
      <x:c r="D606" s="37" t="str">
        <x:v>3QBBDAT</x:v>
      </x:c>
      <x:c r="E606" s="37" t="str">
        <x:v>3QBBDAT</x:v>
      </x:c>
      <x:c r="F606" s="37" t="n">
        <x:v>6</x:v>
      </x:c>
      <x:c r="G606" s="37" t="n">
        <x:v>13000</x:v>
      </x:c>
      <x:c r="H606" s="37" t="str">
        <x:v>g</x:v>
      </x:c>
      <x:c r="I606" s="37" t="str">
        <x:v>THÙNG</x:v>
      </x:c>
      <x:c r="J606" s="59" t="n">
        <x:v>0</x:v>
      </x:c>
      <x:c r="K606" s="59" t="n">
        <x:v>0</x:v>
      </x:c>
      <x:c r="L606" s="59" t="n">
        <x:v>0</x:v>
      </x:c>
      <x:c r="M606" s="37" t="str">
        <x:v>3Q / thạch hũ</x:v>
      </x:c>
      <x:c r="N606" s="37" t="str">
        <x:v>CẦN DUYỆT</x:v>
      </x:c>
      <x:c r="O606" s="61" t="n">
        <x:v>0.665</x:v>
      </x:c>
      <x:c r="P606" s="37" t="n">
        <x:v>86</x:v>
      </x:c>
      <x:c r="Q606" s="30" t="str">
        <x:v>3Q Bibi đen</x:v>
      </x:c>
      <x:c r="R606" s="30" t="str">
        <x:v>Thùng 6 gói</x:v>
      </x:c>
      <x:c r="S606" s="30" t="str">
        <x:v>gói</x:v>
      </x:c>
      <x:c r="T606" s="37" t="str">
        <x:v>ĐƠN VỊ</x:v>
      </x:c>
      <x:c r="U606" s="59" t="n">
        <x:v>52000</x:v>
      </x:c>
      <x:c r="V606" s="59"/>
      <x:c r="W606" s="117"/>
      <x:c r="X606" s="59" t="str">
        <x:f>IFERROR(IF(OR($N606="ĐÃ GHÉP - AUTO",$N606="ĐÃ GHÉP - QUY TẮC"),IF($V606="","",IF($T606="THÙNG",$V606/$F606,$V606)),""),"")</x:f>
      </x:c>
      <x:c r="Y606" s="117" t="str">
        <x:f>IF(OR(W606="",F606=""),"",W606*F606)</x:f>
      </x:c>
      <x:c r="Z606" s="59" t="str">
        <x:f>IFERROR(IF(OR($N606="ĐÃ GHÉP - AUTO",$N606="ĐÃ GHÉP - QUY TẮC"),IF($V606="","",IF($T606="THÙNG",$V606,$V606*$F606)),""),"")</x:f>
      </x:c>
      <x:c r="AA606" s="28" t="str">
        <x:f>IFERROR(IF(OR($K606="",$K606=0,$Y606=""),"",($Y606-$K606)/$K606),"")</x:f>
      </x:c>
      <x:c r="AB606" s="37" t="str">
        <x:f>IFERROR(IF($N606="CẦN DUYỆT","DUYỆT MAP",IF($N606="CHƯA CÓ GIÁ LẺ","THIẾU GIÁ",IF(OR($K606="",$K606=0,$Y606=""),"OK",IF(ABS(($Y606-$K606)/$K606)&gt;0.15,"LỆCH GIÁ CŨ","OK")))),"OK")</x:f>
        <x:v>DUYỆT MAP</x:v>
      </x:c>
      <x:c r="AC606" s="30" t="str">
        <x:v>score=0.665; gap=0.005; phương án 2=3Q Bibi TRĂNG</x:v>
      </x:c>
      <x:c r="AD606" s="37" t="str">
        <x:v>3QBBDA</x:v>
      </x:c>
      <x:c r="AE606" s="38" t="str">
        <x:v>3QBBDAT</x:v>
      </x:c>
      <x:c r="AF606" s="123" t="n">
        <x:v>0</x:v>
      </x:c>
      <x:c r="AG606" s="112" t="str">
        <x:v>g</x:v>
      </x:c>
      <x:c r="AH606" s="112" t="str">
        <x:v>GÓI</x:v>
      </x:c>
      <x:c r="AI606" s="112" t="str">
        <x:v>0 g / GÓI</x:v>
      </x:c>
      <x:c r="AJ606" s="120" t="n">
        <x:v>0</x:v>
      </x:c>
      <x:c r="AK606" s="120"/>
      <x:c r="AL606" s="120"/>
      <x:c r="AM606" s="112" t="str">
        <x:v>DS SP GIÁ 0 - VẪN THIẾU GIÁ</x:v>
      </x:c>
      <x:c r="AN606" s="126" t="n">
        <x:v>1368</x:v>
      </x:c>
      <x:c r="AO606" s="126" t="n">
        <x:v>1369</x:v>
      </x:c>
      <x:c r="AP606" s="113" t="str">
        <x:v>6 GÓI / THÙNG</x:v>
      </x:c>
    </x:row>
    <x:row r="607">
      <x:c r="A607" s="72" t="str">
        <x:v>3Q BIBI ĐÀO</x:v>
      </x:c>
      <x:c r="B607" s="43" t="str">
        <x:v>3Q BIBI ĐÀO - THÙNG</x:v>
      </x:c>
      <x:c r="C607" s="44" t="str">
        <x:v>3QBBDO</x:v>
      </x:c>
      <x:c r="D607" s="44" t="str">
        <x:v>3QBBDOT</x:v>
      </x:c>
      <x:c r="E607" s="44" t="str">
        <x:v>3QBBDOT</x:v>
      </x:c>
      <x:c r="F607" s="44" t="n">
        <x:v>6</x:v>
      </x:c>
      <x:c r="G607" s="44" t="n">
        <x:v>13000</x:v>
      </x:c>
      <x:c r="H607" s="44" t="str">
        <x:v>g</x:v>
      </x:c>
      <x:c r="I607" s="44" t="str">
        <x:v>THÙNG</x:v>
      </x:c>
      <x:c r="J607" s="64" t="n">
        <x:v>0</x:v>
      </x:c>
      <x:c r="K607" s="64" t="n">
        <x:v>0</x:v>
      </x:c>
      <x:c r="L607" s="64" t="n">
        <x:v>0</x:v>
      </x:c>
      <x:c r="M607" s="44" t="str">
        <x:v>3Q / thạch hũ</x:v>
      </x:c>
      <x:c r="N607" s="44" t="str">
        <x:v>CẦN DUYỆT</x:v>
      </x:c>
      <x:c r="O607" s="65" t="n">
        <x:v>0.665</x:v>
      </x:c>
      <x:c r="P607" s="44" t="n">
        <x:v>86</x:v>
      </x:c>
      <x:c r="Q607" s="43" t="str">
        <x:v>3Q Bibi đen</x:v>
      </x:c>
      <x:c r="R607" s="43" t="str">
        <x:v>Thùng 6 gói</x:v>
      </x:c>
      <x:c r="S607" s="43" t="str">
        <x:v>gói</x:v>
      </x:c>
      <x:c r="T607" s="44" t="str">
        <x:v>ĐƠN VỊ</x:v>
      </x:c>
      <x:c r="U607" s="64" t="n">
        <x:v>52000</x:v>
      </x:c>
      <x:c r="V607" s="64"/>
      <x:c r="W607" s="118"/>
      <x:c r="X607" s="64" t="str">
        <x:f>IFERROR(IF(OR($N607="ĐÃ GHÉP - AUTO",$N607="ĐÃ GHÉP - QUY TẮC"),IF($V607="","",IF($T607="THÙNG",$V607/$F607,$V607)),""),"")</x:f>
      </x:c>
      <x:c r="Y607" s="118" t="str">
        <x:f>IF(OR(W607="",F607=""),"",W607*F607)</x:f>
      </x:c>
      <x:c r="Z607" s="64" t="str">
        <x:f>IFERROR(IF(OR($N607="ĐÃ GHÉP - AUTO",$N607="ĐÃ GHÉP - QUY TẮC"),IF($V607="","",IF($T607="THÙNG",$V607,$V607*$F607)),""),"")</x:f>
      </x:c>
      <x:c r="AA607" s="66" t="str">
        <x:f>IFERROR(IF(OR($K607="",$K607=0,$Y607=""),"",($Y607-$K607)/$K607),"")</x:f>
      </x:c>
      <x:c r="AB607" s="44" t="str">
        <x:f>IFERROR(IF($N607="CẦN DUYỆT","DUYỆT MAP",IF($N607="CHƯA CÓ GIÁ LẺ","THIẾU GIÁ",IF(OR($K607="",$K607=0,$Y607=""),"OK",IF(ABS(($Y607-$K607)/$K607)&gt;0.15,"LỆCH GIÁ CŨ","OK")))),"OK")</x:f>
        <x:v>DUYỆT MAP</x:v>
      </x:c>
      <x:c r="AC607" s="43" t="str">
        <x:v>score=0.665; gap=0.005; phương án 2=3Q Bibi TRĂNG</x:v>
      </x:c>
      <x:c r="AD607" s="44" t="str">
        <x:v>3QBBDO</x:v>
      </x:c>
      <x:c r="AE607" s="45" t="str">
        <x:v>3QBBDOT</x:v>
      </x:c>
      <x:c r="AF607" s="124" t="n">
        <x:v>0</x:v>
      </x:c>
      <x:c r="AG607" s="115" t="str">
        <x:v>g</x:v>
      </x:c>
      <x:c r="AH607" s="115" t="str">
        <x:v>GÓI</x:v>
      </x:c>
      <x:c r="AI607" s="115" t="str">
        <x:v>0 g / GÓI</x:v>
      </x:c>
      <x:c r="AJ607" s="121" t="n">
        <x:v>0</x:v>
      </x:c>
      <x:c r="AK607" s="121"/>
      <x:c r="AL607" s="121"/>
      <x:c r="AM607" s="115" t="str">
        <x:v>DS SP GIÁ 0 - VẪN THIẾU GIÁ</x:v>
      </x:c>
      <x:c r="AN607" s="127" t="n">
        <x:v>1370</x:v>
      </x:c>
      <x:c r="AO607" s="127" t="n">
        <x:v>1371</x:v>
      </x:c>
      <x:c r="AP607" s="116" t="str">
        <x:v>6 GÓI / THÙNG</x:v>
      </x:c>
    </x:row>
  </x:sheetData>
  <x:conditionalFormatting sqref="N2:N607">
    <x:cfRule type="expression" dxfId="0" priority="1">
      <x:formula>LEFT(N2,7)="ĐÃ GHÉP"</x:formula>
    </x:cfRule>
    <x:cfRule type="expression" dxfId="1" priority="2">
      <x:formula>N2="CẦN DUYỆT"</x:formula>
    </x:cfRule>
    <x:cfRule type="expression" dxfId="2" priority="3">
      <x:formula>N2="CHƯA CÓ GIÁ LẺ"</x:formula>
    </x:cfRule>
  </x:conditionalFormatting>
  <x:conditionalFormatting sqref="AB2:AB607">
    <x:cfRule type="expression" dxfId="3" priority="4">
      <x:formula>AB2="LỆCH GIÁ CŨ"</x:formula>
    </x:cfRule>
  </x:conditionalFormatting>
  <x:conditionalFormatting sqref="AA2:AA607">
    <x:cfRule type="colorScale" priority="5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M2:AM607">
    <x:cfRule type="expression" dxfId="6" priority="6">
      <x:formula>AM2="GIỮ NGUYÊN - ĐÃ KHỚP"</x:formula>
    </x:cfRule>
    <x:cfRule type="expression" dxfId="7" priority="7">
      <x:formula>AM2="CẬP NHẬT GIÁ"</x:formula>
    </x:cfRule>
    <x:cfRule type="expression" dxfId="8" priority="8">
      <x:formula>AM2="BỔ SUNG GIÁ"</x:formula>
    </x:cfRule>
    <x:cfRule type="expression" dxfId="9" priority="9">
      <x:formula>AM2="DS SP GIÁ 0 - GIỮ GIÁ CŨ"</x:formula>
    </x:cfRule>
    <x:cfRule type="expression" dxfId="10" priority="10">
      <x:formula>AM2="DS SP GIÁ 0 - VẪN THIẾU GIÁ"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3e6995791804fa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0" hidden="0" customWidth="1"/>
    <x:col min="5" max="5" width="20" hidden="0" customWidth="1"/>
    <x:col min="6" max="6" width="30" hidden="0" customWidth="1"/>
    <x:col min="7" max="7" width="11" hidden="0" customWidth="1"/>
    <x:col min="8" max="8" width="12" hidden="0" customWidth="1"/>
    <x:col min="9" max="9" width="15" hidden="0" customWidth="1"/>
    <x:col min="10" max="10" width="10" hidden="0" customWidth="1"/>
    <x:col min="11" max="11" width="30" hidden="0" customWidth="1"/>
    <x:col min="12" max="12" width="15" hidden="0" customWidth="1"/>
    <x:col min="13" max="13" width="42" hidden="0" customWidth="1"/>
  </x:cols>
  <x:sheetData>
    <x:row r="1" ht="36" customHeight="1">
      <x:c r="A1" s="32" t="str">
        <x:v>Tên SP quy đổi</x:v>
      </x:c>
      <x:c r="B1" s="33" t="str">
        <x:v>SKU đơn vị</x:v>
      </x:c>
      <x:c r="C1" s="33" t="str">
        <x:v>SKU quy đổi</x:v>
      </x:c>
      <x:c r="D1" s="33" t="str">
        <x:v>SL quy đổi</x:v>
      </x:c>
      <x:c r="E1" s="33" t="str">
        <x:v>Trạng thái</x:v>
      </x:c>
      <x:c r="F1" s="33" t="str">
        <x:v>Ứng viên giá lẻ</x:v>
      </x:c>
      <x:c r="G1" s="33" t="str">
        <x:v>Dòng nguồn</x:v>
      </x:c>
      <x:c r="H1" s="33" t="str">
        <x:v>ĐVT nguồn</x:v>
      </x:c>
      <x:c r="I1" s="33" t="str">
        <x:v>Giá nguồn (nghìn)</x:v>
      </x:c>
      <x:c r="J1" s="33" t="str">
        <x:v>Điểm khớp</x:v>
      </x:c>
      <x:c r="K1" s="33" t="str">
        <x:v>Ứng viên thứ 2</x:v>
      </x:c>
      <x:c r="L1" s="33" t="str">
        <x:v>Giá lẻ thùng cũ</x:v>
      </x:c>
      <x:c r="M1" s="35" t="str">
        <x:v>Ghi chú</x:v>
      </x:c>
    </x:row>
    <x:row r="2">
      <x:c r="A2" s="71" t="str">
        <x:v>HẠT NỔ TRẮNG LOTUS - THÙNG</x:v>
      </x:c>
      <x:c r="B2" s="37" t="str">
        <x:v>NOTRLT</x:v>
      </x:c>
      <x:c r="C2" s="37" t="str">
        <x:v>NOTRLTT</x:v>
      </x:c>
      <x:c r="D2" s="37" t="n">
        <x:v>12</x:v>
      </x:c>
      <x:c r="E2" s="37" t="str">
        <x:v>CHƯA CÓ GIÁ LẺ</x:v>
      </x:c>
      <x:c r="F2" s="30"/>
      <x:c r="G2" s="37"/>
      <x:c r="H2" s="37"/>
      <x:c r="I2" s="79"/>
      <x:c r="J2" s="37" t="n">
        <x:v>0.455</x:v>
      </x:c>
      <x:c r="K2" s="37" t="str">
        <x:v>Hạt Chia</x:v>
      </x:c>
      <x:c r="L2" s="59" t="n">
        <x:v>0</x:v>
      </x:c>
      <x:c r="M2" s="75" t="str">
        <x:v>ứng viên gần nhất=ong hut trang phi 6/8; score=0.455</x:v>
      </x:c>
    </x:row>
    <x:row r="3">
      <x:c r="A3" s="71" t="str">
        <x:v>SIRO TRINH ĐÀO - THÙNG</x:v>
      </x:c>
      <x:c r="B3" s="37" t="str">
        <x:v>SRTRDO</x:v>
      </x:c>
      <x:c r="C3" s="37" t="str">
        <x:v>SRTRDOT</x:v>
      </x:c>
      <x:c r="D3" s="37" t="n">
        <x:v>20</x:v>
      </x:c>
      <x:c r="E3" s="37" t="str">
        <x:v>CHƯA CÓ GIÁ LẺ</x:v>
      </x:c>
      <x:c r="F3" s="30"/>
      <x:c r="G3" s="37"/>
      <x:c r="H3" s="37"/>
      <x:c r="I3" s="79"/>
      <x:c r="J3" s="37" t="n">
        <x:v>0.261</x:v>
      </x:c>
      <x:c r="K3" s="37" t="str">
        <x:v>Siro Douxian 2l tròn</x:v>
      </x:c>
      <x:c r="L3" s="59" t="n">
        <x:v>0</x:v>
      </x:c>
      <x:c r="M3" s="75" t="str">
        <x:v>ứng viên gần nhất=CỐT bí đao wonderfull; score=0.261</x:v>
      </x:c>
    </x:row>
    <x:row r="4">
      <x:c r="A4" s="71" t="str">
        <x:v>TRÀ LÀI TAM MÃ - THÙNG</x:v>
      </x:c>
      <x:c r="B4" s="37" t="str">
        <x:v>TRLATM</x:v>
      </x:c>
      <x:c r="C4" s="37" t="str">
        <x:v>TRLATMT</x:v>
      </x:c>
      <x:c r="D4" s="37" t="n">
        <x:v>50</x:v>
      </x:c>
      <x:c r="E4" s="37" t="str">
        <x:v>CHƯA CÓ GIÁ LẺ</x:v>
      </x:c>
      <x:c r="F4" s="30"/>
      <x:c r="G4" s="37"/>
      <x:c r="H4" s="37"/>
      <x:c r="I4" s="79"/>
      <x:c r="J4" s="37" t="n">
        <x:v>0.45</x:v>
      </x:c>
      <x:c r="K4" s="37" t="str">
        <x:v>Trà lài túi lọc TNB</x:v>
      </x:c>
      <x:c r="L4" s="59" t="n">
        <x:v>0</x:v>
      </x:c>
      <x:c r="M4" s="75" t="str">
        <x:v>ứng viên gần nhất=Trà lài Lộc Phát; score=0.450</x:v>
      </x:c>
    </x:row>
    <x:row r="5">
      <x:c r="A5" s="71" t="str">
        <x:v>TRÀ SÂM DỨA TAM MÃ - THÙNG</x:v>
      </x:c>
      <x:c r="B5" s="37" t="str">
        <x:v>TRSDTM</x:v>
      </x:c>
      <x:c r="C5" s="37" t="str">
        <x:v>TRSDTMT</x:v>
      </x:c>
      <x:c r="D5" s="37" t="n">
        <x:v>50</x:v>
      </x:c>
      <x:c r="E5" s="37" t="str">
        <x:v>CHƯA CÓ GIÁ LẺ</x:v>
      </x:c>
      <x:c r="F5" s="30"/>
      <x:c r="G5" s="37"/>
      <x:c r="H5" s="37"/>
      <x:c r="I5" s="79"/>
      <x:c r="J5" s="37" t="n">
        <x:v>0.415</x:v>
      </x:c>
      <x:c r="K5" s="37" t="str">
        <x:v>Trà olong tấm HG 500gr</x:v>
      </x:c>
      <x:c r="L5" s="59" t="n">
        <x:v>0</x:v>
      </x:c>
      <x:c r="M5" s="75" t="str">
        <x:v>ứng viên gần nhất=Trà dứa sao vàng; score=0.415</x:v>
      </x:c>
    </x:row>
    <x:row r="6">
      <x:c r="A6" s="71" t="str">
        <x:v>BÁNH BAO CAM - THÙNG</x:v>
      </x:c>
      <x:c r="B6" s="37" t="str">
        <x:v>BBACAM</x:v>
      </x:c>
      <x:c r="C6" s="37" t="str">
        <x:v>BBACAMT</x:v>
      </x:c>
      <x:c r="D6" s="37" t="n">
        <x:v>20</x:v>
      </x:c>
      <x:c r="E6" s="37" t="str">
        <x:v>CHƯA CÓ GIÁ LẺ</x:v>
      </x:c>
      <x:c r="F6" s="30"/>
      <x:c r="G6" s="37"/>
      <x:c r="H6" s="37"/>
      <x:c r="I6" s="79"/>
      <x:c r="J6" s="37" t="n">
        <x:v>0.484</x:v>
      </x:c>
      <x:c r="K6" s="37" t="str">
        <x:v>Bánh gạo thỏi</x:v>
      </x:c>
      <x:c r="L6" s="59" t="n">
        <x:v>0</x:v>
      </x:c>
      <x:c r="M6" s="75" t="str">
        <x:v>ứng viên gần nhất=Bánh Bao Trứng; score=0.484</x:v>
      </x:c>
    </x:row>
    <x:row r="7">
      <x:c r="A7" s="71" t="str">
        <x:v>THẢ LẨU CAM - THÙNG</x:v>
      </x:c>
      <x:c r="B7" s="37" t="str">
        <x:v>VTLCAM</x:v>
      </x:c>
      <x:c r="C7" s="37" t="str">
        <x:v>VTLCAMT</x:v>
      </x:c>
      <x:c r="D7" s="37" t="n">
        <x:v>40</x:v>
      </x:c>
      <x:c r="E7" s="37" t="str">
        <x:v>CẦN DUYỆT</x:v>
      </x:c>
      <x:c r="F7" s="30" t="str">
        <x:v>Viên Thả lẩu</x:v>
      </x:c>
      <x:c r="G7" s="37" t="n">
        <x:v>273</x:v>
      </x:c>
      <x:c r="H7" s="37" t="str">
        <x:v>bịch</x:v>
      </x:c>
      <x:c r="I7" s="79" t="n">
        <x:v>43</x:v>
      </x:c>
      <x:c r="J7" s="37" t="n">
        <x:v>0.669</x:v>
      </x:c>
      <x:c r="K7" s="37" t="str">
        <x:v>Lẩu Kim chi</x:v>
      </x:c>
      <x:c r="L7" s="59" t="n">
        <x:v>0</x:v>
      </x:c>
      <x:c r="M7" s="75" t="str">
        <x:v>score=0.669; gap=0.348; phương án 2=Lẩu Kim chi</x:v>
      </x:c>
    </x:row>
    <x:row r="8">
      <x:c r="A8" s="71" t="str">
        <x:v>BỘT PHOMAI ÔNG GIÀ - THÙNG</x:v>
      </x:c>
      <x:c r="B8" s="37" t="str">
        <x:v>BPMDBP</x:v>
      </x:c>
      <x:c r="C8" s="37" t="str">
        <x:v>BPMDBPT</x:v>
      </x:c>
      <x:c r="D8" s="37" t="n">
        <x:v>20</x:v>
      </x:c>
      <x:c r="E8" s="37" t="str">
        <x:v>CHƯA CÓ GIÁ LẺ</x:v>
      </x:c>
      <x:c r="F8" s="30"/>
      <x:c r="G8" s="37"/>
      <x:c r="H8" s="37"/>
      <x:c r="I8" s="79"/>
      <x:c r="J8" s="37" t="n">
        <x:v>0.577</x:v>
      </x:c>
      <x:c r="K8" s="37" t="str">
        <x:v>Bột ớt</x:v>
      </x:c>
      <x:c r="L8" s="59" t="n">
        <x:v>0</x:v>
      </x:c>
      <x:c r="M8" s="75" t="str">
        <x:v>ứng viên gần nhất=Bột mặn phô mai ông già; score=0.577</x:v>
      </x:c>
    </x:row>
    <x:row r="9">
      <x:c r="A9" s="71" t="str">
        <x:v>HỒNG TRÀ GTP 3KG - BAO</x:v>
      </x:c>
      <x:c r="B9" s="37" t="str">
        <x:v>HTRGTP</x:v>
      </x:c>
      <x:c r="C9" s="37" t="str">
        <x:v>HTRGTPT</x:v>
      </x:c>
      <x:c r="D9" s="37" t="n">
        <x:v>8</x:v>
      </x:c>
      <x:c r="E9" s="37" t="str">
        <x:v>CHƯA CÓ GIÁ LẺ</x:v>
      </x:c>
      <x:c r="F9" s="30"/>
      <x:c r="G9" s="37"/>
      <x:c r="H9" s="37"/>
      <x:c r="I9" s="79"/>
      <x:c r="J9" s="37" t="n">
        <x:v>0.578</x:v>
      </x:c>
      <x:c r="K9" s="37" t="str">
        <x:v>Hồng Trà King</x:v>
      </x:c>
      <x:c r="L9" s="59" t="n">
        <x:v>0</x:v>
      </x:c>
      <x:c r="M9" s="75" t="str">
        <x:v>ứng viên gần nhất=Hồng Trà GTP 1kg; score=0.578</x:v>
      </x:c>
    </x:row>
    <x:row r="10">
      <x:c r="A10" s="71" t="str">
        <x:v>BỘT MILKFOAM NGUYÊN VỊ - THÙNG</x:v>
      </x:c>
      <x:c r="B10" s="37" t="str">
        <x:v>MFLVNV</x:v>
      </x:c>
      <x:c r="C10" s="37" t="str">
        <x:v>MFLVNVT</x:v>
      </x:c>
      <x:c r="D10" s="37" t="n">
        <x:v>20</x:v>
      </x:c>
      <x:c r="E10" s="37" t="str">
        <x:v>CHƯA CÓ GIÁ LẺ</x:v>
      </x:c>
      <x:c r="F10" s="30"/>
      <x:c r="G10" s="37"/>
      <x:c r="H10" s="37"/>
      <x:c r="I10" s="79"/>
      <x:c r="J10" s="37" t="n">
        <x:v>0.484</x:v>
      </x:c>
      <x:c r="K10" s="37" t="str">
        <x:v>Bột milkfoarm Luave</x:v>
      </x:c>
      <x:c r="L10" s="59" t="n">
        <x:v>0</x:v>
      </x:c>
      <x:c r="M10" s="75" t="str">
        <x:v>ứng viên gần nhất=BỘT MILKFOAM ERDOLI; score=0.484</x:v>
      </x:c>
    </x:row>
    <x:row r="11">
      <x:c r="A11" s="71" t="str">
        <x:v>HẠT NỔ HỒNG LOTUS - THÙNG</x:v>
      </x:c>
      <x:c r="B11" s="37" t="str">
        <x:v>NOHGLT</x:v>
      </x:c>
      <x:c r="C11" s="37" t="str">
        <x:v>NOHGLTT</x:v>
      </x:c>
      <x:c r="D11" s="37" t="n">
        <x:v>12</x:v>
      </x:c>
      <x:c r="E11" s="37" t="str">
        <x:v>CHƯA CÓ GIÁ LẺ</x:v>
      </x:c>
      <x:c r="F11" s="30"/>
      <x:c r="G11" s="37"/>
      <x:c r="H11" s="37"/>
      <x:c r="I11" s="79"/>
      <x:c r="J11" s="37" t="n">
        <x:v>0.409</x:v>
      </x:c>
      <x:c r="K11" s="37" t="str">
        <x:v>Cốm hồng Ongon</x:v>
      </x:c>
      <x:c r="L11" s="59" t="n">
        <x:v>770000</x:v>
      </x:c>
      <x:c r="M11" s="75" t="str">
        <x:v>ứng viên gần nhất=Hạt Chia; score=0.409</x:v>
      </x:c>
    </x:row>
    <x:row r="12">
      <x:c r="A12" s="71" t="str">
        <x:v>BỘT PHOMAI ERODELI - THÙNG</x:v>
      </x:c>
      <x:c r="B12" s="37" t="str">
        <x:v>BPMEUR</x:v>
      </x:c>
      <x:c r="C12" s="37" t="str">
        <x:v>BPMEURT</x:v>
      </x:c>
      <x:c r="D12" s="37" t="n">
        <x:v>20</x:v>
      </x:c>
      <x:c r="E12" s="37" t="str">
        <x:v>CHƯA CÓ GIÁ LẺ</x:v>
      </x:c>
      <x:c r="F12" s="30"/>
      <x:c r="G12" s="37"/>
      <x:c r="H12" s="37"/>
      <x:c r="I12" s="79"/>
      <x:c r="J12" s="37" t="n">
        <x:v>0.547</x:v>
      </x:c>
      <x:c r="K12" s="37" t="str">
        <x:v>Bột ớt</x:v>
      </x:c>
      <x:c r="L12" s="59" t="n">
        <x:v>5500000</x:v>
      </x:c>
      <x:c r="M12" s="75" t="str">
        <x:v>ứng viên gần nhất=BỘT MILKFOAM ERDOLI; score=0.547</x:v>
      </x:c>
    </x:row>
    <x:row r="13">
      <x:c r="A13" s="71" t="str">
        <x:v>VẢI HOÀNG GIA MỚI (MOCHI) - THÙNG</x:v>
      </x:c>
      <x:c r="B13" s="37" t="str">
        <x:v>VAIMOC</x:v>
      </x:c>
      <x:c r="C13" s="37" t="str">
        <x:v>VAIMOCT</x:v>
      </x:c>
      <x:c r="D13" s="37" t="n">
        <x:v>12</x:v>
      </x:c>
      <x:c r="E13" s="37" t="str">
        <x:v>CHƯA CÓ GIÁ LẺ</x:v>
      </x:c>
      <x:c r="F13" s="30"/>
      <x:c r="G13" s="37"/>
      <x:c r="H13" s="37"/>
      <x:c r="I13" s="79"/>
      <x:c r="J13" s="37" t="n">
        <x:v>0.539</x:v>
      </x:c>
      <x:c r="K13" s="37" t="str">
        <x:v>VẢI LON THÁI</x:v>
      </x:c>
      <x:c r="L13" s="59" t="n">
        <x:v>460000</x:v>
      </x:c>
      <x:c r="M13" s="75" t="str">
        <x:v>ứng viên gần nhất=VẢI LON MOHCI; score=0.539</x:v>
      </x:c>
    </x:row>
    <x:row r="14">
      <x:c r="A14" s="71" t="str">
        <x:v>TRÀ OLONG TẤM - THÙNG</x:v>
      </x:c>
      <x:c r="B14" s="37" t="str">
        <x:v>TROLTA</x:v>
      </x:c>
      <x:c r="C14" s="37" t="str">
        <x:v>TROLTAT</x:v>
      </x:c>
      <x:c r="D14" s="37" t="n">
        <x:v>20</x:v>
      </x:c>
      <x:c r="E14" s="37" t="str">
        <x:v>CHƯA CÓ GIÁ LẺ</x:v>
      </x:c>
      <x:c r="F14" s="30"/>
      <x:c r="G14" s="37"/>
      <x:c r="H14" s="37"/>
      <x:c r="I14" s="79"/>
      <x:c r="J14" s="37" t="n">
        <x:v>0.625</x:v>
      </x:c>
      <x:c r="K14" s="37" t="str">
        <x:v>TRÀ OLONG TỨ QUÝ</x:v>
      </x:c>
      <x:c r="L14" s="59" t="n">
        <x:v>0</x:v>
      </x:c>
      <x:c r="M14" s="75" t="str">
        <x:v>ứng viên gần nhất=Trà olong tấm HG 500gr; score=0.625</x:v>
      </x:c>
    </x:row>
    <x:row r="15">
      <x:c r="A15" s="71" t="str">
        <x:v>TRÀ OLONG KHÓI NOVIA - THÙNG</x:v>
      </x:c>
      <x:c r="B15" s="37" t="str">
        <x:v>PVN1253</x:v>
      </x:c>
      <x:c r="C15" s="37" t="str">
        <x:v>PVN1254</x:v>
      </x:c>
      <x:c r="D15" s="37" t="n">
        <x:v>20</x:v>
      </x:c>
      <x:c r="E15" s="37" t="str">
        <x:v>CHƯA CÓ GIÁ LẺ</x:v>
      </x:c>
      <x:c r="F15" s="30"/>
      <x:c r="G15" s="37"/>
      <x:c r="H15" s="37"/>
      <x:c r="I15" s="79"/>
      <x:c r="J15" s="37" t="n">
        <x:v>0.613</x:v>
      </x:c>
      <x:c r="K15" s="37" t="str">
        <x:v>Trà đen novia</x:v>
      </x:c>
      <x:c r="L15" s="59" t="n">
        <x:v>0</x:v>
      </x:c>
      <x:c r="M15" s="75" t="str">
        <x:v>ứng viên gần nhất=Trà  lài novia; score=0.613</x:v>
      </x:c>
    </x:row>
    <x:row r="16">
      <x:c r="A16" s="71" t="str">
        <x:v>TRÀ OLONG NƯỚNG NOVIA - THÙNG</x:v>
      </x:c>
      <x:c r="B16" s="37" t="str">
        <x:v>PVN1251</x:v>
      </x:c>
      <x:c r="C16" s="37" t="str">
        <x:v>PVN1252</x:v>
      </x:c>
      <x:c r="D16" s="37" t="n">
        <x:v>20</x:v>
      </x:c>
      <x:c r="E16" s="37" t="str">
        <x:v>CHƯA CÓ GIÁ LẺ</x:v>
      </x:c>
      <x:c r="F16" s="30"/>
      <x:c r="G16" s="37"/>
      <x:c r="H16" s="37"/>
      <x:c r="I16" s="79"/>
      <x:c r="J16" s="37" t="n">
        <x:v>0.613</x:v>
      </x:c>
      <x:c r="K16" s="37" t="str">
        <x:v>Trà đen novia</x:v>
      </x:c>
      <x:c r="L16" s="59" t="n">
        <x:v>0</x:v>
      </x:c>
      <x:c r="M16" s="75" t="str">
        <x:v>ứng viên gần nhất=Trà  lài novia; score=0.613</x:v>
      </x:c>
    </x:row>
    <x:row r="17">
      <x:c r="A17" s="71" t="str">
        <x:v>BONE MILKY - THÙNG</x:v>
      </x:c>
      <x:c r="B17" s="37" t="str">
        <x:v>PVN1249</x:v>
      </x:c>
      <x:c r="C17" s="37" t="str">
        <x:v>PVN1250</x:v>
      </x:c>
      <x:c r="D17" s="37" t="n">
        <x:v>12</x:v>
      </x:c>
      <x:c r="E17" s="37" t="str">
        <x:v>CHƯA CÓ GIÁ LẺ</x:v>
      </x:c>
      <x:c r="F17" s="30"/>
      <x:c r="G17" s="37"/>
      <x:c r="H17" s="37"/>
      <x:c r="I17" s="79"/>
      <x:c r="J17" s="37" t="n">
        <x:v>0.081</x:v>
      </x:c>
      <x:c r="K17" s="37" t="str">
        <x:v>BỘT MILKFOAM ERDOLI</x:v>
      </x:c>
      <x:c r="L17" s="59" t="n">
        <x:v>0</x:v>
      </x:c>
      <x:c r="M17" s="75" t="str">
        <x:v>ứng viên gần nhất=Bột sữa B one; score=0.081</x:v>
      </x:c>
    </x:row>
    <x:row r="18">
      <x:c r="A18" s="71" t="str">
        <x:v>ĐÀO GOLDREEF - THÙNG</x:v>
      </x:c>
      <x:c r="B18" s="37" t="str">
        <x:v>DAOGRF</x:v>
      </x:c>
      <x:c r="C18" s="37" t="str">
        <x:v>DAOGRFT</x:v>
      </x:c>
      <x:c r="D18" s="37" t="n">
        <x:v>12</x:v>
      </x:c>
      <x:c r="E18" s="37" t="str">
        <x:v>CHƯA CÓ GIÁ LẺ</x:v>
      </x:c>
      <x:c r="F18" s="30"/>
      <x:c r="G18" s="37"/>
      <x:c r="H18" s="37"/>
      <x:c r="I18" s="79"/>
      <x:c r="J18" s="37" t="n">
        <x:v>0.605</x:v>
      </x:c>
      <x:c r="K18" s="37" t="str">
        <x:v>Đào lon Thái</x:v>
      </x:c>
      <x:c r="L18" s="59" t="n">
        <x:v>0</x:v>
      </x:c>
      <x:c r="M18" s="75" t="str">
        <x:v>ứng viên gần nhất=Sinh Tố Gold Đào; score=0.605</x:v>
      </x:c>
    </x:row>
    <x:row r="19">
      <x:c r="A19" s="71" t="str">
        <x:v>ĐẬM ĐẶC MÃNG CẦU - THÙNG</x:v>
      </x:c>
      <x:c r="B19" s="37" t="str">
        <x:v>DDGMCA</x:v>
      </x:c>
      <x:c r="C19" s="37" t="str">
        <x:v>DDGMCAT</x:v>
      </x:c>
      <x:c r="D19" s="37" t="n">
        <x:v>12</x:v>
      </x:c>
      <x:c r="E19" s="37" t="str">
        <x:v>CẦN DUYỆT</x:v>
      </x:c>
      <x:c r="F19" s="30" t="str">
        <x:v>Sinh  To mang câu glod</x:v>
      </x:c>
      <x:c r="G19" s="37" t="n">
        <x:v>42</x:v>
      </x:c>
      <x:c r="H19" s="37" t="str">
        <x:v>chai</x:v>
      </x:c>
      <x:c r="I19" s="79" t="n">
        <x:v>117</x:v>
      </x:c>
      <x:c r="J19" s="37" t="n">
        <x:v>0.669</x:v>
      </x:c>
      <x:c r="K19" s="37" t="str">
        <x:v>SINH TỐ VINA MÃNG CẦU</x:v>
      </x:c>
      <x:c r="L19" s="59" t="n">
        <x:v>0</x:v>
      </x:c>
      <x:c r="M19" s="75" t="str">
        <x:v>score=0.669; gap=0.101; phương án 2=SINH TỐ VINA MÃNG CẦU</x:v>
      </x:c>
    </x:row>
    <x:row r="20">
      <x:c r="A20" s="71" t="str">
        <x:v>LY 700 UKP - THÙNG</x:v>
      </x:c>
      <x:c r="B20" s="37" t="str">
        <x:v>LYU700</x:v>
      </x:c>
      <x:c r="C20" s="37" t="str">
        <x:v>LYU700T</x:v>
      </x:c>
      <x:c r="D20" s="37" t="n">
        <x:v>20</x:v>
      </x:c>
      <x:c r="E20" s="37" t="str">
        <x:v>CHƯA CÓ GIÁ LẺ</x:v>
      </x:c>
      <x:c r="F20" s="30"/>
      <x:c r="G20" s="37"/>
      <x:c r="H20" s="37"/>
      <x:c r="I20" s="79"/>
      <x:c r="J20" s="37" t="n">
        <x:v>0.768</x:v>
      </x:c>
      <x:c r="K20" s="37" t="str">
        <x:v>Lá Rong Biển</x:v>
      </x:c>
      <x:c r="L20" s="59" t="n">
        <x:v>0</x:v>
      </x:c>
      <x:c r="M20" s="75" t="str">
        <x:v>Không dùng giá Muỗng UKP cho Ly UKP</x:v>
      </x:c>
    </x:row>
    <x:row r="21">
      <x:c r="A21" s="71" t="str">
        <x:v>HẠT NỔ TRẮNG DEDU - THÙNG</x:v>
      </x:c>
      <x:c r="B21" s="37" t="str">
        <x:v>NOTRDD</x:v>
      </x:c>
      <x:c r="C21" s="37" t="str">
        <x:v>NOTRDDT</x:v>
      </x:c>
      <x:c r="D21" s="37" t="n">
        <x:v>12</x:v>
      </x:c>
      <x:c r="E21" s="37" t="str">
        <x:v>CHƯA CÓ GIÁ LẺ</x:v>
      </x:c>
      <x:c r="F21" s="30"/>
      <x:c r="G21" s="37"/>
      <x:c r="H21" s="37"/>
      <x:c r="I21" s="79"/>
      <x:c r="J21" s="37" t="n">
        <x:v>0.425</x:v>
      </x:c>
      <x:c r="K21" s="37" t="str">
        <x:v>Hạt Chia</x:v>
      </x:c>
      <x:c r="L21" s="59" t="n">
        <x:v>836000</x:v>
      </x:c>
      <x:c r="M21" s="75" t="str">
        <x:v>ứng viên gần nhất=ong hut trang phi 6/8; score=0.425</x:v>
      </x:c>
    </x:row>
    <x:row r="22">
      <x:c r="A22" s="71" t="str">
        <x:v>MUỖNG DÀI ĐEN BỌC MÀNG - THÙNG</x:v>
      </x:c>
      <x:c r="B22" s="37" t="str">
        <x:v>MUDDMA</x:v>
      </x:c>
      <x:c r="C22" s="37" t="str">
        <x:v>MUDDMAT</x:v>
      </x:c>
      <x:c r="D22" s="37" t="n">
        <x:v>40</x:v>
      </x:c>
      <x:c r="E22" s="37" t="str">
        <x:v>CẦN DUYỆT</x:v>
      </x:c>
      <x:c r="F22" s="30" t="str">
        <x:v>Muỗng dài</x:v>
      </x:c>
      <x:c r="G22" s="37" t="n">
        <x:v>232</x:v>
      </x:c>
      <x:c r="H22" s="37" t="str">
        <x:v>bich</x:v>
      </x:c>
      <x:c r="I22" s="79" t="n">
        <x:v>11</x:v>
      </x:c>
      <x:c r="J22" s="37" t="n">
        <x:v>0.754</x:v>
      </x:c>
      <x:c r="K22" s="37" t="str">
        <x:v>Sương sáo đen mota</x:v>
      </x:c>
      <x:c r="L22" s="59" t="n">
        <x:v>0</x:v>
      </x:c>
      <x:c r="M22" s="75" t="str">
        <x:v>score=0.754; gap=0.458; phương án 2=Sương sáo đen mota</x:v>
      </x:c>
    </x:row>
    <x:row r="23">
      <x:c r="A23" s="71" t="str">
        <x:v>SỐT SAIJANG - THÙNG</x:v>
      </x:c>
      <x:c r="B23" s="37" t="str">
        <x:v>SAIJANG</x:v>
      </x:c>
      <x:c r="C23" s="37" t="str">
        <x:v>SAIJANGT</x:v>
      </x:c>
      <x:c r="D23" s="37" t="n">
        <x:v>20</x:v>
      </x:c>
      <x:c r="E23" s="37" t="str">
        <x:v>CHƯA CÓ GIÁ LẺ</x:v>
      </x:c>
      <x:c r="F23" s="30"/>
      <x:c r="G23" s="37"/>
      <x:c r="H23" s="37"/>
      <x:c r="I23" s="79"/>
      <x:c r="J23" s="37" t="n">
        <x:v>0.047</x:v>
      </x:c>
      <x:c r="K23" s="37" t="str">
        <x:v>Sốt Gold Matcha</x:v>
      </x:c>
      <x:c r="L23" s="59" t="n">
        <x:v>0</x:v>
      </x:c>
      <x:c r="M23" s="75" t="str">
        <x:v>ứng viên gần nhất=Sốt Douxian các loại; score=0.047</x:v>
      </x:c>
    </x:row>
    <x:row r="24">
      <x:c r="A24" s="71" t="str">
        <x:v>BODU XOÀI - THÙNG</x:v>
      </x:c>
      <x:c r="B24" s="37" t="str">
        <x:v>BODUXO</x:v>
      </x:c>
      <x:c r="C24" s="37" t="str">
        <x:v>BODUXOT</x:v>
      </x:c>
      <x:c r="D24" s="37" t="n">
        <x:v>12</x:v>
      </x:c>
      <x:c r="E24" s="37" t="str">
        <x:v>CHƯA CÓ GIÁ LẺ</x:v>
      </x:c>
      <x:c r="F24" s="30"/>
      <x:c r="G24" s="37"/>
      <x:c r="H24" s="37"/>
      <x:c r="I24" s="79"/>
      <x:c r="J24" s="37" t="n">
        <x:v>0.622</x:v>
      </x:c>
      <x:c r="K24" s="37" t="str">
        <x:v>Sinh Tố Berrino Xoài</x:v>
      </x:c>
      <x:c r="L24" s="59" t="n">
        <x:v>0</x:v>
      </x:c>
      <x:c r="M24" s="75" t="str">
        <x:v>ứng viên gần nhất=Sinh Tố Gold Xoài; score=0.622</x:v>
      </x:c>
    </x:row>
    <x:row r="25">
      <x:c r="A25" s="71" t="str">
        <x:v>SIRO CASALANCA MÃNG CẦU - THÙNG</x:v>
      </x:c>
      <x:c r="B25" s="37" t="str">
        <x:v>CSAMCA</x:v>
      </x:c>
      <x:c r="C25" s="37" t="str">
        <x:v>CSAMCAT</x:v>
      </x:c>
      <x:c r="D25" s="37" t="n">
        <x:v>12</x:v>
      </x:c>
      <x:c r="E25" s="37" t="str">
        <x:v>CHƯA CÓ GIÁ LẺ</x:v>
      </x:c>
      <x:c r="F25" s="30"/>
      <x:c r="G25" s="37"/>
      <x:c r="H25" s="37"/>
      <x:c r="I25" s="79"/>
      <x:c r="J25" s="37" t="n">
        <x:v>0.059</x:v>
      </x:c>
      <x:c r="K25" s="37" t="str">
        <x:v>Siro Changthai</x:v>
      </x:c>
      <x:c r="L25" s="59" t="n">
        <x:v>0</x:v>
      </x:c>
      <x:c r="M25" s="75" t="str">
        <x:v>ứng viên gần nhất=Siro Sâm Dứa Vina; score=0.059</x:v>
      </x:c>
    </x:row>
    <x:row r="26">
      <x:c r="A26" s="71" t="str">
        <x:v>SIRO CASALANCA TẮC - THÙNG</x:v>
      </x:c>
      <x:c r="B26" s="37" t="str">
        <x:v>CSATAC</x:v>
      </x:c>
      <x:c r="C26" s="37" t="str">
        <x:v>CSATACT</x:v>
      </x:c>
      <x:c r="D26" s="37" t="n">
        <x:v>12</x:v>
      </x:c>
      <x:c r="E26" s="37" t="str">
        <x:v>CHƯA CÓ GIÁ LẺ</x:v>
      </x:c>
      <x:c r="F26" s="30"/>
      <x:c r="G26" s="37"/>
      <x:c r="H26" s="37"/>
      <x:c r="I26" s="79"/>
      <x:c r="J26" s="37" t="n">
        <x:v>0.066</x:v>
      </x:c>
      <x:c r="K26" s="37" t="str">
        <x:v>Siro Sâm Dứa Vina</x:v>
      </x:c>
      <x:c r="L26" s="59" t="n">
        <x:v>0</x:v>
      </x:c>
      <x:c r="M26" s="75" t="str">
        <x:v>ứng viên gần nhất=Siro Changthai; score=0.066</x:v>
      </x:c>
    </x:row>
    <x:row r="27">
      <x:c r="A27" s="71" t="str">
        <x:v>SIRO A+ NHO - THÙNG</x:v>
      </x:c>
      <x:c r="B27" s="37" t="str">
        <x:v>SRANHO</x:v>
      </x:c>
      <x:c r="C27" s="37" t="str">
        <x:v>SRANHOT</x:v>
      </x:c>
      <x:c r="D27" s="37" t="n">
        <x:v>24</x:v>
      </x:c>
      <x:c r="E27" s="37" t="str">
        <x:v>CHƯA CÓ GIÁ LẺ</x:v>
      </x:c>
      <x:c r="F27" s="30"/>
      <x:c r="G27" s="37"/>
      <x:c r="H27" s="37"/>
      <x:c r="I27" s="79"/>
      <x:c r="J27" s="37" t="n">
        <x:v>0.05</x:v>
      </x:c>
      <x:c r="K27" s="37" t="str">
        <x:v>Siro Douxian 2l hoàng kim</x:v>
      </x:c>
      <x:c r="L27" s="59" t="n">
        <x:v>0</x:v>
      </x:c>
      <x:c r="M27" s="75" t="str">
        <x:v>ứng viên gần nhất=Siro Changthai; score=0.050</x:v>
      </x:c>
    </x:row>
    <x:row r="28">
      <x:c r="A28" s="71" t="str">
        <x:v>SIRO TRÒN DÂU - THÙNG</x:v>
      </x:c>
      <x:c r="B28" s="37" t="str">
        <x:v>SRDAUT</x:v>
      </x:c>
      <x:c r="C28" s="37" t="str">
        <x:v>SRDAUTT</x:v>
      </x:c>
      <x:c r="D28" s="37" t="n">
        <x:v>6</x:v>
      </x:c>
      <x:c r="E28" s="37" t="str">
        <x:v>CHƯA CÓ GIÁ LẺ</x:v>
      </x:c>
      <x:c r="F28" s="30"/>
      <x:c r="G28" s="37"/>
      <x:c r="H28" s="37"/>
      <x:c r="I28" s="79"/>
      <x:c r="J28" s="37" t="n">
        <x:v>0.509</x:v>
      </x:c>
      <x:c r="K28" s="37" t="str">
        <x:v>Siro GTP dâu , duong den</x:v>
      </x:c>
      <x:c r="L28" s="59" t="n">
        <x:v>0</x:v>
      </x:c>
      <x:c r="M28" s="75" t="str">
        <x:v>ứng viên gần nhất=Siro Douxian 2l tròn; score=0.509</x:v>
      </x:c>
    </x:row>
    <x:row r="29">
      <x:c r="A29" s="71" t="str">
        <x:v>MỨT DOUXIAN DƯA LƯỚI - THÙNG</x:v>
      </x:c>
      <x:c r="B29" s="37" t="str">
        <x:v>STDXDL</x:v>
      </x:c>
      <x:c r="C29" s="37" t="str">
        <x:v>STDXDLT</x:v>
      </x:c>
      <x:c r="D29" s="37" t="n">
        <x:v>12</x:v>
      </x:c>
      <x:c r="E29" s="37" t="str">
        <x:v>CHƯA CÓ GIÁ LẺ</x:v>
      </x:c>
      <x:c r="F29" s="30"/>
      <x:c r="G29" s="37"/>
      <x:c r="H29" s="37"/>
      <x:c r="I29" s="79"/>
      <x:c r="J29" s="37" t="n">
        <x:v>0.784</x:v>
      </x:c>
      <x:c r="K29" s="37" t="str">
        <x:v>Flan Douxian</x:v>
      </x:c>
      <x:c r="L29" s="59" t="n">
        <x:v>0</x:v>
      </x:c>
      <x:c r="M29" s="75" t="str">
        <x:v>Không dùng giá Sốt/Đường Douxian cho Mứt Douxian</x:v>
      </x:c>
    </x:row>
    <x:row r="30">
      <x:c r="A30" s="71" t="str">
        <x:v>SIRO CASALANCA BLUE CURACAO - THÙNG</x:v>
      </x:c>
      <x:c r="B30" s="37" t="str">
        <x:v>CSABLU</x:v>
      </x:c>
      <x:c r="C30" s="37" t="str">
        <x:v>CSABLUT</x:v>
      </x:c>
      <x:c r="D30" s="37" t="n">
        <x:v>12</x:v>
      </x:c>
      <x:c r="E30" s="37" t="str">
        <x:v>CHƯA CÓ GIÁ LẺ</x:v>
      </x:c>
      <x:c r="F30" s="30"/>
      <x:c r="G30" s="37"/>
      <x:c r="H30" s="37"/>
      <x:c r="I30" s="79"/>
      <x:c r="J30" s="37" t="n">
        <x:v>0.06</x:v>
      </x:c>
      <x:c r="K30" s="37" t="str">
        <x:v>Siro vỏ cam Gold 700ml</x:v>
      </x:c>
      <x:c r="L30" s="59" t="n">
        <x:v>0</x:v>
      </x:c>
      <x:c r="M30" s="75" t="str">
        <x:v>ứng viên gần nhất=Siro Sâm Dứa Vina; score=0.060</x:v>
      </x:c>
    </x:row>
    <x:row r="31">
      <x:c r="A31" s="71" t="str">
        <x:v>TC ĐEN 5S - THÙNG</x:v>
      </x:c>
      <x:c r="B31" s="37" t="str">
        <x:v>TCDD5S</x:v>
      </x:c>
      <x:c r="C31" s="37" t="str">
        <x:v>TCDD5ST</x:v>
      </x:c>
      <x:c r="D31" s="37" t="n">
        <x:v>10</x:v>
      </x:c>
      <x:c r="E31" s="37" t="str">
        <x:v>CHƯA CÓ GIÁ LẺ</x:v>
      </x:c>
      <x:c r="F31" s="30"/>
      <x:c r="G31" s="37"/>
      <x:c r="H31" s="37"/>
      <x:c r="I31" s="79"/>
      <x:c r="J31" s="37" t="n">
        <x:v>0.498</x:v>
      </x:c>
      <x:c r="K31" s="37" t="str">
        <x:v>TC đđ Kuhan 2kG</x:v>
      </x:c>
      <x:c r="L31" s="59" t="n">
        <x:v>515000</x:v>
      </x:c>
      <x:c r="M31" s="75" t="str">
        <x:v>ứng viên gần nhất=Tc đường đen Gia Uy; score=0.498</x:v>
      </x:c>
    </x:row>
    <x:row r="32">
      <x:c r="A32" s="71" t="str">
        <x:v>TRÀ ONA LÀI CÔ GÁI - THÙNG</x:v>
      </x:c>
      <x:c r="B32" s="37" t="str">
        <x:v>TRLACG</x:v>
      </x:c>
      <x:c r="C32" s="37" t="str">
        <x:v>TRLACGT</x:v>
      </x:c>
      <x:c r="D32" s="37" t="n">
        <x:v>20</x:v>
      </x:c>
      <x:c r="E32" s="37" t="str">
        <x:v>CẦN DUYỆT</x:v>
      </x:c>
      <x:c r="F32" s="30" t="str">
        <x:v>TRÀ LÀI CÔ GÁI</x:v>
      </x:c>
      <x:c r="G32" s="37" t="n">
        <x:v>195</x:v>
      </x:c>
      <x:c r="H32" s="37" t="str">
        <x:v>gói 500g</x:v>
      </x:c>
      <x:c r="I32" s="79" t="n">
        <x:v>84</x:v>
      </x:c>
      <x:c r="J32" s="37" t="n">
        <x:v>0.923</x:v>
      </x:c>
      <x:c r="K32" s="37" t="str">
        <x:v>HỒNG TRÀ CÔ GÁI</x:v>
      </x:c>
      <x:c r="L32" s="59" t="n">
        <x:v>0</x:v>
      </x:c>
      <x:c r="M32" s="75" t="str">
        <x:v>score=0.923; gap=0.037; phương án 2=HỒNG TRÀ CÔ GÁI</x:v>
      </x:c>
    </x:row>
    <x:row r="33">
      <x:c r="A33" s="71" t="str">
        <x:v>MÌ ACECOOK DELI - THÙNG</x:v>
      </x:c>
      <x:c r="B33" s="37" t="str">
        <x:v>MIAC80</x:v>
      </x:c>
      <x:c r="C33" s="37" t="str">
        <x:v>MIAC80T</x:v>
      </x:c>
      <x:c r="D33" s="37" t="n">
        <x:v>80</x:v>
      </x:c>
      <x:c r="E33" s="37" t="str">
        <x:v>CẦN DUYỆT</x:v>
      </x:c>
      <x:c r="F33" s="30" t="str">
        <x:v>MÌ ACECOOK DELI</x:v>
      </x:c>
      <x:c r="G33" s="37" t="n">
        <x:v>246</x:v>
      </x:c>
      <x:c r="H33" s="37" t="str">
        <x:v>Thùng</x:v>
      </x:c>
      <x:c r="I33" s="79" t="n">
        <x:v>420</x:v>
      </x:c>
      <x:c r="J33" s="37" t="n">
        <x:v>0.94</x:v>
      </x:c>
      <x:c r="K33" s="37" t="str">
        <x:v>Mì Koreno 100 gói</x:v>
      </x:c>
      <x:c r="L33" s="59" t="n">
        <x:v>420000</x:v>
      </x:c>
      <x:c r="M33" s="75" t="str">
        <x:v>score=0.940; gap=0.561; lệch giá thùng cũ 99%</x:v>
      </x:c>
    </x:row>
    <x:row r="34">
      <x:c r="A34" s="71" t="str">
        <x:v>NẮP 120 PET - THÙNG</x:v>
      </x:c>
      <x:c r="B34" s="37" t="str">
        <x:v>NPE120</x:v>
      </x:c>
      <x:c r="C34" s="37" t="str">
        <x:v>NPE120T</x:v>
      </x:c>
      <x:c r="D34" s="37" t="n">
        <x:v>20</x:v>
      </x:c>
      <x:c r="E34" s="37" t="str">
        <x:v>CHƯA CÓ GIÁ LẺ</x:v>
      </x:c>
      <x:c r="F34" s="30"/>
      <x:c r="G34" s="37"/>
      <x:c r="H34" s="37"/>
      <x:c r="I34" s="79"/>
      <x:c r="J34" s="37" t="n">
        <x:v>0.01</x:v>
      </x:c>
      <x:c r="K34" s="37" t="str">
        <x:v>Nắp cầu/ vuông</x:v>
      </x:c>
      <x:c r="L34" s="59" t="n">
        <x:v>0</x:v>
      </x:c>
      <x:c r="M34" s="75" t="str">
        <x:v>ứng viên gần nhất=Nắp ngang; score=0.010</x:v>
      </x:c>
    </x:row>
    <x:row r="35">
      <x:c r="A35" s="71" t="str">
        <x:v>SIRO HESTIA MĂNG CỤT - THÙNG</x:v>
      </x:c>
      <x:c r="B35" s="37" t="str">
        <x:v>SRHTMT</x:v>
      </x:c>
      <x:c r="C35" s="37" t="str">
        <x:v>SRHTMTT</x:v>
      </x:c>
      <x:c r="D35" s="37" t="n">
        <x:v>12</x:v>
      </x:c>
      <x:c r="E35" s="37" t="str">
        <x:v>CHƯA CÓ GIÁ LẺ</x:v>
      </x:c>
      <x:c r="F35" s="30"/>
      <x:c r="G35" s="37"/>
      <x:c r="H35" s="37"/>
      <x:c r="I35" s="79"/>
      <x:c r="J35" s="37" t="n">
        <x:v>0.065</x:v>
      </x:c>
      <x:c r="K35" s="37" t="str">
        <x:v>Siro Changthai</x:v>
      </x:c>
      <x:c r="L35" s="59" t="n">
        <x:v>0</x:v>
      </x:c>
      <x:c r="M35" s="75" t="str">
        <x:v>ứng viên gần nhất=Siro Sâm Dứa Vina; score=0.065</x:v>
      </x:c>
    </x:row>
    <x:row r="36">
      <x:c r="A36" s="71" t="str">
        <x:v>MỨT GOLD QUÝT MẬT ONG - THÙNG</x:v>
      </x:c>
      <x:c r="B36" s="37" t="str">
        <x:v>STGQMO</x:v>
      </x:c>
      <x:c r="C36" s="37" t="str">
        <x:v>STGQMOT</x:v>
      </x:c>
      <x:c r="D36" s="37" t="n">
        <x:v>12</x:v>
      </x:c>
      <x:c r="E36" s="37" t="str">
        <x:v>CHƯA CÓ GIÁ LẺ</x:v>
      </x:c>
      <x:c r="F36" s="30"/>
      <x:c r="G36" s="37"/>
      <x:c r="H36" s="37"/>
      <x:c r="I36" s="79"/>
      <x:c r="J36" s="37" t="n">
        <x:v>0.508</x:v>
      </x:c>
      <x:c r="K36" s="37" t="str">
        <x:v>Sinh Tố Gold Dâu</x:v>
      </x:c>
      <x:c r="L36" s="59" t="n">
        <x:v>0</x:v>
      </x:c>
      <x:c r="M36" s="75" t="str">
        <x:v>ứng viên gần nhất=Sinh Tố Gold ổi; score=0.508</x:v>
      </x:c>
    </x:row>
    <x:row r="37">
      <x:c r="A37" s="71" t="str">
        <x:v>ĐƯỜNG TRẮNG MONITA - THÙNG</x:v>
      </x:c>
      <x:c r="B37" s="37" t="str">
        <x:v>DTSEUL</x:v>
      </x:c>
      <x:c r="C37" s="37" t="str">
        <x:v>DTSEULT</x:v>
      </x:c>
      <x:c r="D37" s="37" t="n">
        <x:v>16</x:v>
      </x:c>
      <x:c r="E37" s="37" t="str">
        <x:v>CHƯA CÓ GIÁ LẺ</x:v>
      </x:c>
      <x:c r="F37" s="30"/>
      <x:c r="G37" s="37"/>
      <x:c r="H37" s="37"/>
      <x:c r="I37" s="79"/>
      <x:c r="J37" s="37" t="n">
        <x:v>0.495</x:v>
      </x:c>
      <x:c r="K37" s="37" t="str">
        <x:v>Đường NÂU MONITA</x:v>
      </x:c>
      <x:c r="L37" s="59" t="n">
        <x:v>0</x:v>
      </x:c>
      <x:c r="M37" s="75" t="str">
        <x:v>ứng viên gần nhất=Đường đen MONITA; score=0.495</x:v>
      </x:c>
    </x:row>
    <x:row r="38">
      <x:c r="A38" s="71" t="str">
        <x:v>BODU MẬT ONG ĐÀO - THÙNG</x:v>
      </x:c>
      <x:c r="B38" s="37" t="str">
        <x:v>BODUMD</x:v>
      </x:c>
      <x:c r="C38" s="37" t="str">
        <x:v>BODUMDT</x:v>
      </x:c>
      <x:c r="D38" s="37" t="n">
        <x:v>12</x:v>
      </x:c>
      <x:c r="E38" s="37" t="str">
        <x:v>CHƯA CÓ GIÁ LẺ</x:v>
      </x:c>
      <x:c r="F38" s="30"/>
      <x:c r="G38" s="37"/>
      <x:c r="H38" s="37"/>
      <x:c r="I38" s="79"/>
      <x:c r="J38" s="37" t="n">
        <x:v>0.495</x:v>
      </x:c>
      <x:c r="K38" s="37" t="str">
        <x:v>Mật ong Euro deli</x:v>
      </x:c>
      <x:c r="L38" s="59" t="n">
        <x:v>0</x:v>
      </x:c>
      <x:c r="M38" s="75" t="str">
        <x:v>ứng viên gần nhất=Đào lon Thái; score=0.495</x:v>
      </x:c>
    </x:row>
    <x:row r="39">
      <x:c r="A39" s="71" t="str">
        <x:v>SIRO MAULIN CHANH DÂY - THÙNG</x:v>
      </x:c>
      <x:c r="B39" s="37" t="str">
        <x:v>SRMLCD</x:v>
      </x:c>
      <x:c r="C39" s="37" t="str">
        <x:v>SRMLCDT</x:v>
      </x:c>
      <x:c r="D39" s="37" t="n">
        <x:v>6</x:v>
      </x:c>
      <x:c r="E39" s="37" t="str">
        <x:v>CHƯA CÓ GIÁ LẺ</x:v>
      </x:c>
      <x:c r="F39" s="30"/>
      <x:c r="G39" s="37"/>
      <x:c r="H39" s="37"/>
      <x:c r="I39" s="79"/>
      <x:c r="J39" s="37" t="n">
        <x:v>0.06</x:v>
      </x:c>
      <x:c r="K39" s="37" t="str">
        <x:v>Siro Douxian 2l hoàng kim</x:v>
      </x:c>
      <x:c r="L39" s="59" t="n">
        <x:v>0</x:v>
      </x:c>
      <x:c r="M39" s="75" t="str">
        <x:v>ứng viên gần nhất=Siro Changthai; score=0.060</x:v>
      </x:c>
    </x:row>
    <x:row r="40">
      <x:c r="A40" s="71" t="str">
        <x:v>ICEHOT CÔ ĐẶC - THÙNG</x:v>
      </x:c>
      <x:c r="B40" s="37" t="str">
        <x:v>ICEHCD</x:v>
      </x:c>
      <x:c r="C40" s="37" t="str">
        <x:v>ICEHCDT</x:v>
      </x:c>
      <x:c r="D40" s="37" t="n">
        <x:v>12</x:v>
      </x:c>
      <x:c r="E40" s="37" t="str">
        <x:v>CHƯA CÓ GIÁ LẺ</x:v>
      </x:c>
      <x:c r="F40" s="30"/>
      <x:c r="G40" s="37"/>
      <x:c r="H40" s="37"/>
      <x:c r="I40" s="79"/>
      <x:c r="J40" s="37" t="n">
        <x:v>0.405</x:v>
      </x:c>
      <x:c r="K40" s="37" t="str">
        <x:v>TRÀ LÀI CÔ GÁI</x:v>
      </x:c>
      <x:c r="L40" s="59" t="n">
        <x:v>0</x:v>
      </x:c>
      <x:c r="M40" s="75" t="str">
        <x:v>ứng viên gần nhất=HỒNG TRÀ CÔ GÁI; score=0.405</x:v>
      </x:c>
    </x:row>
    <x:row r="41">
      <x:c r="A41" s="71" t="str">
        <x:v>SIRO VINA TRÀ XANH - THÙNG</x:v>
      </x:c>
      <x:c r="B41" s="37" t="str">
        <x:v>SRVNTX</x:v>
      </x:c>
      <x:c r="C41" s="37" t="str">
        <x:v>SRVNTXT</x:v>
      </x:c>
      <x:c r="D41" s="37" t="n">
        <x:v>12</x:v>
      </x:c>
      <x:c r="E41" s="37" t="str">
        <x:v>CHƯA CÓ GIÁ LẺ</x:v>
      </x:c>
      <x:c r="F41" s="30"/>
      <x:c r="G41" s="37"/>
      <x:c r="H41" s="37"/>
      <x:c r="I41" s="79"/>
      <x:c r="J41" s="37" t="n">
        <x:v>0.568</x:v>
      </x:c>
      <x:c r="K41" s="37" t="str">
        <x:v>Trà Thái xanh/đỏ Cty</x:v>
      </x:c>
      <x:c r="L41" s="59" t="n">
        <x:v>0</x:v>
      </x:c>
      <x:c r="M41" s="75" t="str">
        <x:v>ứng viên gần nhất=Trà Thái xanh thường; score=0.568</x:v>
      </x:c>
    </x:row>
    <x:row r="42">
      <x:c r="A42" s="71" t="str">
        <x:v>VẢI HOÀNG GIA - THÙNG</x:v>
      </x:c>
      <x:c r="B42" s="37" t="str">
        <x:v>VAIHGI</x:v>
      </x:c>
      <x:c r="C42" s="37" t="str">
        <x:v>VAIHGIT</x:v>
      </x:c>
      <x:c r="D42" s="37" t="n">
        <x:v>12</x:v>
      </x:c>
      <x:c r="E42" s="37" t="str">
        <x:v>CHƯA CÓ GIÁ LẺ</x:v>
      </x:c>
      <x:c r="F42" s="30"/>
      <x:c r="G42" s="37"/>
      <x:c r="H42" s="37"/>
      <x:c r="I42" s="79"/>
      <x:c r="J42" s="37" t="n">
        <x:v>0.507</x:v>
      </x:c>
      <x:c r="K42" s="37" t="str">
        <x:v>VẢI LON MOHCI</x:v>
      </x:c>
      <x:c r="L42" s="59" t="n">
        <x:v>340000</x:v>
      </x:c>
      <x:c r="M42" s="75" t="str">
        <x:v>ứng viên gần nhất=VẢI LON THÁI; score=0.507</x:v>
      </x:c>
    </x:row>
    <x:row r="43">
      <x:c r="A43" s="71" t="str">
        <x:v>TC HOÀNG KIM KUNHAN 3KG - THÙNG</x:v>
      </x:c>
      <x:c r="B43" s="37" t="str">
        <x:v>KH3KHK</x:v>
      </x:c>
      <x:c r="C43" s="37" t="str">
        <x:v>KH3KHKT</x:v>
      </x:c>
      <x:c r="D43" s="37" t="n">
        <x:v>6</x:v>
      </x:c>
      <x:c r="E43" s="37" t="str">
        <x:v>CẦN DUYỆT</x:v>
      </x:c>
      <x:c r="F43" s="30" t="str">
        <x:v>TC hoàng kim Duoxian 3kg</x:v>
      </x:c>
      <x:c r="G43" s="37" t="n">
        <x:v>76</x:v>
      </x:c>
      <x:c r="H43" s="37" t="str">
        <x:v>bịch</x:v>
      </x:c>
      <x:c r="I43" s="79" t="n">
        <x:v>94</x:v>
      </x:c>
      <x:c r="J43" s="37" t="n">
        <x:v>0.77</x:v>
      </x:c>
      <x:c r="K43" s="37" t="str">
        <x:v>TC hoàng kim Duoxian 1kg</x:v>
      </x:c>
      <x:c r="L43" s="59" t="n">
        <x:v>465000</x:v>
      </x:c>
      <x:c r="M43" s="75" t="str">
        <x:v>Nguồn chỉ có TC hoàng kim Douxian; không tự ghép sang Kunhan</x:v>
      </x:c>
    </x:row>
    <x:row r="44">
      <x:c r="A44" s="71" t="str">
        <x:v>GTP TRÀ XANH - THÙNG</x:v>
      </x:c>
      <x:c r="B44" s="37" t="str">
        <x:v>GTPTXA</x:v>
      </x:c>
      <x:c r="C44" s="37" t="str">
        <x:v>GTPTXAT</x:v>
      </x:c>
      <x:c r="D44" s="37" t="n">
        <x:v>6</x:v>
      </x:c>
      <x:c r="E44" s="37" t="str">
        <x:v>CHƯA CÓ GIÁ LẺ</x:v>
      </x:c>
      <x:c r="F44" s="30"/>
      <x:c r="G44" s="37"/>
      <x:c r="H44" s="37"/>
      <x:c r="I44" s="79"/>
      <x:c r="J44" s="37" t="n">
        <x:v>0.519</x:v>
      </x:c>
      <x:c r="K44" s="37" t="str">
        <x:v>Hồng Trà GTP 1kg</x:v>
      </x:c>
      <x:c r="L44" s="59" t="n">
        <x:v>0</x:v>
      </x:c>
      <x:c r="M44" s="75" t="str">
        <x:v>ứng viên gần nhất=Trà Thái xanh thường; score=0.519</x:v>
      </x:c>
    </x:row>
    <x:row r="45">
      <x:c r="A45" s="71" t="str">
        <x:v>TRÀ HOA TRÂN NHÁM - THÙNG</x:v>
      </x:c>
      <x:c r="B45" s="37" t="str">
        <x:v>TRHTNH</x:v>
      </x:c>
      <x:c r="C45" s="37" t="str">
        <x:v>TRHTNHT</x:v>
      </x:c>
      <x:c r="D45" s="37" t="n">
        <x:v>20</x:v>
      </x:c>
      <x:c r="E45" s="37" t="str">
        <x:v>CHƯA CÓ GIÁ LẺ</x:v>
      </x:c>
      <x:c r="F45" s="30"/>
      <x:c r="G45" s="37"/>
      <x:c r="H45" s="37"/>
      <x:c r="I45" s="79"/>
      <x:c r="J45" s="37" t="n">
        <x:v>0.416</x:v>
      </x:c>
      <x:c r="K45" s="37" t="str">
        <x:v>TRÀ GẠO RANG ONA</x:v>
      </x:c>
      <x:c r="L45" s="59" t="n">
        <x:v>0</x:v>
      </x:c>
      <x:c r="M45" s="75" t="str">
        <x:v>ứng viên gần nhất=Trà Cozy Hòa tan; score=0.416</x:v>
      </x:c>
    </x:row>
    <x:row r="46">
      <x:c r="A46" s="71" t="str">
        <x:v>TRÀ GẠO LỘC PHÁT - THÙNG</x:v>
      </x:c>
      <x:c r="B46" s="37" t="str">
        <x:v>TRGALP</x:v>
      </x:c>
      <x:c r="C46" s="37" t="str">
        <x:v>TRGALPT</x:v>
      </x:c>
      <x:c r="D46" s="37" t="n">
        <x:v>24</x:v>
      </x:c>
      <x:c r="E46" s="37" t="str">
        <x:v>CHƯA CÓ GIÁ LẺ</x:v>
      </x:c>
      <x:c r="F46" s="30"/>
      <x:c r="G46" s="37"/>
      <x:c r="H46" s="37"/>
      <x:c r="I46" s="79"/>
      <x:c r="J46" s="37" t="n">
        <x:v>0.556</x:v>
      </x:c>
      <x:c r="K46" s="37" t="str">
        <x:v>Trà olong Lộc phát</x:v>
      </x:c>
      <x:c r="L46" s="59" t="n">
        <x:v>0</x:v>
      </x:c>
      <x:c r="M46" s="75" t="str">
        <x:v>ứng viên gần nhất=Trà lài Lộc Phát; score=0.556</x:v>
      </x:c>
    </x:row>
    <x:row r="47">
      <x:c r="A47" s="71" t="str">
        <x:v>TRÀ 9 BÓNG - BAO</x:v>
      </x:c>
      <x:c r="B47" s="37" t="str">
        <x:v>TR9BOG</x:v>
      </x:c>
      <x:c r="C47" s="37" t="str">
        <x:v>TR9BOGT</x:v>
      </x:c>
      <x:c r="D47" s="37" t="n">
        <x:v>50</x:v>
      </x:c>
      <x:c r="E47" s="37" t="str">
        <x:v>CHƯA CÓ GIÁ LẺ</x:v>
      </x:c>
      <x:c r="F47" s="30"/>
      <x:c r="G47" s="37"/>
      <x:c r="H47" s="37"/>
      <x:c r="I47" s="79"/>
      <x:c r="J47" s="37" t="n">
        <x:v>0.566</x:v>
      </x:c>
      <x:c r="K47" s="37" t="str">
        <x:v>Tra olong kinh</x:v>
      </x:c>
      <x:c r="L47" s="59" t="n">
        <x:v>0</x:v>
      </x:c>
      <x:c r="M47" s="75" t="str">
        <x:v>ứng viên gần nhất=Trà đen HT 9 bóng; score=0.566</x:v>
      </x:c>
    </x:row>
    <x:row r="48">
      <x:c r="A48" s="71" t="str">
        <x:v>THÁI ĐỎ BIÊN - THÙNG</x:v>
      </x:c>
      <x:c r="B48" s="37" t="str">
        <x:v>TDOBIE</x:v>
      </x:c>
      <x:c r="C48" s="37" t="str">
        <x:v>TDOBIET</x:v>
      </x:c>
      <x:c r="D48" s="37" t="n">
        <x:v>12</x:v>
      </x:c>
      <x:c r="E48" s="37" t="str">
        <x:v>CHƯA CÓ GIÁ LẺ</x:v>
      </x:c>
      <x:c r="F48" s="30"/>
      <x:c r="G48" s="37"/>
      <x:c r="H48" s="37"/>
      <x:c r="I48" s="79"/>
      <x:c r="J48" s="37" t="n">
        <x:v>0.585</x:v>
      </x:c>
      <x:c r="K48" s="37" t="str">
        <x:v>Trà Thái xanh thường</x:v>
      </x:c>
      <x:c r="L48" s="59" t="n">
        <x:v>0</x:v>
      </x:c>
      <x:c r="M48" s="75" t="str">
        <x:v>ứng viên gần nhất=Trà Thái xanh/đỏ Cty; score=0.585</x:v>
      </x:c>
    </x:row>
    <x:row r="49">
      <x:c r="A49" s="71" t="str">
        <x:v>THẠCH TRỨNG ĐÀO - THÙNG</x:v>
      </x:c>
      <x:c r="B49" s="37" t="str">
        <x:v>TTRDAO</x:v>
      </x:c>
      <x:c r="C49" s="37" t="str">
        <x:v>TTRDAOT</x:v>
      </x:c>
      <x:c r="D49" s="37" t="n">
        <x:v>6</x:v>
      </x:c>
      <x:c r="E49" s="37" t="str">
        <x:v>CHƯA CÓ GIÁ LẺ</x:v>
      </x:c>
      <x:c r="F49" s="30"/>
      <x:c r="G49" s="37"/>
      <x:c r="H49" s="37"/>
      <x:c r="I49" s="79"/>
      <x:c r="J49" s="37" t="n">
        <x:v>0.494</x:v>
      </x:c>
      <x:c r="K49" s="37" t="str">
        <x:v>Flan Mole trứng</x:v>
      </x:c>
      <x:c r="L49" s="59" t="n">
        <x:v>410000</x:v>
      </x:c>
      <x:c r="M49" s="75" t="str">
        <x:v>ứng viên gần nhất=Bánh Bao Trứng; score=0.494</x:v>
      </x:c>
    </x:row>
    <x:row r="50">
      <x:c r="A50" s="71" t="str">
        <x:v>THẠCH TRỨNG 4 MÀU - THÙNG</x:v>
      </x:c>
      <x:c r="B50" s="37" t="str">
        <x:v>TTR4MA</x:v>
      </x:c>
      <x:c r="C50" s="37" t="str">
        <x:v>TTR4MAT</x:v>
      </x:c>
      <x:c r="D50" s="37" t="n">
        <x:v>6</x:v>
      </x:c>
      <x:c r="E50" s="37" t="str">
        <x:v>CHƯA CÓ GIÁ LẺ</x:v>
      </x:c>
      <x:c r="F50" s="30"/>
      <x:c r="G50" s="37"/>
      <x:c r="H50" s="37"/>
      <x:c r="I50" s="79"/>
      <x:c r="J50" s="37" t="n">
        <x:v>0.494</x:v>
      </x:c>
      <x:c r="K50" s="37" t="str">
        <x:v>Flan Mole trứng</x:v>
      </x:c>
      <x:c r="L50" s="59" t="n">
        <x:v>410000</x:v>
      </x:c>
      <x:c r="M50" s="75" t="str">
        <x:v>ứng viên gần nhất=Bánh Bao Trứng; score=0.494</x:v>
      </x:c>
    </x:row>
    <x:row r="51">
      <x:c r="A51" s="71" t="str">
        <x:v>THẠCH TRÁI CÂY 5M NHỎ - THÙNG</x:v>
      </x:c>
      <x:c r="B51" s="37" t="str">
        <x:v>TTC5MN</x:v>
      </x:c>
      <x:c r="C51" s="37" t="str">
        <x:v>TTC5MNT</x:v>
      </x:c>
      <x:c r="D51" s="37" t="n">
        <x:v>6</x:v>
      </x:c>
      <x:c r="E51" s="37" t="str">
        <x:v>CHƯA CÓ GIÁ LẺ</x:v>
      </x:c>
      <x:c r="F51" s="30"/>
      <x:c r="G51" s="37"/>
      <x:c r="H51" s="37"/>
      <x:c r="I51" s="79"/>
      <x:c r="J51" s="37" t="n">
        <x:v>0.418</x:v>
      </x:c>
      <x:c r="K51" s="37" t="str">
        <x:v>Sinh Tố Berrino Nho</x:v>
      </x:c>
      <x:c r="L51" s="59" t="n">
        <x:v>410000</x:v>
      </x:c>
      <x:c r="M51" s="75" t="str">
        <x:v>ứng viên gần nhất=Sinh Tố Gol Nho; score=0.418</x:v>
      </x:c>
    </x:row>
    <x:row r="52">
      <x:c r="A52" s="71" t="str">
        <x:v>THẠCH TRÁI CÂY 3M NHỎ - THÙNG</x:v>
      </x:c>
      <x:c r="B52" s="37" t="str">
        <x:v>TTC3MN</x:v>
      </x:c>
      <x:c r="C52" s="37" t="str">
        <x:v>TTC3MNT</x:v>
      </x:c>
      <x:c r="D52" s="37" t="n">
        <x:v>6</x:v>
      </x:c>
      <x:c r="E52" s="37" t="str">
        <x:v>CHƯA CÓ GIÁ LẺ</x:v>
      </x:c>
      <x:c r="F52" s="30"/>
      <x:c r="G52" s="37"/>
      <x:c r="H52" s="37"/>
      <x:c r="I52" s="79"/>
      <x:c r="J52" s="37" t="n">
        <x:v>0.418</x:v>
      </x:c>
      <x:c r="K52" s="37" t="str">
        <x:v>Sinh Tố Berrino Nho</x:v>
      </x:c>
      <x:c r="L52" s="59" t="n">
        <x:v>410000</x:v>
      </x:c>
      <x:c r="M52" s="75" t="str">
        <x:v>ứng viên gần nhất=Sinh Tố Gol Nho; score=0.418</x:v>
      </x:c>
    </x:row>
    <x:row r="53">
      <x:c r="A53" s="71" t="str">
        <x:v>THẠCH TRÁI CÂY 3M LỚN - THÙNG</x:v>
      </x:c>
      <x:c r="B53" s="37" t="str">
        <x:v>TTC3ML</x:v>
      </x:c>
      <x:c r="C53" s="37" t="str">
        <x:v>TTC3MLT</x:v>
      </x:c>
      <x:c r="D53" s="37" t="n">
        <x:v>6</x:v>
      </x:c>
      <x:c r="E53" s="37" t="str">
        <x:v>CHƯA CÓ GIÁ LẺ</x:v>
      </x:c>
      <x:c r="F53" s="30"/>
      <x:c r="G53" s="37"/>
      <x:c r="H53" s="37"/>
      <x:c r="I53" s="79"/>
      <x:c r="J53" s="37" t="n">
        <x:v>0.068</x:v>
      </x:c>
      <x:c r="K53" s="37" t="str">
        <x:v>Than tre</x:v>
      </x:c>
      <x:c r="L53" s="59" t="n">
        <x:v>410000</x:v>
      </x:c>
      <x:c r="M53" s="75" t="str">
        <x:v>ứng viên gần nhất=Giấm Táo; score=0.068</x:v>
      </x:c>
    </x:row>
    <x:row r="54">
      <x:c r="A54" s="71" t="str">
        <x:v>THẠCH MH THUỶ TINH TRÁI CÂY - THÙNG</x:v>
      </x:c>
      <x:c r="B54" s="37" t="str">
        <x:v>TTTCMH</x:v>
      </x:c>
      <x:c r="C54" s="37" t="str">
        <x:v>TTTCMHT</x:v>
      </x:c>
      <x:c r="D54" s="37" t="n">
        <x:v>8</x:v>
      </x:c>
      <x:c r="E54" s="37" t="str">
        <x:v>CHƯA CÓ GIÁ LẺ</x:v>
      </x:c>
      <x:c r="F54" s="30"/>
      <x:c r="G54" s="37"/>
      <x:c r="H54" s="37"/>
      <x:c r="I54" s="79"/>
      <x:c r="J54" s="37" t="n">
        <x:v>0.428</x:v>
      </x:c>
      <x:c r="K54" s="37" t="str">
        <x:v>Tinh dầu ớt</x:v>
      </x:c>
      <x:c r="L54" s="59" t="n">
        <x:v>330000</x:v>
      </x:c>
      <x:c r="M54" s="75" t="str">
        <x:v>ứng viên gần nhất=Thủy Tinh Hùng Chương; score=0.428</x:v>
      </x:c>
    </x:row>
    <x:row r="55">
      <x:c r="A55" s="71" t="str">
        <x:v>THẠCH TIM 4 MÀU - THÙNG</x:v>
      </x:c>
      <x:c r="B55" s="37" t="str">
        <x:v>TTIM4M</x:v>
      </x:c>
      <x:c r="C55" s="37" t="str">
        <x:v>TTIM4MT</x:v>
      </x:c>
      <x:c r="D55" s="37" t="n">
        <x:v>6</x:v>
      </x:c>
      <x:c r="E55" s="37" t="str">
        <x:v>CHƯA CÓ GIÁ LẺ</x:v>
      </x:c>
      <x:c r="F55" s="30"/>
      <x:c r="G55" s="37"/>
      <x:c r="H55" s="37"/>
      <x:c r="I55" s="79"/>
      <x:c r="J55" s="37" t="n">
        <x:v>0.069</x:v>
      </x:c>
      <x:c r="K55" s="37" t="str">
        <x:v>Hạt Chia</x:v>
      </x:c>
      <x:c r="L55" s="59" t="n">
        <x:v>410000</x:v>
      </x:c>
      <x:c r="M55" s="75" t="str">
        <x:v>ứng viên gần nhất=Giấm Táo; score=0.069</x:v>
      </x:c>
    </x:row>
    <x:row r="56">
      <x:c r="A56" s="71" t="str">
        <x:v>THẠCH SỢI TRẮNG - THÙNG</x:v>
      </x:c>
      <x:c r="B56" s="37" t="str">
        <x:v>TSOITR</x:v>
      </x:c>
      <x:c r="C56" s="37" t="str">
        <x:v>TSOITRT</x:v>
      </x:c>
      <x:c r="D56" s="37" t="n">
        <x:v>6</x:v>
      </x:c>
      <x:c r="E56" s="37" t="str">
        <x:v>CHƯA CÓ GIÁ LẺ</x:v>
      </x:c>
      <x:c r="F56" s="30"/>
      <x:c r="G56" s="37"/>
      <x:c r="H56" s="37"/>
      <x:c r="I56" s="79"/>
      <x:c r="J56" s="37" t="n">
        <x:v>0.464</x:v>
      </x:c>
      <x:c r="K56" s="37" t="str">
        <x:v>3Q Bibi TRĂNG</x:v>
      </x:c>
      <x:c r="L56" s="59" t="n">
        <x:v>0</x:v>
      </x:c>
      <x:c r="M56" s="75" t="str">
        <x:v>ứng viên gần nhất=ong hut trang phi 6/8; score=0.464</x:v>
      </x:c>
    </x:row>
    <x:row r="57">
      <x:c r="A57" s="71" t="str">
        <x:v>THẠCH SỢI HOÀNG KIM - THÙNG</x:v>
      </x:c>
      <x:c r="B57" s="37" t="str">
        <x:v>TSOIHK</x:v>
      </x:c>
      <x:c r="C57" s="37" t="str">
        <x:v>TSOIHKT</x:v>
      </x:c>
      <x:c r="D57" s="37" t="n">
        <x:v>6</x:v>
      </x:c>
      <x:c r="E57" s="37" t="str">
        <x:v>CHƯA CÓ GIÁ LẺ</x:v>
      </x:c>
      <x:c r="F57" s="30"/>
      <x:c r="G57" s="37"/>
      <x:c r="H57" s="37"/>
      <x:c r="I57" s="79"/>
      <x:c r="J57" s="37" t="n">
        <x:v>0.526</x:v>
      </x:c>
      <x:c r="K57" s="37" t="str">
        <x:v>Siro Douxian 2l hoàng kim</x:v>
      </x:c>
      <x:c r="L57" s="59" t="n">
        <x:v>0</x:v>
      </x:c>
      <x:c r="M57" s="75" t="str">
        <x:v>ứng viên gần nhất=TC hoàng kim Duoxian 3kg; score=0.526</x:v>
      </x:c>
    </x:row>
    <x:row r="58">
      <x:c r="A58" s="71" t="str">
        <x:v>THẠCH SOCOLA NHUYỄN - THÙNG</x:v>
      </x:c>
      <x:c r="B58" s="37" t="str">
        <x:v>TSCLNH</x:v>
      </x:c>
      <x:c r="C58" s="37" t="str">
        <x:v>TSCLNHT</x:v>
      </x:c>
      <x:c r="D58" s="37" t="n">
        <x:v>6</x:v>
      </x:c>
      <x:c r="E58" s="37" t="str">
        <x:v>CHƯA CÓ GIÁ LẺ</x:v>
      </x:c>
      <x:c r="F58" s="30"/>
      <x:c r="G58" s="37"/>
      <x:c r="H58" s="37"/>
      <x:c r="I58" s="79"/>
      <x:c r="J58" s="37" t="n">
        <x:v>0.522</x:v>
      </x:c>
      <x:c r="K58" s="37" t="str">
        <x:v>Bột sô bảo anh</x:v>
      </x:c>
      <x:c r="L58" s="59" t="n">
        <x:v>410000</x:v>
      </x:c>
      <x:c r="M58" s="75" t="str">
        <x:v>ứng viên gần nhất=Sốt Gold  SÔ; score=0.522</x:v>
      </x:c>
    </x:row>
    <x:row r="59">
      <x:c r="A59" s="71" t="str">
        <x:v>THẠCH MH NGŨ SẮC - THÙNG</x:v>
      </x:c>
      <x:c r="B59" s="37" t="str">
        <x:v>THNSMH</x:v>
      </x:c>
      <x:c r="C59" s="37" t="str">
        <x:v>THNSMHT</x:v>
      </x:c>
      <x:c r="D59" s="37" t="n">
        <x:v>6</x:v>
      </x:c>
      <x:c r="E59" s="37" t="str">
        <x:v>CHƯA CÓ GIÁ LẺ</x:v>
      </x:c>
      <x:c r="F59" s="30"/>
      <x:c r="G59" s="37"/>
      <x:c r="H59" s="37"/>
      <x:c r="I59" s="79"/>
      <x:c r="J59" s="37" t="n">
        <x:v>0.067</x:v>
      </x:c>
      <x:c r="K59" s="37" t="str">
        <x:v>Giấm Táo</x:v>
      </x:c>
      <x:c r="L59" s="59" t="n">
        <x:v>0</x:v>
      </x:c>
      <x:c r="M59" s="75" t="str">
        <x:v>ứng viên gần nhất=Hạt Chia; score=0.067</x:v>
      </x:c>
    </x:row>
    <x:row r="60">
      <x:c r="A60" s="71" t="str">
        <x:v>THẠCH MÔN NHUYỄN - THÙNG</x:v>
      </x:c>
      <x:c r="B60" s="37" t="str">
        <x:v>TMONNH</x:v>
      </x:c>
      <x:c r="C60" s="37" t="str">
        <x:v>TMONNHT</x:v>
      </x:c>
      <x:c r="D60" s="37" t="n">
        <x:v>6</x:v>
      </x:c>
      <x:c r="E60" s="37" t="str">
        <x:v>CHƯA CÓ GIÁ LẺ</x:v>
      </x:c>
      <x:c r="F60" s="30"/>
      <x:c r="G60" s="37"/>
      <x:c r="H60" s="37"/>
      <x:c r="I60" s="79"/>
      <x:c r="J60" s="37" t="n">
        <x:v>0.511</x:v>
      </x:c>
      <x:c r="K60" s="37" t="str">
        <x:v>Flan Mole MÔN</x:v>
      </x:c>
      <x:c r="L60" s="59" t="n">
        <x:v>410000</x:v>
      </x:c>
      <x:c r="M60" s="75" t="str">
        <x:v>ứng viên gần nhất=Sốt Gold  MÔN; score=0.511</x:v>
      </x:c>
    </x:row>
    <x:row r="61">
      <x:c r="A61" s="71" t="str">
        <x:v>THẠCH MATCHA NHUYỄN - THÙNG</x:v>
      </x:c>
      <x:c r="B61" s="37" t="str">
        <x:v>TMCHAN</x:v>
      </x:c>
      <x:c r="C61" s="37" t="str">
        <x:v>TMCHANT</x:v>
      </x:c>
      <x:c r="D61" s="37" t="n">
        <x:v>6</x:v>
      </x:c>
      <x:c r="E61" s="37" t="str">
        <x:v>CHƯA CÓ GIÁ LẺ</x:v>
      </x:c>
      <x:c r="F61" s="30"/>
      <x:c r="G61" s="37"/>
      <x:c r="H61" s="37"/>
      <x:c r="I61" s="79"/>
      <x:c r="J61" s="37" t="n">
        <x:v>0.533</x:v>
      </x:c>
      <x:c r="K61" s="37" t="str">
        <x:v>Bot matcha cozy</x:v>
      </x:c>
      <x:c r="L61" s="59" t="n">
        <x:v>410000</x:v>
      </x:c>
      <x:c r="M61" s="75" t="str">
        <x:v>ứng viên gần nhất=Sốt Gold Matcha; score=0.533</x:v>
      </x:c>
    </x:row>
    <x:row r="62">
      <x:c r="A62" s="71" t="str">
        <x:v>THẠCH KIM CƯƠNG ĐÀO - THÙNG</x:v>
      </x:c>
      <x:c r="B62" s="37" t="str">
        <x:v>TKCDAO</x:v>
      </x:c>
      <x:c r="C62" s="37" t="str">
        <x:v>TKCDAOT</x:v>
      </x:c>
      <x:c r="D62" s="37" t="n">
        <x:v>6</x:v>
      </x:c>
      <x:c r="E62" s="37" t="str">
        <x:v>CHƯA CÓ GIÁ LẺ</x:v>
      </x:c>
      <x:c r="F62" s="30"/>
      <x:c r="G62" s="37"/>
      <x:c r="H62" s="37"/>
      <x:c r="I62" s="79"/>
      <x:c r="J62" s="37" t="n">
        <x:v>0.425</x:v>
      </x:c>
      <x:c r="K62" s="37" t="str">
        <x:v>Sinh Tố Berrino Đào</x:v>
      </x:c>
      <x:c r="L62" s="59" t="n">
        <x:v>410000</x:v>
      </x:c>
      <x:c r="M62" s="75" t="str">
        <x:v>ứng viên gần nhất=Kim chi; score=0.425</x:v>
      </x:c>
    </x:row>
    <x:row r="63">
      <x:c r="A63" s="71" t="str">
        <x:v>THẠCH KIM CƯƠNG - THÙNG</x:v>
      </x:c>
      <x:c r="B63" s="37" t="str">
        <x:v>THKC4M</x:v>
      </x:c>
      <x:c r="C63" s="37" t="str">
        <x:v>THKC4MT</x:v>
      </x:c>
      <x:c r="D63" s="37" t="n">
        <x:v>6</x:v>
      </x:c>
      <x:c r="E63" s="37" t="str">
        <x:v>CHƯA CÓ GIÁ LẺ</x:v>
      </x:c>
      <x:c r="F63" s="30"/>
      <x:c r="G63" s="37"/>
      <x:c r="H63" s="37"/>
      <x:c r="I63" s="79"/>
      <x:c r="J63" s="37" t="n">
        <x:v>0.432</x:v>
      </x:c>
      <x:c r="K63" s="37" t="str">
        <x:v>SIRO ĐĐ hoàng kim</x:v>
      </x:c>
      <x:c r="L63" s="59" t="n">
        <x:v>410000</x:v>
      </x:c>
      <x:c r="M63" s="75" t="str">
        <x:v>ứng viên gần nhất=Kim chi; score=0.432</x:v>
      </x:c>
    </x:row>
    <x:row r="64">
      <x:c r="A64" s="71" t="str">
        <x:v>THẠCH DX DỪA VẢI - THÙNG</x:v>
      </x:c>
      <x:c r="B64" s="37" t="str">
        <x:v>TDUVAI</x:v>
      </x:c>
      <x:c r="C64" s="37" t="str">
        <x:v>TDUVAIT</x:v>
      </x:c>
      <x:c r="D64" s="37" t="n">
        <x:v>6</x:v>
      </x:c>
      <x:c r="E64" s="37" t="str">
        <x:v>CHƯA CÓ GIÁ LẺ</x:v>
      </x:c>
      <x:c r="F64" s="30"/>
      <x:c r="G64" s="37"/>
      <x:c r="H64" s="37"/>
      <x:c r="I64" s="79"/>
      <x:c r="J64" s="37" t="n">
        <x:v>0.432</x:v>
      </x:c>
      <x:c r="K64" s="37" t="str">
        <x:v>VẢI LON THÁI</x:v>
      </x:c>
      <x:c r="L64" s="59" t="n">
        <x:v>410000</x:v>
      </x:c>
      <x:c r="M64" s="75" t="str">
        <x:v>ứng viên gần nhất=PLAN MOLE DƯA; score=0.432</x:v>
      </x:c>
    </x:row>
    <x:row r="65">
      <x:c r="A65" s="71" t="str">
        <x:v>THẠCH MH DỪA TÁO - THÙNG</x:v>
      </x:c>
      <x:c r="B65" s="37" t="str">
        <x:v>TDTAMH</x:v>
      </x:c>
      <x:c r="C65" s="37" t="str">
        <x:v>TDTAMHT</x:v>
      </x:c>
      <x:c r="D65" s="37" t="n">
        <x:v>8</x:v>
      </x:c>
      <x:c r="E65" s="37" t="str">
        <x:v>CHƯA CÓ GIÁ LẺ</x:v>
      </x:c>
      <x:c r="F65" s="30"/>
      <x:c r="G65" s="37"/>
      <x:c r="H65" s="37"/>
      <x:c r="I65" s="79"/>
      <x:c r="J65" s="37" t="n">
        <x:v>0.47</x:v>
      </x:c>
      <x:c r="K65" s="37" t="str">
        <x:v>PLAN MOLE DƯA</x:v>
      </x:c>
      <x:c r="L65" s="59" t="n">
        <x:v>0</x:v>
      </x:c>
      <x:c r="M65" s="75" t="str">
        <x:v>ứng viên gần nhất=Giấm Táo; score=0.470</x:v>
      </x:c>
    </x:row>
    <x:row r="66">
      <x:c r="A66" s="71" t="str">
        <x:v>THẠCH DX DỪA TÁO - THÙNG</x:v>
      </x:c>
      <x:c r="B66" s="37" t="str">
        <x:v>TDUTAO</x:v>
      </x:c>
      <x:c r="C66" s="37" t="str">
        <x:v>TDUTAOT</x:v>
      </x:c>
      <x:c r="D66" s="37" t="n">
        <x:v>6</x:v>
      </x:c>
      <x:c r="E66" s="37" t="str">
        <x:v>CHƯA CÓ GIÁ LẺ</x:v>
      </x:c>
      <x:c r="F66" s="30"/>
      <x:c r="G66" s="37"/>
      <x:c r="H66" s="37"/>
      <x:c r="I66" s="79"/>
      <x:c r="J66" s="37" t="n">
        <x:v>0.557</x:v>
      </x:c>
      <x:c r="K66" s="37" t="str">
        <x:v>PLAN MOLE DƯA</x:v>
      </x:c>
      <x:c r="L66" s="59" t="n">
        <x:v>410000</x:v>
      </x:c>
      <x:c r="M66" s="75" t="str">
        <x:v>ứng viên gần nhất=Giấm Táo; score=0.557</x:v>
      </x:c>
    </x:row>
    <x:row r="67">
      <x:c r="A67" s="71" t="str">
        <x:v>THẠCH DỪA SỢI LOTUS - THÙNG</x:v>
      </x:c>
      <x:c r="B67" s="37" t="str">
        <x:v>TDSLOT</x:v>
      </x:c>
      <x:c r="C67" s="37" t="str">
        <x:v>TDSLOTT</x:v>
      </x:c>
      <x:c r="D67" s="37" t="n">
        <x:v>10</x:v>
      </x:c>
      <x:c r="E67" s="37" t="str">
        <x:v>CHƯA CÓ GIÁ LẺ</x:v>
      </x:c>
      <x:c r="F67" s="30"/>
      <x:c r="G67" s="37"/>
      <x:c r="H67" s="37"/>
      <x:c r="I67" s="79"/>
      <x:c r="J67" s="37" t="n">
        <x:v>0.432</x:v>
      </x:c>
      <x:c r="K67" s="37" t="str">
        <x:v>Trà dứa sao vàng</x:v>
      </x:c>
      <x:c r="L67" s="59" t="n">
        <x:v>260000</x:v>
      </x:c>
      <x:c r="M67" s="75" t="str">
        <x:v>ứng viên gần nhất=PLAN MOLE DƯA; score=0.432</x:v>
      </x:c>
    </x:row>
    <x:row r="68">
      <x:c r="A68" s="71" t="str">
        <x:v>THẠCH DỪA NGUYÊN VỊ - THÙNG</x:v>
      </x:c>
      <x:c r="B68" s="37" t="str">
        <x:v>TDUANV</x:v>
      </x:c>
      <x:c r="C68" s="37" t="str">
        <x:v>TDUANVT</x:v>
      </x:c>
      <x:c r="D68" s="37" t="n">
        <x:v>6</x:v>
      </x:c>
      <x:c r="E68" s="37" t="str">
        <x:v>CHƯA CÓ GIÁ LẺ</x:v>
      </x:c>
      <x:c r="F68" s="30"/>
      <x:c r="G68" s="37"/>
      <x:c r="H68" s="37"/>
      <x:c r="I68" s="79"/>
      <x:c r="J68" s="37" t="n">
        <x:v>0.471</x:v>
      </x:c>
      <x:c r="K68" s="37" t="str">
        <x:v>Trà sen/LÀI Thái Nguyên</x:v>
      </x:c>
      <x:c r="L68" s="59" t="n">
        <x:v>0</x:v>
      </x:c>
      <x:c r="M68" s="75" t="str">
        <x:v>ứng viên gần nhất=PLAN MOLE DƯA; score=0.471</x:v>
      </x:c>
    </x:row>
    <x:row r="69">
      <x:c r="A69" s="71" t="str">
        <x:v>THẠCH MH DỪA MÔN - THÙNG</x:v>
      </x:c>
      <x:c r="B69" s="37" t="str">
        <x:v>TDMOMH</x:v>
      </x:c>
      <x:c r="C69" s="37" t="str">
        <x:v>TDMOMHT</x:v>
      </x:c>
      <x:c r="D69" s="37" t="n">
        <x:v>8</x:v>
      </x:c>
      <x:c r="E69" s="37" t="str">
        <x:v>CHƯA CÓ GIÁ LẺ</x:v>
      </x:c>
      <x:c r="F69" s="30"/>
      <x:c r="G69" s="37"/>
      <x:c r="H69" s="37"/>
      <x:c r="I69" s="79"/>
      <x:c r="J69" s="37" t="n">
        <x:v>0.481</x:v>
      </x:c>
      <x:c r="K69" s="37" t="str">
        <x:v>PLAN MOLE DƯA</x:v>
      </x:c>
      <x:c r="L69" s="59" t="n">
        <x:v>0</x:v>
      </x:c>
      <x:c r="M69" s="75" t="str">
        <x:v>ứng viên gần nhất=Sốt Gold  MÔN; score=0.481</x:v>
      </x:c>
    </x:row>
    <x:row r="70">
      <x:c r="A70" s="71" t="str">
        <x:v>THẠCH DX DỪA MÔN - THÙNG</x:v>
      </x:c>
      <x:c r="B70" s="37" t="str">
        <x:v>TDUMON</x:v>
      </x:c>
      <x:c r="C70" s="37" t="str">
        <x:v>TDUMONT</x:v>
      </x:c>
      <x:c r="D70" s="37" t="n">
        <x:v>6</x:v>
      </x:c>
      <x:c r="E70" s="37" t="str">
        <x:v>CHƯA CÓ GIÁ LẺ</x:v>
      </x:c>
      <x:c r="F70" s="30"/>
      <x:c r="G70" s="37"/>
      <x:c r="H70" s="37"/>
      <x:c r="I70" s="79"/>
      <x:c r="J70" s="37" t="n">
        <x:v>0.502</x:v>
      </x:c>
      <x:c r="K70" s="37" t="str">
        <x:v>PLAN MOLE DƯA</x:v>
      </x:c>
      <x:c r="L70" s="59" t="n">
        <x:v>410000</x:v>
      </x:c>
      <x:c r="M70" s="75" t="str">
        <x:v>ứng viên gần nhất=Sốt Gold  MÔN; score=0.502</x:v>
      </x:c>
    </x:row>
    <x:row r="71">
      <x:c r="A71" s="71" t="str">
        <x:v>THẠCH DX DỪA ĐÀO - THÙNG</x:v>
      </x:c>
      <x:c r="B71" s="37" t="str">
        <x:v>TDUDAO</x:v>
      </x:c>
      <x:c r="C71" s="37" t="str">
        <x:v>TDUDAOT</x:v>
      </x:c>
      <x:c r="D71" s="37" t="n">
        <x:v>6</x:v>
      </x:c>
      <x:c r="E71" s="37" t="str">
        <x:v>CHƯA CÓ GIÁ LẺ</x:v>
      </x:c>
      <x:c r="F71" s="30"/>
      <x:c r="G71" s="37"/>
      <x:c r="H71" s="37"/>
      <x:c r="I71" s="79"/>
      <x:c r="J71" s="37" t="n">
        <x:v>0.417</x:v>
      </x:c>
      <x:c r="K71" s="37" t="str">
        <x:v>Đào lon Thái</x:v>
      </x:c>
      <x:c r="L71" s="59" t="n">
        <x:v>410000</x:v>
      </x:c>
      <x:c r="M71" s="75" t="str">
        <x:v>ứng viên gần nhất=PLAN MOLE DƯA; score=0.417</x:v>
      </x:c>
    </x:row>
    <x:row r="72">
      <x:c r="A72" s="71" t="str">
        <x:v>THẠCH MH DỪA DƯA VÀNG - THÙNG</x:v>
      </x:c>
      <x:c r="B72" s="37" t="str">
        <x:v>TDDVMH</x:v>
      </x:c>
      <x:c r="C72" s="37" t="str">
        <x:v>TDDVMHT</x:v>
      </x:c>
      <x:c r="D72" s="37" t="n">
        <x:v>8</x:v>
      </x:c>
      <x:c r="E72" s="37" t="str">
        <x:v>CHƯA CÓ GIÁ LẺ</x:v>
      </x:c>
      <x:c r="F72" s="30"/>
      <x:c r="G72" s="37"/>
      <x:c r="H72" s="37"/>
      <x:c r="I72" s="79"/>
      <x:c r="J72" s="37" t="n">
        <x:v>0.597</x:v>
      </x:c>
      <x:c r="K72" s="37" t="str">
        <x:v>PLAN MOLE DƯA</x:v>
      </x:c>
      <x:c r="L72" s="59" t="n">
        <x:v>0</x:v>
      </x:c>
      <x:c r="M72" s="75" t="str">
        <x:v>ứng viên gần nhất=Trà dứa sao vàng; score=0.597</x:v>
      </x:c>
    </x:row>
    <x:row r="73">
      <x:c r="A73" s="71" t="str">
        <x:v>THẠCH DỪA DEDU - THÙNG</x:v>
      </x:c>
      <x:c r="B73" s="37" t="str">
        <x:v>TDDEDU</x:v>
      </x:c>
      <x:c r="C73" s="37" t="str">
        <x:v>TDDEDUT</x:v>
      </x:c>
      <x:c r="D73" s="37" t="n">
        <x:v>12</x:v>
      </x:c>
      <x:c r="E73" s="37" t="str">
        <x:v>CHƯA CÓ GIÁ LẺ</x:v>
      </x:c>
      <x:c r="F73" s="30"/>
      <x:c r="G73" s="37"/>
      <x:c r="H73" s="37"/>
      <x:c r="I73" s="79"/>
      <x:c r="J73" s="37" t="n">
        <x:v>0.471</x:v>
      </x:c>
      <x:c r="K73" s="37" t="str">
        <x:v>Siro Sâm Dứa Vina</x:v>
      </x:c>
      <x:c r="L73" s="59" t="n">
        <x:v>0</x:v>
      </x:c>
      <x:c r="M73" s="75" t="str">
        <x:v>ứng viên gần nhất=PLAN MOLE DƯA; score=0.471</x:v>
      </x:c>
    </x:row>
    <x:row r="74">
      <x:c r="A74" s="71" t="str">
        <x:v>THẠCH MH DỪA DÂU - THÙNG</x:v>
      </x:c>
      <x:c r="B74" s="37" t="str">
        <x:v>TDDAMH</x:v>
      </x:c>
      <x:c r="C74" s="37" t="str">
        <x:v>TDDAMHT</x:v>
      </x:c>
      <x:c r="D74" s="37" t="n">
        <x:v>8</x:v>
      </x:c>
      <x:c r="E74" s="37" t="str">
        <x:v>CHƯA CÓ GIÁ LẺ</x:v>
      </x:c>
      <x:c r="F74" s="30"/>
      <x:c r="G74" s="37"/>
      <x:c r="H74" s="37"/>
      <x:c r="I74" s="79"/>
      <x:c r="J74" s="37" t="n">
        <x:v>0.452</x:v>
      </x:c>
      <x:c r="K74" s="37" t="str">
        <x:v>Flan Mole DÂU</x:v>
      </x:c>
      <x:c r="L74" s="59" t="n">
        <x:v>0</x:v>
      </x:c>
      <x:c r="M74" s="75" t="str">
        <x:v>ứng viên gần nhất=PLAN MOLE DƯA; score=0.452</x:v>
      </x:c>
    </x:row>
    <x:row r="75">
      <x:c r="A75" s="71" t="str">
        <x:v>THẠCH DX DỪA DÂU - THÙNG</x:v>
      </x:c>
      <x:c r="B75" s="37" t="str">
        <x:v>TDUDAU</x:v>
      </x:c>
      <x:c r="C75" s="37" t="str">
        <x:v>TDUDAUT</x:v>
      </x:c>
      <x:c r="D75" s="37" t="n">
        <x:v>6</x:v>
      </x:c>
      <x:c r="E75" s="37" t="str">
        <x:v>CHƯA CÓ GIÁ LẺ</x:v>
      </x:c>
      <x:c r="F75" s="30"/>
      <x:c r="G75" s="37"/>
      <x:c r="H75" s="37"/>
      <x:c r="I75" s="79"/>
      <x:c r="J75" s="37" t="n">
        <x:v>0.422</x:v>
      </x:c>
      <x:c r="K75" s="37" t="str">
        <x:v>Flan Mole DÂU</x:v>
      </x:c>
      <x:c r="L75" s="59" t="n">
        <x:v>410000</x:v>
      </x:c>
      <x:c r="M75" s="75" t="str">
        <x:v>ứng viên gần nhất=PLAN MOLE DƯA; score=0.422</x:v>
      </x:c>
    </x:row>
    <x:row r="76">
      <x:c r="A76" s="71" t="str">
        <x:v>THẠCH DỪA CHANH DÂY - THÙNG</x:v>
      </x:c>
      <x:c r="B76" s="37" t="str">
        <x:v>TDUCDA</x:v>
      </x:c>
      <x:c r="C76" s="37" t="str">
        <x:v>TDUCDAT</x:v>
      </x:c>
      <x:c r="D76" s="37" t="n">
        <x:v>6</x:v>
      </x:c>
      <x:c r="E76" s="37" t="str">
        <x:v>CHƯA CÓ GIÁ LẺ</x:v>
      </x:c>
      <x:c r="F76" s="30"/>
      <x:c r="G76" s="37"/>
      <x:c r="H76" s="37"/>
      <x:c r="I76" s="79"/>
      <x:c r="J76" s="37" t="n">
        <x:v>0.552</x:v>
      </x:c>
      <x:c r="K76" s="37" t="str">
        <x:v>Sinh Tố Berrino Chanh Dây</x:v>
      </x:c>
      <x:c r="L76" s="59" t="n">
        <x:v>410000</x:v>
      </x:c>
      <x:c r="M76" s="75" t="str">
        <x:v>ứng viên gần nhất=Sinh Tố Gold Chanh Dây; score=0.552</x:v>
      </x:c>
    </x:row>
    <x:row r="77">
      <x:c r="A77" s="71" t="str">
        <x:v>THẠCH CẦU VÒNG TRUNG - THÙNG</x:v>
      </x:c>
      <x:c r="B77" s="37" t="str">
        <x:v>TTC5MT</x:v>
      </x:c>
      <x:c r="C77" s="37" t="str">
        <x:v>TTC5MTT</x:v>
      </x:c>
      <x:c r="D77" s="37" t="n">
        <x:v>6</x:v>
      </x:c>
      <x:c r="E77" s="37" t="str">
        <x:v>CHƯA CÓ GIÁ LẺ</x:v>
      </x:c>
      <x:c r="F77" s="30"/>
      <x:c r="G77" s="37"/>
      <x:c r="H77" s="37"/>
      <x:c r="I77" s="79"/>
      <x:c r="J77" s="37" t="n">
        <x:v>0.517</x:v>
      </x:c>
      <x:c r="K77" s="37" t="str">
        <x:v>Flan Mole trứng</x:v>
      </x:c>
      <x:c r="L77" s="59" t="n">
        <x:v>0</x:v>
      </x:c>
      <x:c r="M77" s="75" t="str">
        <x:v>ứng viên gần nhất=Bánh Bao Trứng; score=0.517</x:v>
      </x:c>
    </x:row>
    <x:row r="78">
      <x:c r="A78" s="71" t="str">
        <x:v>THẠCH CAFE HÙNG CHƯƠNG - THÙNG</x:v>
      </x:c>
      <x:c r="B78" s="37" t="str">
        <x:v>THCFHC</x:v>
      </x:c>
      <x:c r="C78" s="37" t="str">
        <x:v>THCFHCT</x:v>
      </x:c>
      <x:c r="D78" s="37" t="n">
        <x:v>6</x:v>
      </x:c>
      <x:c r="E78" s="37" t="str">
        <x:v>CHƯA CÓ GIÁ LẺ</x:v>
      </x:c>
      <x:c r="F78" s="30"/>
      <x:c r="G78" s="37"/>
      <x:c r="H78" s="37"/>
      <x:c r="I78" s="79"/>
      <x:c r="J78" s="37" t="n">
        <x:v>0.624</x:v>
      </x:c>
      <x:c r="K78" s="37" t="str">
        <x:v>Thủy Tinh Hùng Chương</x:v>
      </x:c>
      <x:c r="L78" s="59" t="n">
        <x:v>0</x:v>
      </x:c>
      <x:c r="M78" s="75" t="str">
        <x:v>ứng viên gần nhất=Thạch Hùng Chương jelly; score=0.624</x:v>
      </x:c>
    </x:row>
    <x:row r="79">
      <x:c r="A79" s="71" t="str">
        <x:v>THẠCH CÁ SÂM DỨA - THÙNG</x:v>
      </x:c>
      <x:c r="B79" s="37" t="str">
        <x:v>TCASDU</x:v>
      </x:c>
      <x:c r="C79" s="37" t="str">
        <x:v>TCASDUT</x:v>
      </x:c>
      <x:c r="D79" s="37" t="n">
        <x:v>6</x:v>
      </x:c>
      <x:c r="E79" s="37" t="str">
        <x:v>CHƯA CÓ GIÁ LẺ</x:v>
      </x:c>
      <x:c r="F79" s="30"/>
      <x:c r="G79" s="37"/>
      <x:c r="H79" s="37"/>
      <x:c r="I79" s="79"/>
      <x:c r="J79" s="37" t="n">
        <x:v>0.527</x:v>
      </x:c>
      <x:c r="K79" s="37" t="str">
        <x:v>PLAN MOLE DƯA</x:v>
      </x:c>
      <x:c r="L79" s="59" t="n">
        <x:v>410000</x:v>
      </x:c>
      <x:c r="M79" s="75" t="str">
        <x:v>ứng viên gần nhất=Siro Sâm Dứa Vina; score=0.527</x:v>
      </x:c>
    </x:row>
    <x:row r="80">
      <x:c r="A80" s="71" t="str">
        <x:v>THẠCH CÁ 4 MÀU - THÙNG</x:v>
      </x:c>
      <x:c r="B80" s="37" t="str">
        <x:v>TCA4MA</x:v>
      </x:c>
      <x:c r="C80" s="37" t="str">
        <x:v>TCA4MAT</x:v>
      </x:c>
      <x:c r="D80" s="37" t="n">
        <x:v>6</x:v>
      </x:c>
      <x:c r="E80" s="37" t="str">
        <x:v>CHƯA CÓ GIÁ LẺ</x:v>
      </x:c>
      <x:c r="F80" s="30"/>
      <x:c r="G80" s="37"/>
      <x:c r="H80" s="37"/>
      <x:c r="I80" s="79"/>
      <x:c r="J80" s="37" t="n">
        <x:v>0.434</x:v>
      </x:c>
      <x:c r="K80" s="37" t="str">
        <x:v>Cá Sing</x:v>
      </x:c>
      <x:c r="L80" s="59" t="n">
        <x:v>410000</x:v>
      </x:c>
      <x:c r="M80" s="75" t="str">
        <x:v>ứng viên gần nhất=RAU CÂU CÁ DẺO; score=0.434</x:v>
      </x:c>
    </x:row>
    <x:row r="81">
      <x:c r="A81" s="71" t="str">
        <x:v>THẠCH BI SỮA - THÙNG</x:v>
      </x:c>
      <x:c r="B81" s="37" t="str">
        <x:v>THBISU</x:v>
      </x:c>
      <x:c r="C81" s="37" t="str">
        <x:v>THBISUT</x:v>
      </x:c>
      <x:c r="D81" s="37" t="n">
        <x:v>6</x:v>
      </x:c>
      <x:c r="E81" s="37" t="str">
        <x:v>CHƯA CÓ GIÁ LẺ</x:v>
      </x:c>
      <x:c r="F81" s="30"/>
      <x:c r="G81" s="37"/>
      <x:c r="H81" s="37"/>
      <x:c r="I81" s="79"/>
      <x:c r="J81" s="37" t="n">
        <x:v>0.331</x:v>
      </x:c>
      <x:c r="K81" s="37" t="str">
        <x:v>CỐT bí đao wonderfull</x:v>
      </x:c>
      <x:c r="L81" s="59" t="n">
        <x:v>410000</x:v>
      </x:c>
      <x:c r="M81" s="75" t="str">
        <x:v>ứng viên gần nhất=Bánh sữa tươi; score=0.331</x:v>
      </x:c>
    </x:row>
    <x:row r="82">
      <x:c r="A82" s="71" t="str">
        <x:v>THẠCH BI ĐÀO - THÙNG</x:v>
      </x:c>
      <x:c r="B82" s="37" t="str">
        <x:v>THBIDO</x:v>
      </x:c>
      <x:c r="C82" s="37" t="str">
        <x:v>THBIDOT</x:v>
      </x:c>
      <x:c r="D82" s="37" t="n">
        <x:v>6</x:v>
      </x:c>
      <x:c r="E82" s="37" t="str">
        <x:v>CHƯA CÓ GIÁ LẺ</x:v>
      </x:c>
      <x:c r="F82" s="30"/>
      <x:c r="G82" s="37"/>
      <x:c r="H82" s="37"/>
      <x:c r="I82" s="79"/>
      <x:c r="J82" s="37" t="n">
        <x:v>0.479</x:v>
      </x:c>
      <x:c r="K82" s="37" t="str">
        <x:v>Sinh Tố Berrino Đào</x:v>
      </x:c>
      <x:c r="L82" s="59" t="n">
        <x:v>410000</x:v>
      </x:c>
      <x:c r="M82" s="75" t="str">
        <x:v>ứng viên gần nhất=CỐT bí đao wonderfull; score=0.479</x:v>
      </x:c>
    </x:row>
    <x:row r="83">
      <x:c r="A83" s="71" t="str">
        <x:v>THẠCH BI CAFE - THÙNG</x:v>
      </x:c>
      <x:c r="B83" s="37" t="str">
        <x:v>THBICF</x:v>
      </x:c>
      <x:c r="C83" s="37" t="str">
        <x:v>THBICFT</x:v>
      </x:c>
      <x:c r="D83" s="37" t="n">
        <x:v>6</x:v>
      </x:c>
      <x:c r="E83" s="37" t="str">
        <x:v>CHƯA CÓ GIÁ LẺ</x:v>
      </x:c>
      <x:c r="F83" s="30"/>
      <x:c r="G83" s="37"/>
      <x:c r="H83" s="37"/>
      <x:c r="I83" s="79"/>
      <x:c r="J83" s="37" t="n">
        <x:v>0.357</x:v>
      </x:c>
      <x:c r="K83" s="37" t="str">
        <x:v>CỐT bí đao wonderfull</x:v>
      </x:c>
      <x:c r="L83" s="59" t="n">
        <x:v>410000</x:v>
      </x:c>
      <x:c r="M83" s="75" t="str">
        <x:v>ứng viên gần nhất=Tc Cafe Gia Uy; score=0.357</x:v>
      </x:c>
    </x:row>
    <x:row r="84">
      <x:c r="A84" s="71" t="str">
        <x:v>THẠCH BI 5 MÀU - THÙNG</x:v>
      </x:c>
      <x:c r="B84" s="37" t="str">
        <x:v>THBI5M</x:v>
      </x:c>
      <x:c r="C84" s="37" t="str">
        <x:v>THBI5MT</x:v>
      </x:c>
      <x:c r="D84" s="37" t="n">
        <x:v>6</x:v>
      </x:c>
      <x:c r="E84" s="37" t="str">
        <x:v>CHƯA CÓ GIÁ LẺ</x:v>
      </x:c>
      <x:c r="F84" s="30"/>
      <x:c r="G84" s="37"/>
      <x:c r="H84" s="37"/>
      <x:c r="I84" s="79"/>
      <x:c r="J84" s="37" t="n">
        <x:v>0.297</x:v>
      </x:c>
      <x:c r="K84" s="37" t="str">
        <x:v>Giấm Táo</x:v>
      </x:c>
      <x:c r="L84" s="59" t="n">
        <x:v>410000</x:v>
      </x:c>
      <x:c r="M84" s="75" t="str">
        <x:v>ứng viên gần nhất=CỐT bí đao wonderfull; score=0.297</x:v>
      </x:c>
    </x:row>
    <x:row r="85">
      <x:c r="A85" s="71" t="str">
        <x:v>THẠCH 3D XOÀI LỚN - THÙNG</x:v>
      </x:c>
      <x:c r="B85" s="37" t="str">
        <x:v>3DXOAL</x:v>
      </x:c>
      <x:c r="C85" s="37" t="str">
        <x:v>3DXOALT</x:v>
      </x:c>
      <x:c r="D85" s="37" t="n">
        <x:v>6</x:v>
      </x:c>
      <x:c r="E85" s="37" t="str">
        <x:v>CHƯA CÓ GIÁ LẺ</x:v>
      </x:c>
      <x:c r="F85" s="30"/>
      <x:c r="G85" s="37"/>
      <x:c r="H85" s="37"/>
      <x:c r="I85" s="79"/>
      <x:c r="J85" s="37" t="n">
        <x:v>0.451</x:v>
      </x:c>
      <x:c r="K85" s="37" t="str">
        <x:v>Sinh Tố Gold Xoài</x:v>
      </x:c>
      <x:c r="L85" s="59" t="n">
        <x:v>410000</x:v>
      </x:c>
      <x:c r="M85" s="75" t="str">
        <x:v>ứng viên gần nhất=Sinh Tố Berrino Xoài; score=0.451</x:v>
      </x:c>
    </x:row>
    <x:row r="86">
      <x:c r="A86" s="71" t="str">
        <x:v>THẠCH 3D TRÁI CÂY NHỎ - THÙNG</x:v>
      </x:c>
      <x:c r="B86" s="37" t="str">
        <x:v>3DTCNH</x:v>
      </x:c>
      <x:c r="C86" s="37" t="str">
        <x:v>3DTCNHT</x:v>
      </x:c>
      <x:c r="D86" s="37" t="n">
        <x:v>6</x:v>
      </x:c>
      <x:c r="E86" s="37" t="str">
        <x:v>CHƯA CÓ GIÁ LẺ</x:v>
      </x:c>
      <x:c r="F86" s="30"/>
      <x:c r="G86" s="37"/>
      <x:c r="H86" s="37"/>
      <x:c r="I86" s="79"/>
      <x:c r="J86" s="37" t="n">
        <x:v>0.418</x:v>
      </x:c>
      <x:c r="K86" s="37" t="str">
        <x:v>Sinh Tố Berrino Nho</x:v>
      </x:c>
      <x:c r="L86" s="59" t="n">
        <x:v>410000</x:v>
      </x:c>
      <x:c r="M86" s="75" t="str">
        <x:v>ứng viên gần nhất=Sinh Tố Gol Nho; score=0.418</x:v>
      </x:c>
    </x:row>
    <x:row r="87">
      <x:c r="A87" s="71" t="str">
        <x:v>THẠCH 3D TRÁI CÂY LỚN - THÙNG</x:v>
      </x:c>
      <x:c r="B87" s="37" t="str">
        <x:v>3DTCLN</x:v>
      </x:c>
      <x:c r="C87" s="37" t="str">
        <x:v>3DTCLNT</x:v>
      </x:c>
      <x:c r="D87" s="37" t="n">
        <x:v>6</x:v>
      </x:c>
      <x:c r="E87" s="37" t="str">
        <x:v>CHƯA CÓ GIÁ LẺ</x:v>
      </x:c>
      <x:c r="F87" s="30"/>
      <x:c r="G87" s="37"/>
      <x:c r="H87" s="37"/>
      <x:c r="I87" s="79"/>
      <x:c r="J87" s="37" t="n">
        <x:v>0.067</x:v>
      </x:c>
      <x:c r="K87" s="37" t="str">
        <x:v>Than tre</x:v>
      </x:c>
      <x:c r="L87" s="59" t="n">
        <x:v>410000</x:v>
      </x:c>
      <x:c r="M87" s="75" t="str">
        <x:v>ứng viên gần nhất=Giấm Táo; score=0.067</x:v>
      </x:c>
    </x:row>
    <x:row r="88">
      <x:c r="A88" s="71" t="str">
        <x:v>THẠCH 3D SOCOLA LỚN - THÙNG</x:v>
      </x:c>
      <x:c r="B88" s="37" t="str">
        <x:v>3DSCLL</x:v>
      </x:c>
      <x:c r="C88" s="37" t="str">
        <x:v>3DSCLLT</x:v>
      </x:c>
      <x:c r="D88" s="37" t="n">
        <x:v>6</x:v>
      </x:c>
      <x:c r="E88" s="37" t="str">
        <x:v>CHƯA CÓ GIÁ LẺ</x:v>
      </x:c>
      <x:c r="F88" s="30"/>
      <x:c r="G88" s="37"/>
      <x:c r="H88" s="37"/>
      <x:c r="I88" s="79"/>
      <x:c r="J88" s="37" t="n">
        <x:v>0.5</x:v>
      </x:c>
      <x:c r="K88" s="37" t="str">
        <x:v>Bột sô bảo anh</x:v>
      </x:c>
      <x:c r="L88" s="59" t="n">
        <x:v>410000</x:v>
      </x:c>
      <x:c r="M88" s="75" t="str">
        <x:v>ứng viên gần nhất=Sốt Gold  SÔ; score=0.500</x:v>
      </x:c>
    </x:row>
    <x:row r="89">
      <x:c r="A89" s="71" t="str">
        <x:v>THẠCH 3D MATCHA NHỎ - THÙNG</x:v>
      </x:c>
      <x:c r="B89" s="37" t="str">
        <x:v>3DMATN</x:v>
      </x:c>
      <x:c r="C89" s="37" t="str">
        <x:v>3DMATNT</x:v>
      </x:c>
      <x:c r="D89" s="37" t="n">
        <x:v>6</x:v>
      </x:c>
      <x:c r="E89" s="37" t="str">
        <x:v>CHƯA CÓ GIÁ LẺ</x:v>
      </x:c>
      <x:c r="F89" s="30"/>
      <x:c r="G89" s="37"/>
      <x:c r="H89" s="37"/>
      <x:c r="I89" s="79"/>
      <x:c r="J89" s="37" t="n">
        <x:v>0.524</x:v>
      </x:c>
      <x:c r="K89" s="37" t="str">
        <x:v>Sinh Tố Gol Nho</x:v>
      </x:c>
      <x:c r="L89" s="59" t="n">
        <x:v>410000</x:v>
      </x:c>
      <x:c r="M89" s="75" t="str">
        <x:v>ứng viên gần nhất=Sốt Gold Matcha; score=0.524</x:v>
      </x:c>
    </x:row>
    <x:row r="90">
      <x:c r="A90" s="71" t="str">
        <x:v>THẠCH 3D MATCHA LỚN - THÙNG</x:v>
      </x:c>
      <x:c r="B90" s="37" t="str">
        <x:v>3DMATL</x:v>
      </x:c>
      <x:c r="C90" s="37" t="str">
        <x:v>3DMATLT</x:v>
      </x:c>
      <x:c r="D90" s="37" t="n">
        <x:v>6</x:v>
      </x:c>
      <x:c r="E90" s="37" t="str">
        <x:v>CHƯA CÓ GIÁ LẺ</x:v>
      </x:c>
      <x:c r="F90" s="30"/>
      <x:c r="G90" s="37"/>
      <x:c r="H90" s="37"/>
      <x:c r="I90" s="79"/>
      <x:c r="J90" s="37" t="n">
        <x:v>0.511</x:v>
      </x:c>
      <x:c r="K90" s="37" t="str">
        <x:v>Bot matcha cozy</x:v>
      </x:c>
      <x:c r="L90" s="59" t="n">
        <x:v>410000</x:v>
      </x:c>
      <x:c r="M90" s="75" t="str">
        <x:v>ứng viên gần nhất=Sốt Gold Matcha; score=0.511</x:v>
      </x:c>
    </x:row>
    <x:row r="91">
      <x:c r="A91" s="71" t="str">
        <x:v>THẠCH MH 3D DƯA XANH - THÙNG</x:v>
      </x:c>
      <x:c r="B91" s="37" t="str">
        <x:v>3DMHDX</x:v>
      </x:c>
      <x:c r="C91" s="37" t="str">
        <x:v>3DMHDXT</x:v>
      </x:c>
      <x:c r="D91" s="37" t="n">
        <x:v>8</x:v>
      </x:c>
      <x:c r="E91" s="37" t="str">
        <x:v>CHƯA CÓ GIÁ LẺ</x:v>
      </x:c>
      <x:c r="F91" s="30"/>
      <x:c r="G91" s="37"/>
      <x:c r="H91" s="37"/>
      <x:c r="I91" s="79"/>
      <x:c r="J91" s="37" t="n">
        <x:v>0.455</x:v>
      </x:c>
      <x:c r="K91" s="37" t="str">
        <x:v>Trà Thái xanh thường</x:v>
      </x:c>
      <x:c r="L91" s="59" t="n">
        <x:v>0</x:v>
      </x:c>
      <x:c r="M91" s="75" t="str">
        <x:v>ứng viên gần nhất=PLAN MOLE DƯA; score=0.455</x:v>
      </x:c>
    </x:row>
    <x:row r="92">
      <x:c r="A92" s="71" t="str">
        <x:v>THẠCH MH 3D DƯA VÀNG - THÙNG</x:v>
      </x:c>
      <x:c r="B92" s="37" t="str">
        <x:v>3DMHDV</x:v>
      </x:c>
      <x:c r="C92" s="37" t="str">
        <x:v>3DMHDVT</x:v>
      </x:c>
      <x:c r="D92" s="37" t="n">
        <x:v>8</x:v>
      </x:c>
      <x:c r="E92" s="37" t="str">
        <x:v>CHƯA CÓ GIÁ LẺ</x:v>
      </x:c>
      <x:c r="F92" s="30"/>
      <x:c r="G92" s="37"/>
      <x:c r="H92" s="37"/>
      <x:c r="I92" s="79"/>
      <x:c r="J92" s="37" t="n">
        <x:v>0.592</x:v>
      </x:c>
      <x:c r="K92" s="37" t="str">
        <x:v>PLAN MOLE DƯA</x:v>
      </x:c>
      <x:c r="L92" s="59" t="n">
        <x:v>0</x:v>
      </x:c>
      <x:c r="M92" s="75" t="str">
        <x:v>ứng viên gần nhất=Trà dứa sao vàng; score=0.592</x:v>
      </x:c>
    </x:row>
    <x:row r="93">
      <x:c r="A93" s="71" t="str">
        <x:v>THẠCH 3D DỪA NHỎ - THÙNG</x:v>
      </x:c>
      <x:c r="B93" s="37" t="str">
        <x:v>3DDUAN</x:v>
      </x:c>
      <x:c r="C93" s="37" t="str">
        <x:v>3DDUANT</x:v>
      </x:c>
      <x:c r="D93" s="37" t="n">
        <x:v>6</x:v>
      </x:c>
      <x:c r="E93" s="37" t="str">
        <x:v>CHƯA CÓ GIÁ LẺ</x:v>
      </x:c>
      <x:c r="F93" s="30"/>
      <x:c r="G93" s="37"/>
      <x:c r="H93" s="37"/>
      <x:c r="I93" s="79"/>
      <x:c r="J93" s="37" t="n">
        <x:v>0.432</x:v>
      </x:c>
      <x:c r="K93" s="37" t="str">
        <x:v>Sinh Tố Gol Nho</x:v>
      </x:c>
      <x:c r="L93" s="59" t="n">
        <x:v>410000</x:v>
      </x:c>
      <x:c r="M93" s="75" t="str">
        <x:v>ứng viên gần nhất=PLAN MOLE DƯA; score=0.432</x:v>
      </x:c>
    </x:row>
    <x:row r="94">
      <x:c r="A94" s="71" t="str">
        <x:v>THẠCH MH 3D DỪA - THÙNG</x:v>
      </x:c>
      <x:c r="B94" s="37" t="str">
        <x:v>3DMHDU</x:v>
      </x:c>
      <x:c r="C94" s="37" t="str">
        <x:v>3DMHDUT</x:v>
      </x:c>
      <x:c r="D94" s="37" t="n">
        <x:v>8</x:v>
      </x:c>
      <x:c r="E94" s="37" t="str">
        <x:v>CHƯA CÓ GIÁ LẺ</x:v>
      </x:c>
      <x:c r="F94" s="30"/>
      <x:c r="G94" s="37"/>
      <x:c r="H94" s="37"/>
      <x:c r="I94" s="79"/>
      <x:c r="J94" s="37" t="n">
        <x:v>0.462</x:v>
      </x:c>
      <x:c r="K94" s="37" t="str">
        <x:v>Trà dứa sao vàng</x:v>
      </x:c>
      <x:c r="L94" s="59" t="n">
        <x:v>0</x:v>
      </x:c>
      <x:c r="M94" s="75" t="str">
        <x:v>ứng viên gần nhất=PLAN MOLE DƯA; score=0.462</x:v>
      </x:c>
    </x:row>
    <x:row r="95">
      <x:c r="A95" s="71" t="str">
        <x:v>THẠCH 3D DỪA LỚN - THÙNG</x:v>
      </x:c>
      <x:c r="B95" s="37" t="str">
        <x:v>3DDUAL</x:v>
      </x:c>
      <x:c r="C95" s="37" t="str">
        <x:v>3DDUALT</x:v>
      </x:c>
      <x:c r="D95" s="37" t="n">
        <x:v>6</x:v>
      </x:c>
      <x:c r="E95" s="37" t="str">
        <x:v>CHƯA CÓ GIÁ LẺ</x:v>
      </x:c>
      <x:c r="F95" s="30"/>
      <x:c r="G95" s="37"/>
      <x:c r="H95" s="37"/>
      <x:c r="I95" s="79"/>
      <x:c r="J95" s="37" t="n">
        <x:v>0.441</x:v>
      </x:c>
      <x:c r="K95" s="37" t="str">
        <x:v>Nước cốt dừa thai 1 lit</x:v>
      </x:c>
      <x:c r="L95" s="59" t="n">
        <x:v>410000</x:v>
      </x:c>
      <x:c r="M95" s="75" t="str">
        <x:v>ứng viên gần nhất=PLAN MOLE DƯA; score=0.441</x:v>
      </x:c>
    </x:row>
    <x:row r="96">
      <x:c r="A96" s="71" t="str">
        <x:v>THẠCH MH 3D DÂU - THÙNG</x:v>
      </x:c>
      <x:c r="B96" s="37" t="str">
        <x:v>3DMHDA</x:v>
      </x:c>
      <x:c r="C96" s="37" t="str">
        <x:v>3DMHDAT</x:v>
      </x:c>
      <x:c r="D96" s="37" t="n">
        <x:v>8</x:v>
      </x:c>
      <x:c r="E96" s="37" t="str">
        <x:v>CHƯA CÓ GIÁ LẺ</x:v>
      </x:c>
      <x:c r="F96" s="30"/>
      <x:c r="G96" s="37"/>
      <x:c r="H96" s="37"/>
      <x:c r="I96" s="79"/>
      <x:c r="J96" s="37" t="n">
        <x:v>0.452</x:v>
      </x:c>
      <x:c r="K96" s="37" t="str">
        <x:v>Sinh Tố Gold Dâu</x:v>
      </x:c>
      <x:c r="L96" s="59" t="n">
        <x:v>0</x:v>
      </x:c>
      <x:c r="M96" s="75" t="str">
        <x:v>ứng viên gần nhất=Flan Mole DÂU; score=0.452</x:v>
      </x:c>
    </x:row>
    <x:row r="97">
      <x:c r="A97" s="71" t="str">
        <x:v>THẠCH 3D DÂU LỚN - THÙNG</x:v>
      </x:c>
      <x:c r="B97" s="37" t="str">
        <x:v>3DDAUL</x:v>
      </x:c>
      <x:c r="C97" s="37" t="str">
        <x:v>3DDAULT</x:v>
      </x:c>
      <x:c r="D97" s="37" t="n">
        <x:v>6</x:v>
      </x:c>
      <x:c r="E97" s="37" t="str">
        <x:v>CHƯA CÓ GIÁ LẺ</x:v>
      </x:c>
      <x:c r="F97" s="30"/>
      <x:c r="G97" s="37"/>
      <x:c r="H97" s="37"/>
      <x:c r="I97" s="79"/>
      <x:c r="J97" s="37" t="n">
        <x:v>0.431</x:v>
      </x:c>
      <x:c r="K97" s="37" t="str">
        <x:v>Sinh Tố Gold Dâu</x:v>
      </x:c>
      <x:c r="L97" s="59" t="n">
        <x:v>410000</x:v>
      </x:c>
      <x:c r="M97" s="75" t="str">
        <x:v>ứng viên gần nhất=Flan Mole DÂU; score=0.431</x:v>
      </x:c>
    </x:row>
    <x:row r="98">
      <x:c r="A98" s="71" t="str">
        <x:v>THẠCH MH 3D CỐM - THÙNG</x:v>
      </x:c>
      <x:c r="B98" s="37" t="str">
        <x:v>3DMHCO</x:v>
      </x:c>
      <x:c r="C98" s="37" t="str">
        <x:v>3DMHCOT</x:v>
      </x:c>
      <x:c r="D98" s="37" t="n">
        <x:v>8</x:v>
      </x:c>
      <x:c r="E98" s="37" t="str">
        <x:v>CHƯA CÓ GIÁ LẺ</x:v>
      </x:c>
      <x:c r="F98" s="30"/>
      <x:c r="G98" s="37"/>
      <x:c r="H98" s="37"/>
      <x:c r="I98" s="79"/>
      <x:c r="J98" s="37" t="n">
        <x:v>0.29</x:v>
      </x:c>
      <x:c r="K98" s="37" t="str">
        <x:v>Cốm hồng Thiên Nhiên</x:v>
      </x:c>
      <x:c r="L98" s="59" t="n">
        <x:v>0</x:v>
      </x:c>
      <x:c r="M98" s="75" t="str">
        <x:v>ứng viên gần nhất=Cốm hồng Ongon; score=0.290</x:v>
      </x:c>
    </x:row>
    <x:row r="99">
      <x:c r="A99" s="71" t="str">
        <x:v>THẠCH 3D CAFE LỚN - THÙNG</x:v>
      </x:c>
      <x:c r="B99" s="37" t="str">
        <x:v>3DCFEL</x:v>
      </x:c>
      <x:c r="C99" s="37" t="str">
        <x:v>3DCFELT</x:v>
      </x:c>
      <x:c r="D99" s="37" t="n">
        <x:v>6</x:v>
      </x:c>
      <x:c r="E99" s="37" t="str">
        <x:v>CHƯA CÓ GIÁ LẺ</x:v>
      </x:c>
      <x:c r="F99" s="30"/>
      <x:c r="G99" s="37"/>
      <x:c r="H99" s="37"/>
      <x:c r="I99" s="79"/>
      <x:c r="J99" s="37" t="n">
        <x:v>0.34</x:v>
      </x:c>
      <x:c r="K99" s="37" t="str">
        <x:v>Tc Cafe Gia Uy mini</x:v>
      </x:c>
      <x:c r="L99" s="59" t="n">
        <x:v>410000</x:v>
      </x:c>
      <x:c r="M99" s="75" t="str">
        <x:v>ứng viên gần nhất=Tc Cafe Gia Uy; score=0.340</x:v>
      </x:c>
    </x:row>
    <x:row r="100">
      <x:c r="A100" s="71" t="str">
        <x:v>TƯƠNG HÀN - THÙNG</x:v>
      </x:c>
      <x:c r="B100" s="37" t="str">
        <x:v>TGHANN</x:v>
      </x:c>
      <x:c r="C100" s="37" t="str">
        <x:v>TGHANNT</x:v>
      </x:c>
      <x:c r="D100" s="37" t="n">
        <x:v>14</x:v>
      </x:c>
      <x:c r="E100" s="37" t="str">
        <x:v>CHƯA CÓ GIÁ LẺ</x:v>
      </x:c>
      <x:c r="F100" s="30"/>
      <x:c r="G100" s="37"/>
      <x:c r="H100" s="37"/>
      <x:c r="I100" s="79"/>
      <x:c r="J100" s="37" t="n">
        <x:v>0.322</x:v>
      </x:c>
      <x:c r="K100" s="37" t="str">
        <x:v>Than tre</x:v>
      </x:c>
      <x:c r="L100" s="59" t="n">
        <x:v>840000</x:v>
      </x:c>
      <x:c r="M100" s="75" t="str">
        <x:v>ứng viên gần nhất=Chả cá Hàn Quốc; score=0.322</x:v>
      </x:c>
    </x:row>
    <x:row r="101">
      <x:c r="A101" s="71" t="str">
        <x:v>TCHK 3KG 2.5 - THÙNG</x:v>
      </x:c>
      <x:c r="B101" s="37" t="str">
        <x:v>TCHK35</x:v>
      </x:c>
      <x:c r="C101" s="37" t="str">
        <x:v>TCHK35T</x:v>
      </x:c>
      <x:c r="D101" s="37" t="n">
        <x:v>6</x:v>
      </x:c>
      <x:c r="E101" s="37" t="str">
        <x:v>CHƯA CÓ GIÁ LẺ</x:v>
      </x:c>
      <x:c r="F101" s="30"/>
      <x:c r="G101" s="37"/>
      <x:c r="H101" s="37"/>
      <x:c r="I101" s="79"/>
      <x:c r="J101" s="37" t="n">
        <x:v>0.467</x:v>
      </x:c>
      <x:c r="K101" s="37" t="str">
        <x:v>TC hoàng kim Duoxian 3kg</x:v>
      </x:c>
      <x:c r="L101" s="59" t="n">
        <x:v>555000</x:v>
      </x:c>
      <x:c r="M101" s="75" t="str">
        <x:v>ứng viên gần nhất=TC đường đen Duoxian 3kg; score=0.467</x:v>
      </x:c>
    </x:row>
    <x:row r="102">
      <x:c r="A102" s="71" t="str">
        <x:v>TCHK 3KG 2.2 - THÙNG</x:v>
      </x:c>
      <x:c r="B102" s="37" t="str">
        <x:v>TCHK32</x:v>
      </x:c>
      <x:c r="C102" s="37" t="str">
        <x:v>TCHK32T</x:v>
      </x:c>
      <x:c r="D102" s="37" t="n">
        <x:v>6</x:v>
      </x:c>
      <x:c r="E102" s="37" t="str">
        <x:v>CHƯA CÓ GIÁ LẺ</x:v>
      </x:c>
      <x:c r="F102" s="30"/>
      <x:c r="G102" s="37"/>
      <x:c r="H102" s="37"/>
      <x:c r="I102" s="79"/>
      <x:c r="J102" s="37" t="n">
        <x:v>0.467</x:v>
      </x:c>
      <x:c r="K102" s="37" t="str">
        <x:v>TC hoàng kim Duoxian 3kg</x:v>
      </x:c>
      <x:c r="L102" s="59" t="n">
        <x:v>555000</x:v>
      </x:c>
      <x:c r="M102" s="75" t="str">
        <x:v>ứng viên gần nhất=TC đường đen Duoxian 3kg; score=0.467</x:v>
      </x:c>
    </x:row>
    <x:row r="103">
      <x:c r="A103" s="71" t="str">
        <x:v>TCHK 1KG 2.5 - THÙNG</x:v>
      </x:c>
      <x:c r="B103" s="37" t="str">
        <x:v>TCHK15</x:v>
      </x:c>
      <x:c r="C103" s="37" t="str">
        <x:v>TCHK15T</x:v>
      </x:c>
      <x:c r="D103" s="37" t="n">
        <x:v>18</x:v>
      </x:c>
      <x:c r="E103" s="37" t="str">
        <x:v>CHƯA CÓ GIÁ LẺ</x:v>
      </x:c>
      <x:c r="F103" s="30"/>
      <x:c r="G103" s="37"/>
      <x:c r="H103" s="37"/>
      <x:c r="I103" s="79"/>
      <x:c r="J103" s="37" t="n">
        <x:v>0.437</x:v>
      </x:c>
      <x:c r="K103" s="37" t="str">
        <x:v>TC hoàng kim Duoxian 1kg</x:v>
      </x:c>
      <x:c r="L103" s="59" t="n">
        <x:v>0</x:v>
      </x:c>
      <x:c r="M103" s="75" t="str">
        <x:v>ứng viên gần nhất=TC đường đen Duoxian 1kg; score=0.437</x:v>
      </x:c>
    </x:row>
    <x:row r="104">
      <x:c r="A104" s="71" t="str">
        <x:v>TCHK 1KG 2.2 - THÙNG</x:v>
      </x:c>
      <x:c r="B104" s="37" t="str">
        <x:v>TCHK12</x:v>
      </x:c>
      <x:c r="C104" s="37" t="str">
        <x:v>TCHK12T</x:v>
      </x:c>
      <x:c r="D104" s="37" t="n">
        <x:v>18</x:v>
      </x:c>
      <x:c r="E104" s="37" t="str">
        <x:v>CHƯA CÓ GIÁ LẺ</x:v>
      </x:c>
      <x:c r="F104" s="30"/>
      <x:c r="G104" s="37"/>
      <x:c r="H104" s="37"/>
      <x:c r="I104" s="79"/>
      <x:c r="J104" s="37" t="n">
        <x:v>0.467</x:v>
      </x:c>
      <x:c r="K104" s="37" t="str">
        <x:v>TC hoàng kim Duoxian 1kg</x:v>
      </x:c>
      <x:c r="L104" s="59" t="n">
        <x:v>530000</x:v>
      </x:c>
      <x:c r="M104" s="75" t="str">
        <x:v>ứng viên gần nhất=TC đường đen Duoxian 1kg; score=0.467</x:v>
      </x:c>
    </x:row>
    <x:row r="105">
      <x:c r="A105" s="71" t="str">
        <x:v>TCĐĐ KUNHAN 3KG - THÙNG</x:v>
      </x:c>
      <x:c r="B105" s="37" t="str">
        <x:v>KH3KDD</x:v>
      </x:c>
      <x:c r="C105" s="37" t="str">
        <x:v>KH3KDDT</x:v>
      </x:c>
      <x:c r="D105" s="37" t="n">
        <x:v>6</x:v>
      </x:c>
      <x:c r="E105" s="37" t="str">
        <x:v>CHƯA CÓ GIÁ LẺ</x:v>
      </x:c>
      <x:c r="F105" s="30"/>
      <x:c r="G105" s="37"/>
      <x:c r="H105" s="37"/>
      <x:c r="I105" s="79"/>
      <x:c r="J105" s="37" t="n">
        <x:v>0.396</x:v>
      </x:c>
      <x:c r="K105" s="37" t="str">
        <x:v>TC hoàng kim Duoxian 3kg</x:v>
      </x:c>
      <x:c r="L105" s="59" t="n">
        <x:v>465000</x:v>
      </x:c>
      <x:c r="M105" s="75" t="str">
        <x:v>ứng viên gần nhất=TC đường đen Duoxian 3kg; score=0.396</x:v>
      </x:c>
    </x:row>
    <x:row r="106">
      <x:c r="A106" s="71" t="str">
        <x:v>TCĐĐ KUNHAN 2KG - THÙNG</x:v>
      </x:c>
      <x:c r="B106" s="37" t="str">
        <x:v>KH2KDD</x:v>
      </x:c>
      <x:c r="C106" s="37" t="str">
        <x:v>KH2KDDT</x:v>
      </x:c>
      <x:c r="D106" s="37" t="n">
        <x:v>10</x:v>
      </x:c>
      <x:c r="E106" s="37" t="str">
        <x:v>CHƯA CÓ GIÁ LẺ</x:v>
      </x:c>
      <x:c r="F106" s="30"/>
      <x:c r="G106" s="37"/>
      <x:c r="H106" s="37"/>
      <x:c r="I106" s="79"/>
      <x:c r="J106" s="37" t="n">
        <x:v>0.447</x:v>
      </x:c>
      <x:c r="K106" s="37" t="str">
        <x:v>TC đường đen Duoxian 2kg</x:v>
      </x:c>
      <x:c r="L106" s="59" t="n">
        <x:v>500000</x:v>
      </x:c>
      <x:c r="M106" s="75" t="str">
        <x:v>ứng viên gần nhất=TC đđ Kuhan 2kG; score=0.447</x:v>
      </x:c>
    </x:row>
    <x:row r="107">
      <x:c r="A107" s="71" t="str">
        <x:v>TCĐĐ KUNHAN 1KG - THÙNG</x:v>
      </x:c>
      <x:c r="B107" s="37" t="str">
        <x:v>KH1KDD</x:v>
      </x:c>
      <x:c r="C107" s="37" t="str">
        <x:v>KH1KDDT</x:v>
      </x:c>
      <x:c r="D107" s="37" t="n">
        <x:v>20</x:v>
      </x:c>
      <x:c r="E107" s="37" t="str">
        <x:v>CHƯA CÓ GIÁ LẺ</x:v>
      </x:c>
      <x:c r="F107" s="30"/>
      <x:c r="G107" s="37"/>
      <x:c r="H107" s="37"/>
      <x:c r="I107" s="79"/>
      <x:c r="J107" s="37" t="n">
        <x:v>0.591</x:v>
      </x:c>
      <x:c r="K107" s="37" t="str">
        <x:v>TC đường đen Duoxian 1kg</x:v>
      </x:c>
      <x:c r="L107" s="59" t="n">
        <x:v>460000</x:v>
      </x:c>
      <x:c r="M107" s="75" t="str">
        <x:v>ứng viên gần nhất=TC MINH HANH 1 KG KUNHAN; score=0.591</x:v>
      </x:c>
    </x:row>
    <x:row r="108">
      <x:c r="A108" s="71" t="str">
        <x:v>TC GIA UY ĐƯỜNG ĐEN - THÙNG</x:v>
      </x:c>
      <x:c r="B108" s="37" t="str">
        <x:v>TCDDGU</x:v>
      </x:c>
      <x:c r="C108" s="37" t="str">
        <x:v>TCDDGUT</x:v>
      </x:c>
      <x:c r="D108" s="37" t="n">
        <x:v>10</x:v>
      </x:c>
      <x:c r="E108" s="37" t="str">
        <x:v>CHƯA CÓ GIÁ LẺ</x:v>
      </x:c>
      <x:c r="F108" s="30"/>
      <x:c r="G108" s="37"/>
      <x:c r="H108" s="37"/>
      <x:c r="I108" s="79"/>
      <x:c r="J108" s="37" t="n">
        <x:v>0.407</x:v>
      </x:c>
      <x:c r="K108" s="37" t="str">
        <x:v>Duong den falu</x:v>
      </x:c>
      <x:c r="L108" s="59" t="n">
        <x:v>570000</x:v>
      </x:c>
      <x:c r="M108" s="75" t="str">
        <x:v>ứng viên gần nhất=Đuong den A+; score=0.407</x:v>
      </x:c>
    </x:row>
    <x:row r="109">
      <x:c r="A109" s="71" t="str">
        <x:v>TCĐĐ 3KG 2.5 - THÙNG</x:v>
      </x:c>
      <x:c r="B109" s="37" t="str">
        <x:v>TCDD35</x:v>
      </x:c>
      <x:c r="C109" s="37" t="str">
        <x:v>TCDD35T</x:v>
      </x:c>
      <x:c r="D109" s="37" t="n">
        <x:v>6</x:v>
      </x:c>
      <x:c r="E109" s="37" t="str">
        <x:v>CHƯA CÓ GIÁ LẺ</x:v>
      </x:c>
      <x:c r="F109" s="30"/>
      <x:c r="G109" s="37"/>
      <x:c r="H109" s="37"/>
      <x:c r="I109" s="79"/>
      <x:c r="J109" s="37" t="n">
        <x:v>0.468</x:v>
      </x:c>
      <x:c r="K109" s="37" t="str">
        <x:v>TC hoàng kim Duoxian 3kg</x:v>
      </x:c>
      <x:c r="L109" s="59" t="n">
        <x:v>555000</x:v>
      </x:c>
      <x:c r="M109" s="75" t="str">
        <x:v>ứng viên gần nhất=TC đường đen Duoxian 3kg; score=0.468</x:v>
      </x:c>
    </x:row>
    <x:row r="110">
      <x:c r="A110" s="71" t="str">
        <x:v>TCĐĐ 3KG 2.2 - THÙNG</x:v>
      </x:c>
      <x:c r="B110" s="37" t="str">
        <x:v>TCDD32</x:v>
      </x:c>
      <x:c r="C110" s="37" t="str">
        <x:v>TCDD32T</x:v>
      </x:c>
      <x:c r="D110" s="37" t="n">
        <x:v>6</x:v>
      </x:c>
      <x:c r="E110" s="37" t="str">
        <x:v>CHƯA CÓ GIÁ LẺ</x:v>
      </x:c>
      <x:c r="F110" s="30"/>
      <x:c r="G110" s="37"/>
      <x:c r="H110" s="37"/>
      <x:c r="I110" s="79"/>
      <x:c r="J110" s="37" t="n">
        <x:v>0.468</x:v>
      </x:c>
      <x:c r="K110" s="37" t="str">
        <x:v>TC hoàng kim Duoxian 3kg</x:v>
      </x:c>
      <x:c r="L110" s="59" t="n">
        <x:v>555000</x:v>
      </x:c>
      <x:c r="M110" s="75" t="str">
        <x:v>ứng viên gần nhất=TC đường đen Duoxian 3kg; score=0.468</x:v>
      </x:c>
    </x:row>
    <x:row r="111">
      <x:c r="A111" s="71" t="str">
        <x:v>TCĐĐ 2KG 2.5 - THÙNG</x:v>
      </x:c>
      <x:c r="B111" s="37" t="str">
        <x:v>TCDD25</x:v>
      </x:c>
      <x:c r="C111" s="37" t="str">
        <x:v>TCDD25T</x:v>
      </x:c>
      <x:c r="D111" s="37" t="n">
        <x:v>10</x:v>
      </x:c>
      <x:c r="E111" s="37" t="str">
        <x:v>CHƯA CÓ GIÁ LẺ</x:v>
      </x:c>
      <x:c r="F111" s="30"/>
      <x:c r="G111" s="37"/>
      <x:c r="H111" s="37"/>
      <x:c r="I111" s="79"/>
      <x:c r="J111" s="37" t="n">
        <x:v>0.491</x:v>
      </x:c>
      <x:c r="K111" s="37" t="str">
        <x:v>TC đđ Kuhan 2kG</x:v>
      </x:c>
      <x:c r="L111" s="59" t="n">
        <x:v>530000</x:v>
      </x:c>
      <x:c r="M111" s="75" t="str">
        <x:v>ứng viên gần nhất=TC đường đen Duoxian 2kg; score=0.491</x:v>
      </x:c>
    </x:row>
    <x:row r="112">
      <x:c r="A112" s="71" t="str">
        <x:v>TCĐĐ 2KG 2.2 - THÙNG</x:v>
      </x:c>
      <x:c r="B112" s="37" t="str">
        <x:v>TCDD22</x:v>
      </x:c>
      <x:c r="C112" s="37" t="str">
        <x:v>TCDD22T</x:v>
      </x:c>
      <x:c r="D112" s="37" t="n">
        <x:v>10</x:v>
      </x:c>
      <x:c r="E112" s="37" t="str">
        <x:v>CHƯA CÓ GIÁ LẺ</x:v>
      </x:c>
      <x:c r="F112" s="30"/>
      <x:c r="G112" s="37"/>
      <x:c r="H112" s="37"/>
      <x:c r="I112" s="79"/>
      <x:c r="J112" s="37" t="n">
        <x:v>0.491</x:v>
      </x:c>
      <x:c r="K112" s="37" t="str">
        <x:v>TC đđ Kuhan 2kG</x:v>
      </x:c>
      <x:c r="L112" s="59" t="n">
        <x:v>530000</x:v>
      </x:c>
      <x:c r="M112" s="75" t="str">
        <x:v>ứng viên gần nhất=TC đường đen Duoxian 2kg; score=0.491</x:v>
      </x:c>
    </x:row>
    <x:row r="113">
      <x:c r="A113" s="71" t="str">
        <x:v>TCĐĐ 1KG 2.5 - THÙNG</x:v>
      </x:c>
      <x:c r="B113" s="37" t="str">
        <x:v>TCDD15</x:v>
      </x:c>
      <x:c r="C113" s="37" t="str">
        <x:v>TCDD15T</x:v>
      </x:c>
      <x:c r="D113" s="37" t="n">
        <x:v>18</x:v>
      </x:c>
      <x:c r="E113" s="37" t="str">
        <x:v>CHƯA CÓ GIÁ LẺ</x:v>
      </x:c>
      <x:c r="F113" s="30"/>
      <x:c r="G113" s="37"/>
      <x:c r="H113" s="37"/>
      <x:c r="I113" s="79"/>
      <x:c r="J113" s="37" t="n">
        <x:v>0.468</x:v>
      </x:c>
      <x:c r="K113" s="37" t="str">
        <x:v>TC hoàng kim Duoxian 1kg</x:v>
      </x:c>
      <x:c r="L113" s="59" t="n">
        <x:v>530000</x:v>
      </x:c>
      <x:c r="M113" s="75" t="str">
        <x:v>ứng viên gần nhất=TC đường đen Duoxian 1kg; score=0.468</x:v>
      </x:c>
    </x:row>
    <x:row r="114">
      <x:c r="A114" s="71" t="str">
        <x:v>TCĐĐ 1KG 2.2 - THÙNG</x:v>
      </x:c>
      <x:c r="B114" s="37" t="str">
        <x:v>TCDD12</x:v>
      </x:c>
      <x:c r="C114" s="37" t="str">
        <x:v>TCDD12T</x:v>
      </x:c>
      <x:c r="D114" s="37" t="n">
        <x:v>18</x:v>
      </x:c>
      <x:c r="E114" s="37" t="str">
        <x:v>CHƯA CÓ GIÁ LẺ</x:v>
      </x:c>
      <x:c r="F114" s="30"/>
      <x:c r="G114" s="37"/>
      <x:c r="H114" s="37"/>
      <x:c r="I114" s="79"/>
      <x:c r="J114" s="37" t="n">
        <x:v>0.468</x:v>
      </x:c>
      <x:c r="K114" s="37" t="str">
        <x:v>TC hoàng kim Duoxian 1kg</x:v>
      </x:c>
      <x:c r="L114" s="59" t="n">
        <x:v>530000</x:v>
      </x:c>
      <x:c r="M114" s="75" t="str">
        <x:v>ứng viên gần nhất=TC đường đen Duoxian 1kg; score=0.468</x:v>
      </x:c>
    </x:row>
    <x:row r="115">
      <x:c r="A115" s="71" t="str">
        <x:v>TCĐĐ 1KG 1.0 - THÙNG</x:v>
      </x:c>
      <x:c r="B115" s="37" t="str">
        <x:v>TCDD10</x:v>
      </x:c>
      <x:c r="C115" s="37" t="str">
        <x:v>TCDD10T</x:v>
      </x:c>
      <x:c r="D115" s="37" t="n">
        <x:v>18</x:v>
      </x:c>
      <x:c r="E115" s="37" t="str">
        <x:v>CHƯA CÓ GIÁ LẺ</x:v>
      </x:c>
      <x:c r="F115" s="30"/>
      <x:c r="G115" s="37"/>
      <x:c r="H115" s="37"/>
      <x:c r="I115" s="79"/>
      <x:c r="J115" s="37" t="n">
        <x:v>0.468</x:v>
      </x:c>
      <x:c r="K115" s="37" t="str">
        <x:v>TC hoàng kim Duoxian 1kg</x:v>
      </x:c>
      <x:c r="L115" s="59" t="n">
        <x:v>530000</x:v>
      </x:c>
      <x:c r="M115" s="75" t="str">
        <x:v>ứng viên gần nhất=TC đường đen Duoxian 1kg; score=0.468</x:v>
      </x:c>
    </x:row>
    <x:row r="116">
      <x:c r="A116" s="71" t="str">
        <x:v>TCBN 3KG 2.2 - THÙNG</x:v>
      </x:c>
      <x:c r="B116" s="37" t="str">
        <x:v>TCBN32</x:v>
      </x:c>
      <x:c r="C116" s="37" t="str">
        <x:v>TCBN32T</x:v>
      </x:c>
      <x:c r="D116" s="37" t="n">
        <x:v>6</x:v>
      </x:c>
      <x:c r="E116" s="37" t="str">
        <x:v>CHƯA CÓ GIÁ LẺ</x:v>
      </x:c>
      <x:c r="F116" s="30"/>
      <x:c r="G116" s="37"/>
      <x:c r="H116" s="37"/>
      <x:c r="I116" s="79"/>
      <x:c r="J116" s="37" t="n">
        <x:v>0.436</x:v>
      </x:c>
      <x:c r="K116" s="37" t="str">
        <x:v>TC hoàng kim Duoxian 3kg</x:v>
      </x:c>
      <x:c r="L116" s="59" t="n">
        <x:v>0</x:v>
      </x:c>
      <x:c r="M116" s="75" t="str">
        <x:v>ứng viên gần nhất=TC đường đen Duoxian 3kg; score=0.436</x:v>
      </x:c>
    </x:row>
    <x:row r="117">
      <x:c r="A117" s="71" t="str">
        <x:v>TCBN 1KG 2.5 - THÙNG</x:v>
      </x:c>
      <x:c r="B117" s="37" t="str">
        <x:v>TCBN15</x:v>
      </x:c>
      <x:c r="C117" s="37" t="str">
        <x:v>TCBN15T</x:v>
      </x:c>
      <x:c r="D117" s="37" t="n">
        <x:v>18</x:v>
      </x:c>
      <x:c r="E117" s="37" t="str">
        <x:v>CHƯA CÓ GIÁ LẺ</x:v>
      </x:c>
      <x:c r="F117" s="30"/>
      <x:c r="G117" s="37"/>
      <x:c r="H117" s="37"/>
      <x:c r="I117" s="79"/>
      <x:c r="J117" s="37" t="n">
        <x:v>0.466</x:v>
      </x:c>
      <x:c r="K117" s="37" t="str">
        <x:v>TC hoàng kim Duoxian 1kg</x:v>
      </x:c>
      <x:c r="L117" s="59" t="n">
        <x:v>530000</x:v>
      </x:c>
      <x:c r="M117" s="75" t="str">
        <x:v>ứng viên gần nhất=TC đường đen Duoxian 1kg; score=0.466</x:v>
      </x:c>
    </x:row>
    <x:row r="118">
      <x:c r="A118" s="71" t="str">
        <x:v>TẮC XÍ MUỘI - THÙNG</x:v>
      </x:c>
      <x:c r="B118" s="37" t="str">
        <x:v>TXMUOI</x:v>
      </x:c>
      <x:c r="C118" s="37" t="str">
        <x:v>TXMUOIT</x:v>
      </x:c>
      <x:c r="D118" s="37" t="n">
        <x:v>12</x:v>
      </x:c>
      <x:c r="E118" s="37" t="str">
        <x:v>CHƯA CÓ GIÁ LẺ</x:v>
      </x:c>
      <x:c r="F118" s="30"/>
      <x:c r="G118" s="37"/>
      <x:c r="H118" s="37"/>
      <x:c r="I118" s="79"/>
      <x:c r="J118" s="37" t="n">
        <x:v>0.389</x:v>
      </x:c>
      <x:c r="K118" s="37" t="str">
        <x:v>Ice hot on top</x:v>
      </x:c>
      <x:c r="L118" s="59" t="n">
        <x:v>0</x:v>
      </x:c>
      <x:c r="M118" s="75" t="str">
        <x:v>ứng viên gần nhất=Bột milkfoam muối biển; score=0.389</x:v>
      </x:c>
    </x:row>
    <x:row r="119">
      <x:c r="A119" s="71" t="str">
        <x:v>SỮA THÁI HOA HỒNG - THÙNG</x:v>
      </x:c>
      <x:c r="B119" s="37" t="str">
        <x:v>STHHH</x:v>
      </x:c>
      <x:c r="C119" s="37" t="str">
        <x:v>STHHHT</x:v>
      </x:c>
      <x:c r="D119" s="37" t="n">
        <x:v>48</x:v>
      </x:c>
      <x:c r="E119" s="37" t="str">
        <x:v>CẦN DUYỆT</x:v>
      </x:c>
      <x:c r="F119" s="30" t="str">
        <x:v>Bot Sữa Thái</x:v>
      </x:c>
      <x:c r="G119" s="37" t="n">
        <x:v>142</x:v>
      </x:c>
      <x:c r="H119" s="37" t="str">
        <x:v>bao 25k</x:v>
      </x:c>
      <x:c r="I119" s="79" t="n">
        <x:v>1540</x:v>
      </x:c>
      <x:c r="J119" s="37" t="n">
        <x:v>0.751</x:v>
      </x:c>
      <x:c r="K119" s="37" t="str">
        <x:v>Đào lon Thái</x:v>
      </x:c>
      <x:c r="L119" s="59" t="n">
        <x:v>1010000</x:v>
      </x:c>
      <x:c r="M119" s="75" t="str">
        <x:v>score=0.751; gap=0.357; phương án 2=Đào lon Thái</x:v>
      </x:c>
    </x:row>
    <x:row r="120">
      <x:c r="A120" s="71" t="str">
        <x:v>SỮA RICH - THÙNG</x:v>
      </x:c>
      <x:c r="B120" s="37" t="str">
        <x:v>RICHLN</x:v>
      </x:c>
      <x:c r="C120" s="37" t="str">
        <x:v>RICHLNT</x:v>
      </x:c>
      <x:c r="D120" s="37" t="n">
        <x:v>24</x:v>
      </x:c>
      <x:c r="E120" s="37" t="str">
        <x:v>CHƯA CÓ GIÁ LẺ</x:v>
      </x:c>
      <x:c r="F120" s="30"/>
      <x:c r="G120" s="37"/>
      <x:c r="H120" s="37"/>
      <x:c r="I120" s="79"/>
      <x:c r="J120" s="37" t="n">
        <x:v>0.619</x:v>
      </x:c>
      <x:c r="K120" s="37" t="str">
        <x:v>Bánh sữa tươi</x:v>
      </x:c>
      <x:c r="L120" s="59" t="n">
        <x:v>720000</x:v>
      </x:c>
      <x:c r="M120" s="75" t="str">
        <x:v>ứng viên gần nhất=Rich lun; score=0.619</x:v>
      </x:c>
    </x:row>
    <x:row r="121">
      <x:c r="A121" s="71" t="str">
        <x:v>BỘT SỮA MOTA - THÙNG</x:v>
      </x:c>
      <x:c r="B121" s="37" t="str">
        <x:v>BSMOTA</x:v>
      </x:c>
      <x:c r="C121" s="37" t="str">
        <x:v>BSMOTAT</x:v>
      </x:c>
      <x:c r="D121" s="37" t="n">
        <x:v>12</x:v>
      </x:c>
      <x:c r="E121" s="37" t="str">
        <x:v>CHƯA CÓ GIÁ LẺ</x:v>
      </x:c>
      <x:c r="F121" s="30"/>
      <x:c r="G121" s="37"/>
      <x:c r="H121" s="37"/>
      <x:c r="I121" s="79"/>
      <x:c r="J121" s="37" t="n">
        <x:v>0.33</x:v>
      </x:c>
      <x:c r="K121" s="37" t="str">
        <x:v>Sương sáo đen mota</x:v>
      </x:c>
      <x:c r="L121" s="59" t="n">
        <x:v>762000</x:v>
      </x:c>
      <x:c r="M121" s="75" t="str">
        <x:v>ứng viên gần nhất=Bot matcha SEOUL; score=0.330</x:v>
      </x:c>
    </x:row>
    <x:row r="122">
      <x:c r="A122" s="71" t="str">
        <x:v>SỮA ICE HOT ĐA DỤNG - THÙNG</x:v>
      </x:c>
      <x:c r="B122" s="37" t="str">
        <x:v>ICEHDD</x:v>
      </x:c>
      <x:c r="C122" s="37" t="str">
        <x:v>ICEHDDT</x:v>
      </x:c>
      <x:c r="D122" s="37" t="n">
        <x:v>12</x:v>
      </x:c>
      <x:c r="E122" s="37" t="str">
        <x:v>CHƯA CÓ GIÁ LẺ</x:v>
      </x:c>
      <x:c r="F122" s="30"/>
      <x:c r="G122" s="37"/>
      <x:c r="H122" s="37"/>
      <x:c r="I122" s="79"/>
      <x:c r="J122" s="37" t="n">
        <x:v>0.608</x:v>
      </x:c>
      <x:c r="K122" s="37" t="str">
        <x:v>Ice hot on top</x:v>
      </x:c>
      <x:c r="L122" s="59" t="n">
        <x:v>0</x:v>
      </x:c>
      <x:c r="M122" s="75" t="str">
        <x:v>ứng viên gần nhất=Ice hot lùn; score=0.608</x:v>
      </x:c>
    </x:row>
    <x:row r="123">
      <x:c r="A123" s="71" t="str">
        <x:v>ICEHOT CAO - THÙNG</x:v>
      </x:c>
      <x:c r="B123" s="37" t="str">
        <x:v>ICEHCA</x:v>
      </x:c>
      <x:c r="C123" s="37" t="str">
        <x:v>ICEHCAT</x:v>
      </x:c>
      <x:c r="D123" s="37" t="n">
        <x:v>12</x:v>
      </x:c>
      <x:c r="E123" s="37" t="str">
        <x:v>CHƯA CÓ GIÁ LẺ</x:v>
      </x:c>
      <x:c r="F123" s="30"/>
      <x:c r="G123" s="37"/>
      <x:c r="H123" s="37"/>
      <x:c r="I123" s="79"/>
      <x:c r="J123" s="37" t="n">
        <x:v>0.087</x:v>
      </x:c>
      <x:c r="K123" s="37" t="str">
        <x:v>PHÔ MAI BÒ CƯỜI</x:v>
      </x:c>
      <x:c r="L123" s="59" t="n">
        <x:v>850000</x:v>
      </x:c>
      <x:c r="M123" s="75" t="str">
        <x:v>ứng viên gần nhất=Ice hot on top; score=0.087</x:v>
      </x:c>
    </x:row>
    <x:row r="124">
      <x:c r="A124" s="71" t="str">
        <x:v>SỮA GOLD VÀNG - THÙNG</x:v>
      </x:c>
      <x:c r="B124" s="37" t="str">
        <x:v>GOLDVA</x:v>
      </x:c>
      <x:c r="C124" s="37" t="str">
        <x:v>GOLDVAT</x:v>
      </x:c>
      <x:c r="D124" s="37" t="n">
        <x:v>12</x:v>
      </x:c>
      <x:c r="E124" s="37" t="str">
        <x:v>CHƯA CÓ GIÁ LẺ</x:v>
      </x:c>
      <x:c r="F124" s="30"/>
      <x:c r="G124" s="37"/>
      <x:c r="H124" s="37"/>
      <x:c r="I124" s="79"/>
      <x:c r="J124" s="37" t="n">
        <x:v>0.468</x:v>
      </x:c>
      <x:c r="K124" s="37" t="str">
        <x:v>Sinh Tố Gold ổi</x:v>
      </x:c>
      <x:c r="L124" s="59" t="n">
        <x:v>0</x:v>
      </x:c>
      <x:c r="M124" s="75" t="str">
        <x:v>ứng viên gần nhất=Siro Gold 2l; score=0.468</x:v>
      </x:c>
    </x:row>
    <x:row r="125">
      <x:c r="A125" s="71" t="str">
        <x:v>SỮA ĐẶC NIDO - THÙNG</x:v>
      </x:c>
      <x:c r="B125" s="37" t="str">
        <x:v>SDNIDO</x:v>
      </x:c>
      <x:c r="C125" s="37" t="str">
        <x:v>SDNIDOT</x:v>
      </x:c>
      <x:c r="D125" s="37" t="n">
        <x:v>24</x:v>
      </x:c>
      <x:c r="E125" s="37" t="str">
        <x:v>CHƯA CÓ GIÁ LẺ</x:v>
      </x:c>
      <x:c r="F125" s="30"/>
      <x:c r="G125" s="37"/>
      <x:c r="H125" s="37"/>
      <x:c r="I125" s="79"/>
      <x:c r="J125" s="37" t="n">
        <x:v>0.108</x:v>
      </x:c>
      <x:c r="K125" s="37" t="str">
        <x:v>Sua dac larose nap dut</x:v>
      </x:c>
      <x:c r="L125" s="59" t="n">
        <x:v>970000</x:v>
      </x:c>
      <x:c r="M125" s="75" t="str">
        <x:v>ứng viên gần nhất=Sữa Đặc Nidoo; score=0.108</x:v>
      </x:c>
    </x:row>
    <x:row r="126">
      <x:c r="A126" s="71" t="str">
        <x:v>SỮA CHỮ S VÀNG - THÙNG</x:v>
      </x:c>
      <x:c r="B126" s="37" t="str">
        <x:v>BSSVA</x:v>
      </x:c>
      <x:c r="C126" s="37" t="str">
        <x:v>BSSVAT</x:v>
      </x:c>
      <x:c r="D126" s="37" t="n">
        <x:v>12</x:v>
      </x:c>
      <x:c r="E126" s="37" t="str">
        <x:v>CHƯA CÓ GIÁ LẺ</x:v>
      </x:c>
      <x:c r="F126" s="30"/>
      <x:c r="G126" s="37"/>
      <x:c r="H126" s="37"/>
      <x:c r="I126" s="79"/>
      <x:c r="J126" s="37" t="n">
        <x:v>0.486</x:v>
      </x:c>
      <x:c r="K126" s="37" t="str">
        <x:v>Rau câu Sóc Vàng</x:v>
      </x:c>
      <x:c r="L126" s="59" t="n">
        <x:v>0</x:v>
      </x:c>
      <x:c r="M126" s="75" t="str">
        <x:v>ứng viên gần nhất=Bịch chữ T; score=0.486</x:v>
      </x:c>
    </x:row>
    <x:row r="127">
      <x:c r="A127" s="71" t="str">
        <x:v>SOCOLA HESHEY - THÙNG</x:v>
      </x:c>
      <x:c r="B127" s="37" t="str">
        <x:v>SCLHES</x:v>
      </x:c>
      <x:c r="C127" s="37" t="str">
        <x:v>SCLHEST</x:v>
      </x:c>
      <x:c r="D127" s="37" t="n">
        <x:v>12</x:v>
      </x:c>
      <x:c r="E127" s="37" t="str">
        <x:v>CHƯA CÓ GIÁ LẺ</x:v>
      </x:c>
      <x:c r="F127" s="30"/>
      <x:c r="G127" s="37"/>
      <x:c r="H127" s="37"/>
      <x:c r="I127" s="79"/>
      <x:c r="J127" s="37" t="n">
        <x:v>0.594</x:v>
      </x:c>
      <x:c r="K127" s="37" t="str">
        <x:v>Flan  mota sô</x:v>
      </x:c>
      <x:c r="L127" s="59" t="n">
        <x:v>1836000</x:v>
      </x:c>
      <x:c r="M127" s="75" t="str">
        <x:v>ứng viên gần nhất=Sốt Socola Hershey; score=0.594</x:v>
      </x:c>
    </x:row>
    <x:row r="128">
      <x:c r="A128" s="71" t="str">
        <x:v>SIRO A+ VIỆT QUỐC - THÙNG</x:v>
      </x:c>
      <x:c r="B128" s="37" t="str">
        <x:v>SRAVQU</x:v>
      </x:c>
      <x:c r="C128" s="37" t="str">
        <x:v>SRAVQUT</x:v>
      </x:c>
      <x:c r="D128" s="37" t="n">
        <x:v>24</x:v>
      </x:c>
      <x:c r="E128" s="37" t="str">
        <x:v>CHƯA CÓ GIÁ LẺ</x:v>
      </x:c>
      <x:c r="F128" s="30"/>
      <x:c r="G128" s="37"/>
      <x:c r="H128" s="37"/>
      <x:c r="I128" s="79"/>
      <x:c r="J128" s="37" t="n">
        <x:v>0.051</x:v>
      </x:c>
      <x:c r="K128" s="37" t="str">
        <x:v>Siro Sâm Dứa Vina</x:v>
      </x:c>
      <x:c r="L128" s="59" t="n">
        <x:v>0</x:v>
      </x:c>
      <x:c r="M128" s="75" t="str">
        <x:v>ứng viên gần nhất=Siro Carisa; score=0.051</x:v>
      </x:c>
    </x:row>
    <x:row r="129">
      <x:c r="A129" s="71" t="str">
        <x:v>SIRO VUÔNG VẢI - THÙNG</x:v>
      </x:c>
      <x:c r="B129" s="37" t="str">
        <x:v>SRVAIV</x:v>
      </x:c>
      <x:c r="C129" s="37" t="str">
        <x:v>SRVAIVT</x:v>
      </x:c>
      <x:c r="D129" s="37" t="n">
        <x:v>6</x:v>
      </x:c>
      <x:c r="E129" s="37" t="str">
        <x:v>CHƯA CÓ GIÁ LẺ</x:v>
      </x:c>
      <x:c r="F129" s="30"/>
      <x:c r="G129" s="37"/>
      <x:c r="H129" s="37"/>
      <x:c r="I129" s="79"/>
      <x:c r="J129" s="37" t="n">
        <x:v>0.069</x:v>
      </x:c>
      <x:c r="K129" s="37" t="str">
        <x:v>SIRO ĐĐ hoàng kim</x:v>
      </x:c>
      <x:c r="L129" s="59" t="n">
        <x:v>0</x:v>
      </x:c>
      <x:c r="M129" s="75" t="str">
        <x:v>ứng viên gần nhất=Siro GTP dâu , duong den; score=0.069</x:v>
      </x:c>
    </x:row>
    <x:row r="130">
      <x:c r="A130" s="71" t="str">
        <x:v>SIRO TRÒN VẢI - THÙNG</x:v>
      </x:c>
      <x:c r="B130" s="37" t="str">
        <x:v>SRVAIT</x:v>
      </x:c>
      <x:c r="C130" s="37" t="str">
        <x:v>SRVAITT</x:v>
      </x:c>
      <x:c r="D130" s="37" t="n">
        <x:v>6</x:v>
      </x:c>
      <x:c r="E130" s="37" t="str">
        <x:v>CHƯA CÓ GIÁ LẺ</x:v>
      </x:c>
      <x:c r="F130" s="30"/>
      <x:c r="G130" s="37"/>
      <x:c r="H130" s="37"/>
      <x:c r="I130" s="79"/>
      <x:c r="J130" s="37" t="n">
        <x:v>0.509</x:v>
      </x:c>
      <x:c r="K130" s="37" t="str">
        <x:v>SIRO ĐĐ hoàng kim</x:v>
      </x:c>
      <x:c r="L130" s="59" t="n">
        <x:v>0</x:v>
      </x:c>
      <x:c r="M130" s="75" t="str">
        <x:v>ứng viên gần nhất=Siro Douxian 2l tròn; score=0.509</x:v>
      </x:c>
    </x:row>
    <x:row r="131">
      <x:c r="A131" s="71" t="str">
        <x:v>SIRO A+ VẢI - THÙNG</x:v>
      </x:c>
      <x:c r="B131" s="37" t="str">
        <x:v>SRAVAI</x:v>
      </x:c>
      <x:c r="C131" s="37" t="str">
        <x:v>SRAVAIT</x:v>
      </x:c>
      <x:c r="D131" s="37" t="n">
        <x:v>24</x:v>
      </x:c>
      <x:c r="E131" s="37" t="str">
        <x:v>CHƯA CÓ GIÁ LẺ</x:v>
      </x:c>
      <x:c r="F131" s="30"/>
      <x:c r="G131" s="37"/>
      <x:c r="H131" s="37"/>
      <x:c r="I131" s="79"/>
      <x:c r="J131" s="37" t="n">
        <x:v>0.058</x:v>
      </x:c>
      <x:c r="K131" s="37" t="str">
        <x:v>Siro Sâm Dứa Vina</x:v>
      </x:c>
      <x:c r="L131" s="59" t="n">
        <x:v>0</x:v>
      </x:c>
      <x:c r="M131" s="75" t="str">
        <x:v>ứng viên gần nhất=Siro Carisa; score=0.058</x:v>
      </x:c>
    </x:row>
    <x:row r="132">
      <x:c r="A132" s="71" t="str">
        <x:v>SIRO TRINH MÔN - THÙNG</x:v>
      </x:c>
      <x:c r="B132" s="37" t="str">
        <x:v>SRTRMN</x:v>
      </x:c>
      <x:c r="C132" s="37" t="str">
        <x:v>SRTRMNT</x:v>
      </x:c>
      <x:c r="D132" s="37" t="n">
        <x:v>20</x:v>
      </x:c>
      <x:c r="E132" s="37" t="str">
        <x:v>CHƯA CÓ GIÁ LẺ</x:v>
      </x:c>
      <x:c r="F132" s="30"/>
      <x:c r="G132" s="37"/>
      <x:c r="H132" s="37"/>
      <x:c r="I132" s="79"/>
      <x:c r="J132" s="37" t="n">
        <x:v>0.055</x:v>
      </x:c>
      <x:c r="K132" s="37" t="str">
        <x:v>Siro Torani</x:v>
      </x:c>
      <x:c r="L132" s="59" t="n">
        <x:v>0</x:v>
      </x:c>
      <x:c r="M132" s="75" t="str">
        <x:v>ứng viên gần nhất=Siro Douxian 2l tròn; score=0.055</x:v>
      </x:c>
    </x:row>
    <x:row r="133">
      <x:c r="A133" s="71" t="str">
        <x:v>SIRO VUÔNG TÁO - THÙNG</x:v>
      </x:c>
      <x:c r="B133" s="37" t="str">
        <x:v>SRTAOV</x:v>
      </x:c>
      <x:c r="C133" s="37" t="str">
        <x:v>SRTAOVT</x:v>
      </x:c>
      <x:c r="D133" s="37" t="n">
        <x:v>6</x:v>
      </x:c>
      <x:c r="E133" s="37" t="str">
        <x:v>CHƯA CÓ GIÁ LẺ</x:v>
      </x:c>
      <x:c r="F133" s="30"/>
      <x:c r="G133" s="37"/>
      <x:c r="H133" s="37"/>
      <x:c r="I133" s="79"/>
      <x:c r="J133" s="37" t="n">
        <x:v>0.48</x:v>
      </x:c>
      <x:c r="K133" s="37" t="str">
        <x:v>Siro GTP dâu , duong den</x:v>
      </x:c>
      <x:c r="L133" s="59" t="n">
        <x:v>0</x:v>
      </x:c>
      <x:c r="M133" s="75" t="str">
        <x:v>ứng viên gần nhất=Giấm Táo; score=0.480</x:v>
      </x:c>
    </x:row>
    <x:row r="134">
      <x:c r="A134" s="71" t="str">
        <x:v>SIRO TRÒN SOCOLA - THÙNG</x:v>
      </x:c>
      <x:c r="B134" s="37" t="str">
        <x:v>SRSCLT</x:v>
      </x:c>
      <x:c r="C134" s="37" t="str">
        <x:v>SRSCLTT</x:v>
      </x:c>
      <x:c r="D134" s="37" t="n">
        <x:v>6</x:v>
      </x:c>
      <x:c r="E134" s="37" t="str">
        <x:v>CHƯA CÓ GIÁ LẺ</x:v>
      </x:c>
      <x:c r="F134" s="30"/>
      <x:c r="G134" s="37"/>
      <x:c r="H134" s="37"/>
      <x:c r="I134" s="79"/>
      <x:c r="J134" s="37" t="n">
        <x:v>0.438</x:v>
      </x:c>
      <x:c r="K134" s="37" t="str">
        <x:v>Siro Douxian 2l hoàng kim</x:v>
      </x:c>
      <x:c r="L134" s="59" t="n">
        <x:v>0</x:v>
      </x:c>
      <x:c r="M134" s="75" t="str">
        <x:v>ứng viên gần nhất=Siro Douxian 2l tròn; score=0.438</x:v>
      </x:c>
    </x:row>
    <x:row r="135">
      <x:c r="A135" s="71" t="str">
        <x:v>SIRO A+ SOCOLA - THÙNG</x:v>
      </x:c>
      <x:c r="B135" s="37" t="str">
        <x:v>SRASCL</x:v>
      </x:c>
      <x:c r="C135" s="37" t="str">
        <x:v>SRASCLT</x:v>
      </x:c>
      <x:c r="D135" s="37" t="n">
        <x:v>24</x:v>
      </x:c>
      <x:c r="E135" s="37" t="str">
        <x:v>CHƯA CÓ GIÁ LẺ</x:v>
      </x:c>
      <x:c r="F135" s="30"/>
      <x:c r="G135" s="37"/>
      <x:c r="H135" s="37"/>
      <x:c r="I135" s="79"/>
      <x:c r="J135" s="37" t="n">
        <x:v>0.064</x:v>
      </x:c>
      <x:c r="K135" s="37" t="str">
        <x:v>Siro Sâm Dứa Vina</x:v>
      </x:c>
      <x:c r="L135" s="59" t="n">
        <x:v>0</x:v>
      </x:c>
      <x:c r="M135" s="75" t="str">
        <x:v>ứng viên gần nhất=Siro Carisa; score=0.064</x:v>
      </x:c>
    </x:row>
    <x:row r="136">
      <x:c r="A136" s="71" t="str">
        <x:v>SIRO A+ SÂM DỨA - THÙNG</x:v>
      </x:c>
      <x:c r="B136" s="37" t="str">
        <x:v>SRASDU</x:v>
      </x:c>
      <x:c r="C136" s="37" t="str">
        <x:v>SRASDUT</x:v>
      </x:c>
      <x:c r="D136" s="37" t="n">
        <x:v>24</x:v>
      </x:c>
      <x:c r="E136" s="37" t="str">
        <x:v>CẦN DUYỆT</x:v>
      </x:c>
      <x:c r="F136" s="30" t="str">
        <x:v>Siro Sâm Dứa Vina</x:v>
      </x:c>
      <x:c r="G136" s="37" t="n">
        <x:v>13</x:v>
      </x:c>
      <x:c r="H136" s="37" t="str">
        <x:v>Chai</x:v>
      </x:c>
      <x:c r="I136" s="79" t="n">
        <x:v>25</x:v>
      </x:c>
      <x:c r="J136" s="37" t="n">
        <x:v>0.672</x:v>
      </x:c>
      <x:c r="K136" s="37" t="str">
        <x:v>Siro Carisa</x:v>
      </x:c>
      <x:c r="L136" s="59" t="n">
        <x:v>0</x:v>
      </x:c>
      <x:c r="M136" s="75" t="str">
        <x:v>score=0.672; gap=0.606; phương án 2=Siro Carisa</x:v>
      </x:c>
    </x:row>
    <x:row r="137">
      <x:c r="A137" s="71" t="str">
        <x:v>SIRO A+ MÔN - THÙNG</x:v>
      </x:c>
      <x:c r="B137" s="37" t="str">
        <x:v>SRAMON</x:v>
      </x:c>
      <x:c r="C137" s="37" t="str">
        <x:v>SRAMONT</x:v>
      </x:c>
      <x:c r="D137" s="37" t="n">
        <x:v>24</x:v>
      </x:c>
      <x:c r="E137" s="37" t="str">
        <x:v>CHƯA CÓ GIÁ LẺ</x:v>
      </x:c>
      <x:c r="F137" s="30"/>
      <x:c r="G137" s="37"/>
      <x:c r="H137" s="37"/>
      <x:c r="I137" s="79"/>
      <x:c r="J137" s="37" t="n">
        <x:v>0.053</x:v>
      </x:c>
      <x:c r="K137" s="37" t="str">
        <x:v>Siro Douxian 2l tròn</x:v>
      </x:c>
      <x:c r="L137" s="59" t="n">
        <x:v>0</x:v>
      </x:c>
      <x:c r="M137" s="75" t="str">
        <x:v>ứng viên gần nhất=Siro Sâm Dứa Vina; score=0.053</x:v>
      </x:c>
    </x:row>
    <x:row r="138">
      <x:c r="A138" s="71" t="str">
        <x:v>SIRO MAULIN VẢI - THÙNG</x:v>
      </x:c>
      <x:c r="B138" s="37" t="str">
        <x:v>SRMLVA</x:v>
      </x:c>
      <x:c r="C138" s="37" t="str">
        <x:v>SRMLVAT</x:v>
      </x:c>
      <x:c r="D138" s="37" t="n">
        <x:v>6</x:v>
      </x:c>
      <x:c r="E138" s="37" t="str">
        <x:v>CHƯA CÓ GIÁ LẺ</x:v>
      </x:c>
      <x:c r="F138" s="30"/>
      <x:c r="G138" s="37"/>
      <x:c r="H138" s="37"/>
      <x:c r="I138" s="79"/>
      <x:c r="J138" s="37" t="n">
        <x:v>0.062</x:v>
      </x:c>
      <x:c r="K138" s="37" t="str">
        <x:v>SIRO ĐĐ hoàng kim</x:v>
      </x:c>
      <x:c r="L138" s="59" t="n">
        <x:v>0</x:v>
      </x:c>
      <x:c r="M138" s="75" t="str">
        <x:v>ứng viên gần nhất=Siro Douxian 2l hoàng kim; score=0.062</x:v>
      </x:c>
    </x:row>
    <x:row r="139">
      <x:c r="A139" s="71" t="str">
        <x:v>SIRO MAULIN ĐÀO - THÙNG</x:v>
      </x:c>
      <x:c r="B139" s="37" t="str">
        <x:v>SRMLDO</x:v>
      </x:c>
      <x:c r="C139" s="37" t="str">
        <x:v>SRMLDOT</x:v>
      </x:c>
      <x:c r="D139" s="37" t="n">
        <x:v>6</x:v>
      </x:c>
      <x:c r="E139" s="37" t="str">
        <x:v>CHƯA CÓ GIÁ LẺ</x:v>
      </x:c>
      <x:c r="F139" s="30"/>
      <x:c r="G139" s="37"/>
      <x:c r="H139" s="37"/>
      <x:c r="I139" s="79"/>
      <x:c r="J139" s="37" t="n">
        <x:v>0.19</x:v>
      </x:c>
      <x:c r="K139" s="37" t="str">
        <x:v>Siro Douxian 2l tròn</x:v>
      </x:c>
      <x:c r="L139" s="59" t="n">
        <x:v>0</x:v>
      </x:c>
      <x:c r="M139" s="75" t="str">
        <x:v>ứng viên gần nhất=CỐT bí đao wonderfull; score=0.190</x:v>
      </x:c>
    </x:row>
    <x:row r="140">
      <x:c r="A140" s="71" t="str">
        <x:v>SIRO MAULIN DƯA LƯỚI - THÙNG</x:v>
      </x:c>
      <x:c r="B140" s="37" t="str">
        <x:v>SRMLDL</x:v>
      </x:c>
      <x:c r="C140" s="37" t="str">
        <x:v>SRMLDLT</x:v>
      </x:c>
      <x:c r="D140" s="37" t="n">
        <x:v>6</x:v>
      </x:c>
      <x:c r="E140" s="37" t="str">
        <x:v>CHƯA CÓ GIÁ LẺ</x:v>
      </x:c>
      <x:c r="F140" s="30"/>
      <x:c r="G140" s="37"/>
      <x:c r="H140" s="37"/>
      <x:c r="I140" s="79"/>
      <x:c r="J140" s="37" t="n">
        <x:v>0.353</x:v>
      </x:c>
      <x:c r="K140" s="37" t="str">
        <x:v>SIRO ĐĐ hoàng kim</x:v>
      </x:c>
      <x:c r="L140" s="59" t="n">
        <x:v>0</x:v>
      </x:c>
      <x:c r="M140" s="75" t="str">
        <x:v>ứng viên gần nhất=Siro Sâm Dứa Vina; score=0.353</x:v>
      </x:c>
    </x:row>
    <x:row r="141">
      <x:c r="A141" s="71" t="str">
        <x:v>SIRO MAULIN DÂU - THÙNG</x:v>
      </x:c>
      <x:c r="B141" s="37" t="str">
        <x:v>SRMLDA</x:v>
      </x:c>
      <x:c r="C141" s="37" t="str">
        <x:v>SRMLDAT</x:v>
      </x:c>
      <x:c r="D141" s="37" t="n">
        <x:v>6</x:v>
      </x:c>
      <x:c r="E141" s="37" t="str">
        <x:v>CHƯA CÓ GIÁ LẺ</x:v>
      </x:c>
      <x:c r="F141" s="30"/>
      <x:c r="G141" s="37"/>
      <x:c r="H141" s="37"/>
      <x:c r="I141" s="79"/>
      <x:c r="J141" s="37" t="n">
        <x:v>0.422</x:v>
      </x:c>
      <x:c r="K141" s="37" t="str">
        <x:v>SIRO ĐĐ hoàng kim</x:v>
      </x:c>
      <x:c r="L141" s="59" t="n">
        <x:v>0</x:v>
      </x:c>
      <x:c r="M141" s="75" t="str">
        <x:v>ứng viên gần nhất=Siro GTP dâu , duong den; score=0.422</x:v>
      </x:c>
    </x:row>
    <x:row r="142">
      <x:c r="A142" s="71" t="str">
        <x:v>SIRO MAMA XOÀI - THÙNG</x:v>
      </x:c>
      <x:c r="B142" s="37" t="str">
        <x:v>SRMMXO</x:v>
      </x:c>
      <x:c r="C142" s="37" t="str">
        <x:v>SRMMXOT</x:v>
      </x:c>
      <x:c r="D142" s="37" t="n">
        <x:v>12</x:v>
      </x:c>
      <x:c r="E142" s="37" t="str">
        <x:v>CHƯA CÓ GIÁ LẺ</x:v>
      </x:c>
      <x:c r="F142" s="30"/>
      <x:c r="G142" s="37"/>
      <x:c r="H142" s="37"/>
      <x:c r="I142" s="79"/>
      <x:c r="J142" s="37" t="n">
        <x:v>0.061</x:v>
      </x:c>
      <x:c r="K142" s="37" t="str">
        <x:v>Siro Changthai</x:v>
      </x:c>
      <x:c r="L142" s="59" t="n">
        <x:v>624000</x:v>
      </x:c>
      <x:c r="M142" s="75" t="str">
        <x:v>ứng viên gần nhất=Siro Gold 700ml; score=0.061</x:v>
      </x:c>
    </x:row>
    <x:row r="143">
      <x:c r="A143" s="71" t="str">
        <x:v>SIRO MAMA VỎ CAM - THÙNG</x:v>
      </x:c>
      <x:c r="B143" s="37" t="str">
        <x:v>SRMMVC</x:v>
      </x:c>
      <x:c r="C143" s="37" t="str">
        <x:v>SRMMVCT</x:v>
      </x:c>
      <x:c r="D143" s="37" t="n">
        <x:v>12</x:v>
      </x:c>
      <x:c r="E143" s="37" t="str">
        <x:v>CHƯA CÓ GIÁ LẺ</x:v>
      </x:c>
      <x:c r="F143" s="30"/>
      <x:c r="G143" s="37"/>
      <x:c r="H143" s="37"/>
      <x:c r="I143" s="79"/>
      <x:c r="J143" s="37" t="n">
        <x:v>0.641</x:v>
      </x:c>
      <x:c r="K143" s="37" t="str">
        <x:v>Siro Sâm Dứa Vina</x:v>
      </x:c>
      <x:c r="L143" s="59" t="n">
        <x:v>800000</x:v>
      </x:c>
      <x:c r="M143" s="75" t="str">
        <x:v>ứng viên gần nhất=Siro vỏ cam Gold 700ml; score=0.641</x:v>
      </x:c>
    </x:row>
    <x:row r="144">
      <x:c r="A144" s="71" t="str">
        <x:v>SIRO MAMA VIỆT QUỐC PHÁP - THÙNG</x:v>
      </x:c>
      <x:c r="B144" s="37" t="str">
        <x:v>SRMMVP</x:v>
      </x:c>
      <x:c r="C144" s="37" t="str">
        <x:v>SRMMVPT</x:v>
      </x:c>
      <x:c r="D144" s="37" t="n">
        <x:v>12</x:v>
      </x:c>
      <x:c r="E144" s="37" t="str">
        <x:v>CHƯA CÓ GIÁ LẺ</x:v>
      </x:c>
      <x:c r="F144" s="30"/>
      <x:c r="G144" s="37"/>
      <x:c r="H144" s="37"/>
      <x:c r="I144" s="79"/>
      <x:c r="J144" s="37" t="n">
        <x:v>0.059</x:v>
      </x:c>
      <x:c r="K144" s="37" t="str">
        <x:v>Siro Sâm Dứa Vina</x:v>
      </x:c>
      <x:c r="L144" s="59" t="n">
        <x:v>624000</x:v>
      </x:c>
      <x:c r="M144" s="75" t="str">
        <x:v>ứng viên gần nhất=Siro Changthai; score=0.059</x:v>
      </x:c>
    </x:row>
    <x:row r="145">
      <x:c r="A145" s="71" t="str">
        <x:v>SIRO MAMA TRÀ XANH - THÙNG</x:v>
      </x:c>
      <x:c r="B145" s="37" t="str">
        <x:v>SRMMTX</x:v>
      </x:c>
      <x:c r="C145" s="37" t="str">
        <x:v>SRMMTXT</x:v>
      </x:c>
      <x:c r="D145" s="37" t="n">
        <x:v>12</x:v>
      </x:c>
      <x:c r="E145" s="37" t="str">
        <x:v>CHƯA CÓ GIÁ LẺ</x:v>
      </x:c>
      <x:c r="F145" s="30"/>
      <x:c r="G145" s="37"/>
      <x:c r="H145" s="37"/>
      <x:c r="I145" s="79"/>
      <x:c r="J145" s="37" t="n">
        <x:v>0.578</x:v>
      </x:c>
      <x:c r="K145" s="37" t="str">
        <x:v>Trà Thái xanh/đỏ Cty</x:v>
      </x:c>
      <x:c r="L145" s="59" t="n">
        <x:v>624000</x:v>
      </x:c>
      <x:c r="M145" s="75" t="str">
        <x:v>ứng viên gần nhất=Trà Thái xanh thường; score=0.578</x:v>
      </x:c>
    </x:row>
    <x:row r="146">
      <x:c r="A146" s="71" t="str">
        <x:v>SIRO MAMA TRÀ ĐÀO - THÙNG</x:v>
      </x:c>
      <x:c r="B146" s="37" t="str">
        <x:v>SRMMTD</x:v>
      </x:c>
      <x:c r="C146" s="37" t="str">
        <x:v>SRMMTDT</x:v>
      </x:c>
      <x:c r="D146" s="37" t="n">
        <x:v>12</x:v>
      </x:c>
      <x:c r="E146" s="37" t="str">
        <x:v>CHƯA CÓ GIÁ LẺ</x:v>
      </x:c>
      <x:c r="F146" s="30"/>
      <x:c r="G146" s="37"/>
      <x:c r="H146" s="37"/>
      <x:c r="I146" s="79"/>
      <x:c r="J146" s="37" t="n">
        <x:v>0.339</x:v>
      </x:c>
      <x:c r="K146" s="37" t="str">
        <x:v>CỐT bí đao wonderfull</x:v>
      </x:c>
      <x:c r="L146" s="59" t="n">
        <x:v>624000</x:v>
      </x:c>
      <x:c r="M146" s="75" t="str">
        <x:v>ứng viên gần nhất=Trà đào túi lọc TNB; score=0.339</x:v>
      </x:c>
    </x:row>
    <x:row r="147">
      <x:c r="A147" s="71" t="str">
        <x:v>SIRO MAMA THƠM - THÙNG</x:v>
      </x:c>
      <x:c r="B147" s="37" t="str">
        <x:v>SRMMTH</x:v>
      </x:c>
      <x:c r="C147" s="37" t="str">
        <x:v>SRMMTHT</x:v>
      </x:c>
      <x:c r="D147" s="37" t="n">
        <x:v>12</x:v>
      </x:c>
      <x:c r="E147" s="37" t="str">
        <x:v>CHƯA CÓ GIÁ LẺ</x:v>
      </x:c>
      <x:c r="F147" s="30"/>
      <x:c r="G147" s="37"/>
      <x:c r="H147" s="37"/>
      <x:c r="I147" s="79"/>
      <x:c r="J147" s="37" t="n">
        <x:v>0.061</x:v>
      </x:c>
      <x:c r="K147" s="37" t="str">
        <x:v>Siro Changthai</x:v>
      </x:c>
      <x:c r="L147" s="59" t="n">
        <x:v>624000</x:v>
      </x:c>
      <x:c r="M147" s="75" t="str">
        <x:v>ứng viên gần nhất=Siro Gold 700ml; score=0.061</x:v>
      </x:c>
    </x:row>
    <x:row r="148">
      <x:c r="A148" s="71" t="str">
        <x:v>SIRO MAMA SOCOLA - THÙNG</x:v>
      </x:c>
      <x:c r="B148" s="37" t="str">
        <x:v>SRMMSO</x:v>
      </x:c>
      <x:c r="C148" s="37" t="str">
        <x:v>SRMMSOT</x:v>
      </x:c>
      <x:c r="D148" s="37" t="n">
        <x:v>12</x:v>
      </x:c>
      <x:c r="E148" s="37" t="str">
        <x:v>CHƯA CÓ GIÁ LẺ</x:v>
      </x:c>
      <x:c r="F148" s="30"/>
      <x:c r="G148" s="37"/>
      <x:c r="H148" s="37"/>
      <x:c r="I148" s="79"/>
      <x:c r="J148" s="37" t="n">
        <x:v>0.067</x:v>
      </x:c>
      <x:c r="K148" s="37" t="str">
        <x:v>Siro vỏ cam Gold 700ml</x:v>
      </x:c>
      <x:c r="L148" s="59" t="n">
        <x:v>624000</x:v>
      </x:c>
      <x:c r="M148" s="75" t="str">
        <x:v>ứng viên gần nhất=Siro Gold 700ml; score=0.067</x:v>
      </x:c>
    </x:row>
    <x:row r="149">
      <x:c r="A149" s="71" t="str">
        <x:v>SIRO MAMA SẢ - THÙNG</x:v>
      </x:c>
      <x:c r="B149" s="37" t="str">
        <x:v>SRMMSA</x:v>
      </x:c>
      <x:c r="C149" s="37" t="str">
        <x:v>SRMMSAT</x:v>
      </x:c>
      <x:c r="D149" s="37" t="n">
        <x:v>12</x:v>
      </x:c>
      <x:c r="E149" s="37" t="str">
        <x:v>CHƯA CÓ GIÁ LẺ</x:v>
      </x:c>
      <x:c r="F149" s="30"/>
      <x:c r="G149" s="37"/>
      <x:c r="H149" s="37"/>
      <x:c r="I149" s="79"/>
      <x:c r="J149" s="37" t="n">
        <x:v>0.059</x:v>
      </x:c>
      <x:c r="K149" s="37" t="str">
        <x:v>Siro Gold 700ml</x:v>
      </x:c>
      <x:c r="L149" s="59" t="n">
        <x:v>624000</x:v>
      </x:c>
      <x:c r="M149" s="75" t="str">
        <x:v>ứng viên gần nhất=Siro Sâm Dứa Vina; score=0.059</x:v>
      </x:c>
    </x:row>
    <x:row r="150">
      <x:c r="A150" s="71" t="str">
        <x:v>SIRO MAMA PHÚC BỒN TỬ - THÙNG</x:v>
      </x:c>
      <x:c r="B150" s="37" t="str">
        <x:v>SRMMPB</x:v>
      </x:c>
      <x:c r="C150" s="37" t="str">
        <x:v>SRMMPBT</x:v>
      </x:c>
      <x:c r="D150" s="37" t="n">
        <x:v>12</x:v>
      </x:c>
      <x:c r="E150" s="37" t="str">
        <x:v>CHƯA CÓ GIÁ LẺ</x:v>
      </x:c>
      <x:c r="F150" s="30"/>
      <x:c r="G150" s="37"/>
      <x:c r="H150" s="37"/>
      <x:c r="I150" s="79"/>
      <x:c r="J150" s="37" t="n">
        <x:v>0.051</x:v>
      </x:c>
      <x:c r="K150" s="37" t="str">
        <x:v>Siro Gold 700ml</x:v>
      </x:c>
      <x:c r="L150" s="59" t="n">
        <x:v>624000</x:v>
      </x:c>
      <x:c r="M150" s="75" t="str">
        <x:v>ứng viên gần nhất=Siro Changthai; score=0.051</x:v>
      </x:c>
    </x:row>
    <x:row r="151">
      <x:c r="A151" s="71" t="str">
        <x:v>SIRO MAMA MÃNG CẦU - THÙNG</x:v>
      </x:c>
      <x:c r="B151" s="37" t="str">
        <x:v>SRMMMC</x:v>
      </x:c>
      <x:c r="C151" s="37" t="str">
        <x:v>SRMMMCT</x:v>
      </x:c>
      <x:c r="D151" s="37" t="n">
        <x:v>12</x:v>
      </x:c>
      <x:c r="E151" s="37" t="str">
        <x:v>CHƯA CÓ GIÁ LẺ</x:v>
      </x:c>
      <x:c r="F151" s="30"/>
      <x:c r="G151" s="37"/>
      <x:c r="H151" s="37"/>
      <x:c r="I151" s="79"/>
      <x:c r="J151" s="37" t="n">
        <x:v>0.064</x:v>
      </x:c>
      <x:c r="K151" s="37" t="str">
        <x:v>Siro Sâm Dứa Vina</x:v>
      </x:c>
      <x:c r="L151" s="59" t="n">
        <x:v>624000</x:v>
      </x:c>
      <x:c r="M151" s="75" t="str">
        <x:v>ứng viên gần nhất=Siro Changthai; score=0.064</x:v>
      </x:c>
    </x:row>
    <x:row r="152">
      <x:c r="A152" s="71" t="str">
        <x:v>SIRO MAMA LỰU - THÙNG</x:v>
      </x:c>
      <x:c r="B152" s="37" t="str">
        <x:v>SRMMLU</x:v>
      </x:c>
      <x:c r="C152" s="37" t="str">
        <x:v>SRMMLUT</x:v>
      </x:c>
      <x:c r="D152" s="37" t="n">
        <x:v>12</x:v>
      </x:c>
      <x:c r="E152" s="37" t="str">
        <x:v>CHƯA CÓ GIÁ LẺ</x:v>
      </x:c>
      <x:c r="F152" s="30"/>
      <x:c r="G152" s="37"/>
      <x:c r="H152" s="37"/>
      <x:c r="I152" s="79"/>
      <x:c r="J152" s="37" t="n">
        <x:v>0.063</x:v>
      </x:c>
      <x:c r="K152" s="37" t="str">
        <x:v>Siro Gold 700ml</x:v>
      </x:c>
      <x:c r="L152" s="59" t="n">
        <x:v>624000</x:v>
      </x:c>
      <x:c r="M152" s="75" t="str">
        <x:v>ứng viên gần nhất=Siro Sâm Dứa Vina; score=0.063</x:v>
      </x:c>
    </x:row>
    <x:row r="153">
      <x:c r="A153" s="71" t="str">
        <x:v>SIRO MAMA LÁ DỨA - THÙNG</x:v>
      </x:c>
      <x:c r="B153" s="37" t="str">
        <x:v>SRMMLD</x:v>
      </x:c>
      <x:c r="C153" s="37" t="str">
        <x:v>SRMMLDT</x:v>
      </x:c>
      <x:c r="D153" s="37" t="n">
        <x:v>12</x:v>
      </x:c>
      <x:c r="E153" s="37" t="str">
        <x:v>CHƯA CÓ GIÁ LẺ</x:v>
      </x:c>
      <x:c r="F153" s="30"/>
      <x:c r="G153" s="37"/>
      <x:c r="H153" s="37"/>
      <x:c r="I153" s="79"/>
      <x:c r="J153" s="37" t="n">
        <x:v>0.418</x:v>
      </x:c>
      <x:c r="K153" s="37" t="str">
        <x:v>Lá Rong Biển</x:v>
      </x:c>
      <x:c r="L153" s="59" t="n">
        <x:v>624000</x:v>
      </x:c>
      <x:c r="M153" s="75" t="str">
        <x:v>ứng viên gần nhất=Siro Sâm Dứa Vina; score=0.418</x:v>
      </x:c>
    </x:row>
    <x:row r="154">
      <x:c r="A154" s="71" t="str">
        <x:v>SIRO MAMA KIWI - THÙNG</x:v>
      </x:c>
      <x:c r="B154" s="37" t="str">
        <x:v>SRMMKW</x:v>
      </x:c>
      <x:c r="C154" s="37" t="str">
        <x:v>SRMMKWT</x:v>
      </x:c>
      <x:c r="D154" s="37" t="n">
        <x:v>12</x:v>
      </x:c>
      <x:c r="E154" s="37" t="str">
        <x:v>CHƯA CÓ GIÁ LẺ</x:v>
      </x:c>
      <x:c r="F154" s="30"/>
      <x:c r="G154" s="37"/>
      <x:c r="H154" s="37"/>
      <x:c r="I154" s="79"/>
      <x:c r="J154" s="37" t="n">
        <x:v>0.059</x:v>
      </x:c>
      <x:c r="K154" s="37" t="str">
        <x:v>Siro Sâm Dứa Vina</x:v>
      </x:c>
      <x:c r="L154" s="59" t="n">
        <x:v>624000</x:v>
      </x:c>
      <x:c r="M154" s="75" t="str">
        <x:v>ứng viên gần nhất=Siro Thái PIXE; score=0.059</x:v>
      </x:c>
    </x:row>
    <x:row r="155">
      <x:c r="A155" s="71" t="str">
        <x:v>SIRO MAMA HOA HỒNG - THÙNG</x:v>
      </x:c>
      <x:c r="B155" s="37" t="str">
        <x:v>SRMMHH</x:v>
      </x:c>
      <x:c r="C155" s="37" t="str">
        <x:v>SRMMHHT</x:v>
      </x:c>
      <x:c r="D155" s="37" t="n">
        <x:v>12</x:v>
      </x:c>
      <x:c r="E155" s="37" t="str">
        <x:v>CHƯA CÓ GIÁ LẺ</x:v>
      </x:c>
      <x:c r="F155" s="30"/>
      <x:c r="G155" s="37"/>
      <x:c r="H155" s="37"/>
      <x:c r="I155" s="79"/>
      <x:c r="J155" s="37" t="n">
        <x:v>0.071</x:v>
      </x:c>
      <x:c r="K155" s="37" t="str">
        <x:v>Siro Thái DINGFONG</x:v>
      </x:c>
      <x:c r="L155" s="59" t="n">
        <x:v>624000</x:v>
      </x:c>
      <x:c r="M155" s="75" t="str">
        <x:v>ứng viên gần nhất=Siro Changthai; score=0.071</x:v>
      </x:c>
    </x:row>
    <x:row r="156">
      <x:c r="A156" s="71" t="str">
        <x:v>SIRO MAMA DƯA HẤU - THÙNG</x:v>
      </x:c>
      <x:c r="B156" s="37" t="str">
        <x:v>SRMMDH</x:v>
      </x:c>
      <x:c r="C156" s="37" t="str">
        <x:v>SRMMDHT</x:v>
      </x:c>
      <x:c r="D156" s="37" t="n">
        <x:v>12</x:v>
      </x:c>
      <x:c r="E156" s="37" t="str">
        <x:v>CHƯA CÓ GIÁ LẺ</x:v>
      </x:c>
      <x:c r="F156" s="30"/>
      <x:c r="G156" s="37"/>
      <x:c r="H156" s="37"/>
      <x:c r="I156" s="79"/>
      <x:c r="J156" s="37" t="n">
        <x:v>0.423</x:v>
      </x:c>
      <x:c r="K156" s="37" t="str">
        <x:v>Siro Changthai</x:v>
      </x:c>
      <x:c r="L156" s="59" t="n">
        <x:v>624000</x:v>
      </x:c>
      <x:c r="M156" s="75" t="str">
        <x:v>ứng viên gần nhất=Siro Sâm Dứa Vina; score=0.423</x:v>
      </x:c>
    </x:row>
    <x:row r="157">
      <x:c r="A157" s="71" t="str">
        <x:v>SIRO MAMA CHANH DÂY - THÙNG</x:v>
      </x:c>
      <x:c r="B157" s="37" t="str">
        <x:v>SRMMCD</x:v>
      </x:c>
      <x:c r="C157" s="37" t="str">
        <x:v>SRMMCDT</x:v>
      </x:c>
      <x:c r="D157" s="37" t="n">
        <x:v>12</x:v>
      </x:c>
      <x:c r="E157" s="37" t="str">
        <x:v>CHƯA CÓ GIÁ LẺ</x:v>
      </x:c>
      <x:c r="F157" s="30"/>
      <x:c r="G157" s="37"/>
      <x:c r="H157" s="37"/>
      <x:c r="I157" s="79"/>
      <x:c r="J157" s="37" t="n">
        <x:v>0.08</x:v>
      </x:c>
      <x:c r="K157" s="37" t="str">
        <x:v>Siro Sâm Dứa Vina</x:v>
      </x:c>
      <x:c r="L157" s="59" t="n">
        <x:v>624000</x:v>
      </x:c>
      <x:c r="M157" s="75" t="str">
        <x:v>ứng viên gần nhất=Siro Changthai; score=0.080</x:v>
      </x:c>
    </x:row>
    <x:row r="158">
      <x:c r="A158" s="71" t="str">
        <x:v>SIRO MAMA CHANH - THÙNG</x:v>
      </x:c>
      <x:c r="B158" s="37" t="str">
        <x:v>SRMMCH</x:v>
      </x:c>
      <x:c r="C158" s="37" t="str">
        <x:v>SRMMCHT</x:v>
      </x:c>
      <x:c r="D158" s="37" t="n">
        <x:v>12</x:v>
      </x:c>
      <x:c r="E158" s="37" t="str">
        <x:v>CHƯA CÓ GIÁ LẺ</x:v>
      </x:c>
      <x:c r="F158" s="30"/>
      <x:c r="G158" s="37"/>
      <x:c r="H158" s="37"/>
      <x:c r="I158" s="79"/>
      <x:c r="J158" s="37" t="n">
        <x:v>0.085</x:v>
      </x:c>
      <x:c r="K158" s="37" t="str">
        <x:v>Siro Sâm Dứa Vina</x:v>
      </x:c>
      <x:c r="L158" s="59" t="n">
        <x:v>624000</x:v>
      </x:c>
      <x:c r="M158" s="75" t="str">
        <x:v>ứng viên gần nhất=Siro Changthai; score=0.085</x:v>
      </x:c>
    </x:row>
    <x:row r="159">
      <x:c r="A159" s="71" t="str">
        <x:v>SIRO MAMA CARAMEN - THÙNG</x:v>
      </x:c>
      <x:c r="B159" s="37" t="str">
        <x:v>SRMMCR</x:v>
      </x:c>
      <x:c r="C159" s="37" t="str">
        <x:v>SRMMCRT</x:v>
      </x:c>
      <x:c r="D159" s="37" t="n">
        <x:v>12</x:v>
      </x:c>
      <x:c r="E159" s="37" t="str">
        <x:v>CHƯA CÓ GIÁ LẺ</x:v>
      </x:c>
      <x:c r="F159" s="30"/>
      <x:c r="G159" s="37"/>
      <x:c r="H159" s="37"/>
      <x:c r="I159" s="79"/>
      <x:c r="J159" s="37" t="n">
        <x:v>0.065</x:v>
      </x:c>
      <x:c r="K159" s="37" t="str">
        <x:v>Siro Sâm Dứa Vina</x:v>
      </x:c>
      <x:c r="L159" s="59" t="n">
        <x:v>624000</x:v>
      </x:c>
      <x:c r="M159" s="75" t="str">
        <x:v>ứng viên gần nhất=Siro Changthai; score=0.065</x:v>
      </x:c>
    </x:row>
    <x:row r="160">
      <x:c r="A160" s="71" t="str">
        <x:v>SIRO MAMA CAM - THÙNG</x:v>
      </x:c>
      <x:c r="B160" s="37" t="str">
        <x:v>SRMMCA</x:v>
      </x:c>
      <x:c r="C160" s="37" t="str">
        <x:v>SRMMCAT</x:v>
      </x:c>
      <x:c r="D160" s="37" t="n">
        <x:v>12</x:v>
      </x:c>
      <x:c r="E160" s="37" t="str">
        <x:v>CHƯA CÓ GIÁ LẺ</x:v>
      </x:c>
      <x:c r="F160" s="30"/>
      <x:c r="G160" s="37"/>
      <x:c r="H160" s="37"/>
      <x:c r="I160" s="79"/>
      <x:c r="J160" s="37" t="n">
        <x:v>0.419</x:v>
      </x:c>
      <x:c r="K160" s="37" t="str">
        <x:v>Siro Sâm Dứa Vina</x:v>
      </x:c>
      <x:c r="L160" s="59" t="n">
        <x:v>624000</x:v>
      </x:c>
      <x:c r="M160" s="75" t="str">
        <x:v>ứng viên gần nhất=Siro vỏ cam Gold 700ml; score=0.419</x:v>
      </x:c>
    </x:row>
    <x:row r="161">
      <x:c r="A161" s="71" t="str">
        <x:v>SIRO VUÔNG KIWI - THÙNG</x:v>
      </x:c>
      <x:c r="B161" s="37" t="str">
        <x:v>SRKWIV</x:v>
      </x:c>
      <x:c r="C161" s="37" t="str">
        <x:v>SRKWIVT</x:v>
      </x:c>
      <x:c r="D161" s="37" t="n">
        <x:v>6</x:v>
      </x:c>
      <x:c r="E161" s="37" t="str">
        <x:v>CHƯA CÓ GIÁ LẺ</x:v>
      </x:c>
      <x:c r="F161" s="30"/>
      <x:c r="G161" s="37"/>
      <x:c r="H161" s="37"/>
      <x:c r="I161" s="79"/>
      <x:c r="J161" s="37" t="n">
        <x:v>0.064</x:v>
      </x:c>
      <x:c r="K161" s="37" t="str">
        <x:v>Siro Douxian 2l hoàng kim</x:v>
      </x:c>
      <x:c r="L161" s="59" t="n">
        <x:v>0</x:v>
      </x:c>
      <x:c r="M161" s="75" t="str">
        <x:v>ứng viên gần nhất=SIRO ĐĐ hoàng kim; score=0.064</x:v>
      </x:c>
    </x:row>
    <x:row r="162">
      <x:c r="A162" s="71" t="str">
        <x:v>SIRO A+ KIWI - THÙNG</x:v>
      </x:c>
      <x:c r="B162" s="37" t="str">
        <x:v>SRAKWI</x:v>
      </x:c>
      <x:c r="C162" s="37" t="str">
        <x:v>SRAKWIT</x:v>
      </x:c>
      <x:c r="D162" s="37" t="n">
        <x:v>24</x:v>
      </x:c>
      <x:c r="E162" s="37" t="str">
        <x:v>CHƯA CÓ GIÁ LẺ</x:v>
      </x:c>
      <x:c r="F162" s="30"/>
      <x:c r="G162" s="37"/>
      <x:c r="H162" s="37"/>
      <x:c r="I162" s="79"/>
      <x:c r="J162" s="37" t="n">
        <x:v>0.056</x:v>
      </x:c>
      <x:c r="K162" s="37" t="str">
        <x:v>SIRO ĐĐ hoàng kim</x:v>
      </x:c>
      <x:c r="L162" s="59" t="n">
        <x:v>0</x:v>
      </x:c>
      <x:c r="M162" s="75" t="str">
        <x:v>ứng viên gần nhất=Siro Carisa; score=0.056</x:v>
      </x:c>
    </x:row>
    <x:row r="163">
      <x:c r="A163" s="71" t="str">
        <x:v>SIRO VUÔNG ĐƯỜNG ĐEN - THÙNG</x:v>
      </x:c>
      <x:c r="B163" s="37" t="str">
        <x:v>SRDDEV</x:v>
      </x:c>
      <x:c r="C163" s="37" t="str">
        <x:v>SRDDEVT</x:v>
      </x:c>
      <x:c r="D163" s="37" t="n">
        <x:v>6</x:v>
      </x:c>
      <x:c r="E163" s="37" t="str">
        <x:v>CHƯA CÓ GIÁ LẺ</x:v>
      </x:c>
      <x:c r="F163" s="30"/>
      <x:c r="G163" s="37"/>
      <x:c r="H163" s="37"/>
      <x:c r="I163" s="79"/>
      <x:c r="J163" s="37" t="n">
        <x:v>0.628</x:v>
      </x:c>
      <x:c r="K163" s="37" t="str">
        <x:v>SIRO ĐĐ hoàng kim</x:v>
      </x:c>
      <x:c r="L163" s="59" t="n">
        <x:v>0</x:v>
      </x:c>
      <x:c r="M163" s="75" t="str">
        <x:v>ứng viên gần nhất=Siro GTP dâu , duong den; score=0.628</x:v>
      </x:c>
    </x:row>
    <x:row r="164">
      <x:c r="A164" s="71" t="str">
        <x:v>SIRO TRÒN ĐƯỜNG ĐEN - THÙNG</x:v>
      </x:c>
      <x:c r="B164" s="37" t="str">
        <x:v>SRDDET</x:v>
      </x:c>
      <x:c r="C164" s="37" t="str">
        <x:v>SRDDETT</x:v>
      </x:c>
      <x:c r="D164" s="37" t="n">
        <x:v>6</x:v>
      </x:c>
      <x:c r="E164" s="37" t="str">
        <x:v>CHƯA CÓ GIÁ LẺ</x:v>
      </x:c>
      <x:c r="F164" s="30"/>
      <x:c r="G164" s="37"/>
      <x:c r="H164" s="37"/>
      <x:c r="I164" s="79"/>
      <x:c r="J164" s="37" t="n">
        <x:v>0.639</x:v>
      </x:c>
      <x:c r="K164" s="37" t="str">
        <x:v>SIRO ĐĐ hoàng kim</x:v>
      </x:c>
      <x:c r="L164" s="59" t="n">
        <x:v>0</x:v>
      </x:c>
      <x:c r="M164" s="75" t="str">
        <x:v>ứng viên gần nhất=Siro GTP dâu , duong den; score=0.639</x:v>
      </x:c>
    </x:row>
    <x:row r="165">
      <x:c r="A165" s="71" t="str">
        <x:v>SIRO A+ ĐƯỜNG ĐEN - THÙNG</x:v>
      </x:c>
      <x:c r="B165" s="37" t="str">
        <x:v>SRADDE</x:v>
      </x:c>
      <x:c r="C165" s="37" t="str">
        <x:v>SRADDET</x:v>
      </x:c>
      <x:c r="D165" s="37" t="n">
        <x:v>24</x:v>
      </x:c>
      <x:c r="E165" s="37" t="str">
        <x:v>CHƯA CÓ GIÁ LẺ</x:v>
      </x:c>
      <x:c r="F165" s="30"/>
      <x:c r="G165" s="37"/>
      <x:c r="H165" s="37"/>
      <x:c r="I165" s="79"/>
      <x:c r="J165" s="37" t="n">
        <x:v>0.611</x:v>
      </x:c>
      <x:c r="K165" s="37" t="str">
        <x:v>SIRO ĐĐ hoàng kim</x:v>
      </x:c>
      <x:c r="L165" s="59" t="n">
        <x:v>0</x:v>
      </x:c>
      <x:c r="M165" s="75" t="str">
        <x:v>ứng viên gần nhất=Siro GTP dâu , duong den; score=0.611</x:v>
      </x:c>
    </x:row>
    <x:row r="166">
      <x:c r="A166" s="71" t="str">
        <x:v>SIRO VUÔNG ĐÀO - THÙNG</x:v>
      </x:c>
      <x:c r="B166" s="37" t="str">
        <x:v>SRDAOV</x:v>
      </x:c>
      <x:c r="C166" s="37" t="str">
        <x:v>SRDAOVT</x:v>
      </x:c>
      <x:c r="D166" s="37" t="n">
        <x:v>6</x:v>
      </x:c>
      <x:c r="E166" s="37" t="str">
        <x:v>CHƯA CÓ GIÁ LẺ</x:v>
      </x:c>
      <x:c r="F166" s="30"/>
      <x:c r="G166" s="37"/>
      <x:c r="H166" s="37"/>
      <x:c r="I166" s="79"/>
      <x:c r="J166" s="37" t="n">
        <x:v>0.274</x:v>
      </x:c>
      <x:c r="K166" s="37" t="str">
        <x:v>Siro GTP dâu , duong den</x:v>
      </x:c>
      <x:c r="L166" s="59" t="n">
        <x:v>0</x:v>
      </x:c>
      <x:c r="M166" s="75" t="str">
        <x:v>ứng viên gần nhất=CỐT bí đao wonderfull; score=0.274</x:v>
      </x:c>
    </x:row>
    <x:row r="167">
      <x:c r="A167" s="71" t="str">
        <x:v>SIRO TRÒN ĐÀO - THÙNG</x:v>
      </x:c>
      <x:c r="B167" s="37" t="str">
        <x:v>SRDAOT</x:v>
      </x:c>
      <x:c r="C167" s="37" t="str">
        <x:v>SRDAOTT</x:v>
      </x:c>
      <x:c r="D167" s="37" t="n">
        <x:v>6</x:v>
      </x:c>
      <x:c r="E167" s="37" t="str">
        <x:v>CHƯA CÓ GIÁ LẺ</x:v>
      </x:c>
      <x:c r="F167" s="30"/>
      <x:c r="G167" s="37"/>
      <x:c r="H167" s="37"/>
      <x:c r="I167" s="79"/>
      <x:c r="J167" s="37" t="n">
        <x:v>0.51</x:v>
      </x:c>
      <x:c r="K167" s="37" t="str">
        <x:v>CỐT bí đao wonderfull</x:v>
      </x:c>
      <x:c r="L167" s="59" t="n">
        <x:v>0</x:v>
      </x:c>
      <x:c r="M167" s="75" t="str">
        <x:v>ứng viên gần nhất=Siro Douxian 2l tròn; score=0.510</x:v>
      </x:c>
    </x:row>
    <x:row r="168">
      <x:c r="A168" s="71" t="str">
        <x:v>SIRO A+ ĐÀO - THÙNG</x:v>
      </x:c>
      <x:c r="B168" s="37" t="str">
        <x:v>SRADAO</x:v>
      </x:c>
      <x:c r="C168" s="37" t="str">
        <x:v>SRADAOT</x:v>
      </x:c>
      <x:c r="D168" s="37" t="n">
        <x:v>24</x:v>
      </x:c>
      <x:c r="E168" s="37" t="str">
        <x:v>CHƯA CÓ GIÁ LẺ</x:v>
      </x:c>
      <x:c r="F168" s="30"/>
      <x:c r="G168" s="37"/>
      <x:c r="H168" s="37"/>
      <x:c r="I168" s="79"/>
      <x:c r="J168" s="37" t="n">
        <x:v>0.262</x:v>
      </x:c>
      <x:c r="K168" s="37" t="str">
        <x:v>Siro Carisa</x:v>
      </x:c>
      <x:c r="L168" s="59" t="n">
        <x:v>0</x:v>
      </x:c>
      <x:c r="M168" s="75" t="str">
        <x:v>ứng viên gần nhất=CỐT bí đao wonderfull; score=0.262</x:v>
      </x:c>
    </x:row>
    <x:row r="169">
      <x:c r="A169" s="71" t="str">
        <x:v>SIRO VUÔNG DƯA LƯỚI - THÙNG</x:v>
      </x:c>
      <x:c r="B169" s="37" t="str">
        <x:v>SRDLUV</x:v>
      </x:c>
      <x:c r="C169" s="37" t="str">
        <x:v>SRDLUVT</x:v>
      </x:c>
      <x:c r="D169" s="37" t="n">
        <x:v>6</x:v>
      </x:c>
      <x:c r="E169" s="37" t="str">
        <x:v>CHƯA CÓ GIÁ LẺ</x:v>
      </x:c>
      <x:c r="F169" s="30"/>
      <x:c r="G169" s="37"/>
      <x:c r="H169" s="37"/>
      <x:c r="I169" s="79"/>
      <x:c r="J169" s="37" t="n">
        <x:v>0.357</x:v>
      </x:c>
      <x:c r="K169" s="37" t="str">
        <x:v>Siro GTP dâu , duong den</x:v>
      </x:c>
      <x:c r="L169" s="59" t="n">
        <x:v>0</x:v>
      </x:c>
      <x:c r="M169" s="75" t="str">
        <x:v>ứng viên gần nhất=Siro Sâm Dứa Vina; score=0.357</x:v>
      </x:c>
    </x:row>
    <x:row r="170">
      <x:c r="A170" s="71" t="str">
        <x:v>SIRO A+ DƯA LƯỚI - THÙNG</x:v>
      </x:c>
      <x:c r="B170" s="37" t="str">
        <x:v>SRADLU</x:v>
      </x:c>
      <x:c r="C170" s="37" t="str">
        <x:v>SRADLUT</x:v>
      </x:c>
      <x:c r="D170" s="37" t="n">
        <x:v>24</x:v>
      </x:c>
      <x:c r="E170" s="37" t="str">
        <x:v>CHƯA CÓ GIÁ LẺ</x:v>
      </x:c>
      <x:c r="F170" s="30"/>
      <x:c r="G170" s="37"/>
      <x:c r="H170" s="37"/>
      <x:c r="I170" s="79"/>
      <x:c r="J170" s="37" t="n">
        <x:v>0.394</x:v>
      </x:c>
      <x:c r="K170" s="37" t="str">
        <x:v>Siro Douxian 2l tròn</x:v>
      </x:c>
      <x:c r="L170" s="59" t="n">
        <x:v>0</x:v>
      </x:c>
      <x:c r="M170" s="75" t="str">
        <x:v>ứng viên gần nhất=Siro Sâm Dứa Vina; score=0.394</x:v>
      </x:c>
    </x:row>
    <x:row r="171">
      <x:c r="A171" s="71" t="str">
        <x:v>SIRO VUÔNG DÂU - THÙNG</x:v>
      </x:c>
      <x:c r="B171" s="37" t="str">
        <x:v>SRDAUV</x:v>
      </x:c>
      <x:c r="C171" s="37" t="str">
        <x:v>SRDAUVT</x:v>
      </x:c>
      <x:c r="D171" s="37" t="n">
        <x:v>6</x:v>
      </x:c>
      <x:c r="E171" s="37" t="str">
        <x:v>CHƯA CÓ GIÁ LẺ</x:v>
      </x:c>
      <x:c r="F171" s="30"/>
      <x:c r="G171" s="37"/>
      <x:c r="H171" s="37"/>
      <x:c r="I171" s="79"/>
      <x:c r="J171" s="37" t="n">
        <x:v>0.456</x:v>
      </x:c>
      <x:c r="K171" s="37" t="str">
        <x:v>SIRO ĐĐ hoàng kim</x:v>
      </x:c>
      <x:c r="L171" s="59" t="n">
        <x:v>0</x:v>
      </x:c>
      <x:c r="M171" s="75" t="str">
        <x:v>ứng viên gần nhất=Siro GTP dâu , duong den; score=0.456</x:v>
      </x:c>
    </x:row>
    <x:row r="172">
      <x:c r="A172" s="71" t="str">
        <x:v>SIRO A+ DÂU - THÙNG</x:v>
      </x:c>
      <x:c r="B172" s="37" t="str">
        <x:v>SRADAU</x:v>
      </x:c>
      <x:c r="C172" s="37" t="str">
        <x:v>SRADAUT</x:v>
      </x:c>
      <x:c r="D172" s="37" t="n">
        <x:v>24</x:v>
      </x:c>
      <x:c r="E172" s="37" t="str">
        <x:v>CHƯA CÓ GIÁ LẺ</x:v>
      </x:c>
      <x:c r="F172" s="30"/>
      <x:c r="G172" s="37"/>
      <x:c r="H172" s="37"/>
      <x:c r="I172" s="79"/>
      <x:c r="J172" s="37" t="n">
        <x:v>0.418</x:v>
      </x:c>
      <x:c r="K172" s="37" t="str">
        <x:v>Siro Carisa</x:v>
      </x:c>
      <x:c r="L172" s="59" t="n">
        <x:v>0</x:v>
      </x:c>
      <x:c r="M172" s="75" t="str">
        <x:v>ứng viên gần nhất=Siro GTP dâu , duong den; score=0.418</x:v>
      </x:c>
    </x:row>
    <x:row r="173">
      <x:c r="A173" s="71" t="str">
        <x:v>SIRO VUÔNG CHANH DÂY - THÙNG</x:v>
      </x:c>
      <x:c r="B173" s="37" t="str">
        <x:v>CDAYVG</x:v>
      </x:c>
      <x:c r="C173" s="37" t="str">
        <x:v>CDAYVGT</x:v>
      </x:c>
      <x:c r="D173" s="37" t="n">
        <x:v>6</x:v>
      </x:c>
      <x:c r="E173" s="37" t="str">
        <x:v>CHƯA CÓ GIÁ LẺ</x:v>
      </x:c>
      <x:c r="F173" s="30"/>
      <x:c r="G173" s="37"/>
      <x:c r="H173" s="37"/>
      <x:c r="I173" s="79"/>
      <x:c r="J173" s="37" t="n">
        <x:v>0.069</x:v>
      </x:c>
      <x:c r="K173" s="37" t="str">
        <x:v>Siro GTP dâu , duong den</x:v>
      </x:c>
      <x:c r="L173" s="59" t="n">
        <x:v>504000</x:v>
      </x:c>
      <x:c r="M173" s="75" t="str">
        <x:v>ứng viên gần nhất=Siro Douxian 2l hoàng kim; score=0.069</x:v>
      </x:c>
    </x:row>
    <x:row r="174">
      <x:c r="A174" s="71" t="str">
        <x:v>SIRO A+ CHANH DÂY - THÙNG</x:v>
      </x:c>
      <x:c r="B174" s="37" t="str">
        <x:v>SRACDA</x:v>
      </x:c>
      <x:c r="C174" s="37" t="str">
        <x:v>SRACDAT</x:v>
      </x:c>
      <x:c r="D174" s="37" t="n">
        <x:v>24</x:v>
      </x:c>
      <x:c r="E174" s="37" t="str">
        <x:v>CHƯA CÓ GIÁ LẺ</x:v>
      </x:c>
      <x:c r="F174" s="30"/>
      <x:c r="G174" s="37"/>
      <x:c r="H174" s="37"/>
      <x:c r="I174" s="79"/>
      <x:c r="J174" s="37" t="n">
        <x:v>0.062</x:v>
      </x:c>
      <x:c r="K174" s="37" t="str">
        <x:v>Siro Carisa</x:v>
      </x:c>
      <x:c r="L174" s="59" t="n">
        <x:v>0</x:v>
      </x:c>
      <x:c r="M174" s="75" t="str">
        <x:v>ứng viên gần nhất=Siro Changthai; score=0.062</x:v>
      </x:c>
    </x:row>
    <x:row r="175">
      <x:c r="A175" s="71" t="str">
        <x:v>SIRO CASALANCA VIỆT QUỐC - THÙNG</x:v>
      </x:c>
      <x:c r="B175" s="37" t="str">
        <x:v>CSAVQU</x:v>
      </x:c>
      <x:c r="C175" s="37" t="str">
        <x:v>CSAVQUT</x:v>
      </x:c>
      <x:c r="D175" s="37" t="n">
        <x:v>12</x:v>
      </x:c>
      <x:c r="E175" s="37" t="str">
        <x:v>CHƯA CÓ GIÁ LẺ</x:v>
      </x:c>
      <x:c r="F175" s="30"/>
      <x:c r="G175" s="37"/>
      <x:c r="H175" s="37"/>
      <x:c r="I175" s="79"/>
      <x:c r="J175" s="37" t="n">
        <x:v>0.062</x:v>
      </x:c>
      <x:c r="K175" s="37" t="str">
        <x:v>Siro vỏ cam Gold 700ml</x:v>
      </x:c>
      <x:c r="L175" s="59" t="n">
        <x:v>0</x:v>
      </x:c>
      <x:c r="M175" s="75" t="str">
        <x:v>ứng viên gần nhất=Siro Sâm Dứa Vina; score=0.062</x:v>
      </x:c>
    </x:row>
    <x:row r="176">
      <x:c r="A176" s="71" t="str">
        <x:v>SIRO CASALANCA VẢI - THÙNG</x:v>
      </x:c>
      <x:c r="B176" s="37" t="str">
        <x:v>CSAVAI</x:v>
      </x:c>
      <x:c r="C176" s="37" t="str">
        <x:v>CSAVAIT</x:v>
      </x:c>
      <x:c r="D176" s="37" t="n">
        <x:v>12</x:v>
      </x:c>
      <x:c r="E176" s="37" t="str">
        <x:v>CHƯA CÓ GIÁ LẺ</x:v>
      </x:c>
      <x:c r="F176" s="30"/>
      <x:c r="G176" s="37"/>
      <x:c r="H176" s="37"/>
      <x:c r="I176" s="79"/>
      <x:c r="J176" s="37" t="n">
        <x:v>0.068</x:v>
      </x:c>
      <x:c r="K176" s="37" t="str">
        <x:v>Siro Changthai</x:v>
      </x:c>
      <x:c r="L176" s="59" t="n">
        <x:v>0</x:v>
      </x:c>
      <x:c r="M176" s="75" t="str">
        <x:v>ứng viên gần nhất=Siro Sâm Dứa Vina; score=0.068</x:v>
      </x:c>
    </x:row>
    <x:row r="177">
      <x:c r="A177" s="71" t="str">
        <x:v>SIRO CASALANCA ỔI - THÙNG</x:v>
      </x:c>
      <x:c r="B177" s="37" t="str">
        <x:v>CSAOIH</x:v>
      </x:c>
      <x:c r="C177" s="37" t="str">
        <x:v>CSAOIHT</x:v>
      </x:c>
      <x:c r="D177" s="37" t="n">
        <x:v>12</x:v>
      </x:c>
      <x:c r="E177" s="37" t="str">
        <x:v>CHƯA CÓ GIÁ LẺ</x:v>
      </x:c>
      <x:c r="F177" s="30"/>
      <x:c r="G177" s="37"/>
      <x:c r="H177" s="37"/>
      <x:c r="I177" s="79"/>
      <x:c r="J177" s="37" t="n">
        <x:v>0.068</x:v>
      </x:c>
      <x:c r="K177" s="37" t="str">
        <x:v>Siro Sâm Dứa Vina</x:v>
      </x:c>
      <x:c r="L177" s="59" t="n">
        <x:v>0</x:v>
      </x:c>
      <x:c r="M177" s="75" t="str">
        <x:v>ứng viên gần nhất=Siro Changthai; score=0.068</x:v>
      </x:c>
    </x:row>
    <x:row r="178">
      <x:c r="A178" s="71" t="str">
        <x:v>SIRO CASALANCA NHÃN - THÙNG</x:v>
      </x:c>
      <x:c r="B178" s="37" t="str">
        <x:v>CSANHA</x:v>
      </x:c>
      <x:c r="C178" s="37" t="str">
        <x:v>CSANHAT</x:v>
      </x:c>
      <x:c r="D178" s="37" t="n">
        <x:v>12</x:v>
      </x:c>
      <x:c r="E178" s="37" t="str">
        <x:v>CHƯA CÓ GIÁ LẺ</x:v>
      </x:c>
      <x:c r="F178" s="30"/>
      <x:c r="G178" s="37"/>
      <x:c r="H178" s="37"/>
      <x:c r="I178" s="79"/>
      <x:c r="J178" s="37" t="n">
        <x:v>0.068</x:v>
      </x:c>
      <x:c r="K178" s="37" t="str">
        <x:v>Siro Sâm Dứa Vina</x:v>
      </x:c>
      <x:c r="L178" s="59" t="n">
        <x:v>0</x:v>
      </x:c>
      <x:c r="M178" s="75" t="str">
        <x:v>ứng viên gần nhất=Siro Changthai; score=0.068</x:v>
      </x:c>
    </x:row>
    <x:row r="179">
      <x:c r="A179" s="71" t="str">
        <x:v>SIRO CASALANCA LỰU - THÙNG</x:v>
      </x:c>
      <x:c r="B179" s="37" t="str">
        <x:v>CSALUU</x:v>
      </x:c>
      <x:c r="C179" s="37" t="str">
        <x:v>CSALUUT</x:v>
      </x:c>
      <x:c r="D179" s="37" t="n">
        <x:v>12</x:v>
      </x:c>
      <x:c r="E179" s="37" t="str">
        <x:v>CHƯA CÓ GIÁ LẺ</x:v>
      </x:c>
      <x:c r="F179" s="30"/>
      <x:c r="G179" s="37"/>
      <x:c r="H179" s="37"/>
      <x:c r="I179" s="79"/>
      <x:c r="J179" s="37" t="n">
        <x:v>0.062</x:v>
      </x:c>
      <x:c r="K179" s="37" t="str">
        <x:v>Siro Changthai</x:v>
      </x:c>
      <x:c r="L179" s="59" t="n">
        <x:v>0</x:v>
      </x:c>
      <x:c r="M179" s="75" t="str">
        <x:v>ứng viên gần nhất=Siro Sâm Dứa Vina; score=0.062</x:v>
      </x:c>
    </x:row>
    <x:row r="180">
      <x:c r="A180" s="71" t="str">
        <x:v>SIRO CASALANCA ĐÀO - THÙNG</x:v>
      </x:c>
      <x:c r="B180" s="37" t="str">
        <x:v>CSADAO</x:v>
      </x:c>
      <x:c r="C180" s="37" t="str">
        <x:v>CSADAOT</x:v>
      </x:c>
      <x:c r="D180" s="37" t="n">
        <x:v>12</x:v>
      </x:c>
      <x:c r="E180" s="37" t="str">
        <x:v>CHƯA CÓ GIÁ LẺ</x:v>
      </x:c>
      <x:c r="F180" s="30"/>
      <x:c r="G180" s="37"/>
      <x:c r="H180" s="37"/>
      <x:c r="I180" s="79"/>
      <x:c r="J180" s="37" t="n">
        <x:v>0.178</x:v>
      </x:c>
      <x:c r="K180" s="37" t="str">
        <x:v>Siro Sâm Dứa Vina</x:v>
      </x:c>
      <x:c r="L180" s="59" t="n">
        <x:v>0</x:v>
      </x:c>
      <x:c r="M180" s="75" t="str">
        <x:v>ứng viên gần nhất=CỐT bí đao wonderfull; score=0.178</x:v>
      </x:c>
    </x:row>
    <x:row r="181">
      <x:c r="A181" s="71" t="str">
        <x:v>SIRO CASALANCA DƯA LƯỚI - THÙNG</x:v>
      </x:c>
      <x:c r="B181" s="37" t="str">
        <x:v>CSADLU</x:v>
      </x:c>
      <x:c r="C181" s="37" t="str">
        <x:v>CSADLUT</x:v>
      </x:c>
      <x:c r="D181" s="37" t="n">
        <x:v>12</x:v>
      </x:c>
      <x:c r="E181" s="37" t="str">
        <x:v>CHƯA CÓ GIÁ LẺ</x:v>
      </x:c>
      <x:c r="F181" s="30"/>
      <x:c r="G181" s="37"/>
      <x:c r="H181" s="37"/>
      <x:c r="I181" s="79"/>
      <x:c r="J181" s="37" t="n">
        <x:v>0.466</x:v>
      </x:c>
      <x:c r="K181" s="37" t="str">
        <x:v>Siro vỏ cam Gold 700ml</x:v>
      </x:c>
      <x:c r="L181" s="59" t="n">
        <x:v>0</x:v>
      </x:c>
      <x:c r="M181" s="75" t="str">
        <x:v>ứng viên gần nhất=Siro Sâm Dứa Vina; score=0.466</x:v>
      </x:c>
    </x:row>
    <x:row r="182">
      <x:c r="A182" s="71" t="str">
        <x:v>SIRO CASALANCA DÂU - THÙNG</x:v>
      </x:c>
      <x:c r="B182" s="37" t="str">
        <x:v>CSADAU</x:v>
      </x:c>
      <x:c r="C182" s="37" t="str">
        <x:v>CSADAUT</x:v>
      </x:c>
      <x:c r="D182" s="37" t="n">
        <x:v>12</x:v>
      </x:c>
      <x:c r="E182" s="37" t="str">
        <x:v>CHƯA CÓ GIÁ LẺ</x:v>
      </x:c>
      <x:c r="F182" s="30"/>
      <x:c r="G182" s="37"/>
      <x:c r="H182" s="37"/>
      <x:c r="I182" s="79"/>
      <x:c r="J182" s="37" t="n">
        <x:v>0.276</x:v>
      </x:c>
      <x:c r="K182" s="37" t="str">
        <x:v>Siro Sâm Dứa Vina</x:v>
      </x:c>
      <x:c r="L182" s="59" t="n">
        <x:v>0</x:v>
      </x:c>
      <x:c r="M182" s="75" t="str">
        <x:v>ứng viên gần nhất=Siro GTP dâu , duong den; score=0.276</x:v>
      </x:c>
    </x:row>
    <x:row r="183">
      <x:c r="A183" s="71" t="str">
        <x:v>SIRO CASALANCA THƠM - THÙNG</x:v>
      </x:c>
      <x:c r="B183" s="37" t="str">
        <x:v>CSATHO</x:v>
      </x:c>
      <x:c r="C183" s="37" t="str">
        <x:v>CSATHOT</x:v>
      </x:c>
      <x:c r="D183" s="37" t="n">
        <x:v>12</x:v>
      </x:c>
      <x:c r="E183" s="37" t="str">
        <x:v>CHƯA CÓ GIÁ LẺ</x:v>
      </x:c>
      <x:c r="F183" s="30"/>
      <x:c r="G183" s="37"/>
      <x:c r="H183" s="37"/>
      <x:c r="I183" s="79"/>
      <x:c r="J183" s="37" t="n">
        <x:v>0.065</x:v>
      </x:c>
      <x:c r="K183" s="37" t="str">
        <x:v>Siro Sâm Dứa Vina</x:v>
      </x:c>
      <x:c r="L183" s="59" t="n">
        <x:v>0</x:v>
      </x:c>
      <x:c r="M183" s="75" t="str">
        <x:v>ứng viên gần nhất=Siro Changthai; score=0.065</x:v>
      </x:c>
    </x:row>
    <x:row r="184">
      <x:c r="A184" s="71" t="str">
        <x:v>SIRO TRÒN BÍ ĐAO - THÙNG</x:v>
      </x:c>
      <x:c r="B184" s="37" t="str">
        <x:v>SRBITR</x:v>
      </x:c>
      <x:c r="C184" s="37" t="str">
        <x:v>SRBITRT</x:v>
      </x:c>
      <x:c r="D184" s="37" t="n">
        <x:v>6</x:v>
      </x:c>
      <x:c r="E184" s="37" t="str">
        <x:v>CHƯA CÓ GIÁ LẺ</x:v>
      </x:c>
      <x:c r="F184" s="30"/>
      <x:c r="G184" s="37"/>
      <x:c r="H184" s="37"/>
      <x:c r="I184" s="79"/>
      <x:c r="J184" s="37" t="n">
        <x:v>0.456</x:v>
      </x:c>
      <x:c r="K184" s="37" t="str">
        <x:v>CỐT bí đao wonderfull</x:v>
      </x:c>
      <x:c r="L184" s="59" t="n">
        <x:v>0</x:v>
      </x:c>
      <x:c r="M184" s="75" t="str">
        <x:v>ứng viên gần nhất=Siro Douxian 2l tròn; score=0.456</x:v>
      </x:c>
    </x:row>
    <x:row r="185">
      <x:c r="A185" s="71" t="str">
        <x:v>SIRO VUÔNG BẠC HÀ - THÙNG</x:v>
      </x:c>
      <x:c r="B185" s="37" t="str">
        <x:v>SRBHVG</x:v>
      </x:c>
      <x:c r="C185" s="37" t="str">
        <x:v>SRBHVGT</x:v>
      </x:c>
      <x:c r="D185" s="37" t="n">
        <x:v>6</x:v>
      </x:c>
      <x:c r="E185" s="37" t="str">
        <x:v>CHƯA CÓ GIÁ LẺ</x:v>
      </x:c>
      <x:c r="F185" s="30"/>
      <x:c r="G185" s="37"/>
      <x:c r="H185" s="37"/>
      <x:c r="I185" s="79"/>
      <x:c r="J185" s="37" t="n">
        <x:v>0.068</x:v>
      </x:c>
      <x:c r="K185" s="37" t="str">
        <x:v>SIRO ĐĐ hoàng kim</x:v>
      </x:c>
      <x:c r="L185" s="59" t="n">
        <x:v>0</x:v>
      </x:c>
      <x:c r="M185" s="75" t="str">
        <x:v>ứng viên gần nhất=Siro GTP dâu , duong den; score=0.068</x:v>
      </x:c>
    </x:row>
    <x:row r="186">
      <x:c r="A186" s="71" t="str">
        <x:v>SIRO A+ BẠC HÀ - THÙNG</x:v>
      </x:c>
      <x:c r="B186" s="37" t="str">
        <x:v>SRABHA</x:v>
      </x:c>
      <x:c r="C186" s="37" t="str">
        <x:v>SRABHAT</x:v>
      </x:c>
      <x:c r="D186" s="37" t="n">
        <x:v>24</x:v>
      </x:c>
      <x:c r="E186" s="37" t="str">
        <x:v>CHƯA CÓ GIÁ LẺ</x:v>
      </x:c>
      <x:c r="F186" s="30"/>
      <x:c r="G186" s="37"/>
      <x:c r="H186" s="37"/>
      <x:c r="I186" s="79"/>
      <x:c r="J186" s="37" t="n">
        <x:v>0.053</x:v>
      </x:c>
      <x:c r="K186" s="37" t="str">
        <x:v>Siro Carisa</x:v>
      </x:c>
      <x:c r="L186" s="59" t="n">
        <x:v>0</x:v>
      </x:c>
      <x:c r="M186" s="75" t="str">
        <x:v>ứng viên gần nhất=Siro Sâm Dứa Vina; score=0.053</x:v>
      </x:c>
    </x:row>
    <x:row r="187">
      <x:c r="A187" s="71" t="str">
        <x:v>SEN TIM - THÙNG</x:v>
      </x:c>
      <x:c r="B187" s="37" t="str">
        <x:v>SENTIM</x:v>
      </x:c>
      <x:c r="C187" s="37" t="str">
        <x:v>SENTIMT</x:v>
      </x:c>
      <x:c r="D187" s="37" t="n">
        <x:v>12</x:v>
      </x:c>
      <x:c r="E187" s="37" t="str">
        <x:v>CHƯA CÓ GIÁ LẺ</x:v>
      </x:c>
      <x:c r="F187" s="30"/>
      <x:c r="G187" s="37"/>
      <x:c r="H187" s="37"/>
      <x:c r="I187" s="79"/>
      <x:c r="J187" s="37" t="n">
        <x:v>0.592</x:v>
      </x:c>
      <x:c r="K187" s="37" t="str">
        <x:v>Nước cốt dừa thai 1 lit</x:v>
      </x:c>
      <x:c r="L187" s="59" t="n">
        <x:v>640000</x:v>
      </x:c>
      <x:c r="M187" s="75" t="str">
        <x:v>ứng viên gần nhất=SEN NIF; score=0.592</x:v>
      </x:c>
    </x:row>
    <x:row r="188">
      <x:c r="A188" s="71" t="str">
        <x:v>SIRO TRÒN SÂM DỨA - THÙNG</x:v>
      </x:c>
      <x:c r="B188" s="37" t="str">
        <x:v>SRSDTR</x:v>
      </x:c>
      <x:c r="C188" s="37" t="str">
        <x:v>SRSDTRT</x:v>
      </x:c>
      <x:c r="D188" s="37" t="n">
        <x:v>6</x:v>
      </x:c>
      <x:c r="E188" s="37" t="str">
        <x:v>CHƯA CÓ GIÁ LẺ</x:v>
      </x:c>
      <x:c r="F188" s="30"/>
      <x:c r="G188" s="37"/>
      <x:c r="H188" s="37"/>
      <x:c r="I188" s="79"/>
      <x:c r="J188" s="37" t="n">
        <x:v>0.629</x:v>
      </x:c>
      <x:c r="K188" s="37" t="str">
        <x:v>Siro Douxian 2l tròn</x:v>
      </x:c>
      <x:c r="L188" s="59" t="n">
        <x:v>0</x:v>
      </x:c>
      <x:c r="M188" s="75" t="str">
        <x:v>ứng viên gần nhất=Siro Sâm Dứa Vina; score=0.629</x:v>
      </x:c>
    </x:row>
    <x:row r="189">
      <x:c r="A189" s="71" t="str">
        <x:v>RAU CÂU WINGS - THÙNG</x:v>
      </x:c>
      <x:c r="B189" s="37" t="str">
        <x:v>RCWING</x:v>
      </x:c>
      <x:c r="C189" s="37" t="str">
        <x:v>RCWINGT</x:v>
      </x:c>
      <x:c r="D189" s="37" t="n">
        <x:v>10</x:v>
      </x:c>
      <x:c r="E189" s="37" t="str">
        <x:v>CHƯA CÓ GIÁ LẺ</x:v>
      </x:c>
      <x:c r="F189" s="30"/>
      <x:c r="G189" s="37"/>
      <x:c r="H189" s="37"/>
      <x:c r="I189" s="79"/>
      <x:c r="J189" s="37" t="n">
        <x:v>0.062</x:v>
      </x:c>
      <x:c r="K189" s="37" t="str">
        <x:v>RAU CÂU GIÒN AGAR</x:v>
      </x:c>
      <x:c r="L189" s="59" t="n">
        <x:v>450000</x:v>
      </x:c>
      <x:c r="M189" s="75" t="str">
        <x:v>ứng viên gần nhất=Rau câu Sóc Vàng; score=0.062</x:v>
      </x:c>
    </x:row>
    <x:row r="190">
      <x:c r="A190" s="71" t="str">
        <x:v>RAU CÂU GIÒN HOÀNG YẾN - THÙNG</x:v>
      </x:c>
      <x:c r="B190" s="37" t="str">
        <x:v>RCHYGI</x:v>
      </x:c>
      <x:c r="C190" s="37" t="str">
        <x:v>RCHYGIT</x:v>
      </x:c>
      <x:c r="D190" s="37" t="n">
        <x:v>20</x:v>
      </x:c>
      <x:c r="E190" s="37" t="str">
        <x:v>CHƯA CÓ GIÁ LẺ</x:v>
      </x:c>
      <x:c r="F190" s="30"/>
      <x:c r="G190" s="37"/>
      <x:c r="H190" s="37"/>
      <x:c r="I190" s="79"/>
      <x:c r="J190" s="37" t="n">
        <x:v>0.551</x:v>
      </x:c>
      <x:c r="K190" s="37" t="str">
        <x:v>Rau câu Thảo Vân</x:v>
      </x:c>
      <x:c r="L190" s="59" t="n">
        <x:v>0</x:v>
      </x:c>
      <x:c r="M190" s="75" t="str">
        <x:v>ứng viên gần nhất=RAU CÂU GIÒN AGAR; score=0.551</x:v>
      </x:c>
    </x:row>
    <x:row r="191">
      <x:c r="A191" s="71" t="str">
        <x:v>RAU CÂU DẺO HOÀNG YẾN - THÙNG</x:v>
      </x:c>
      <x:c r="B191" s="37" t="str">
        <x:v>RCHYDE</x:v>
      </x:c>
      <x:c r="C191" s="37" t="str">
        <x:v>RCHYDET</x:v>
      </x:c>
      <x:c r="D191" s="37" t="n">
        <x:v>20</x:v>
      </x:c>
      <x:c r="E191" s="37" t="str">
        <x:v>CHƯA CÓ GIÁ LẺ</x:v>
      </x:c>
      <x:c r="F191" s="30"/>
      <x:c r="G191" s="37"/>
      <x:c r="H191" s="37"/>
      <x:c r="I191" s="79"/>
      <x:c r="J191" s="37" t="n">
        <x:v>0.495</x:v>
      </x:c>
      <x:c r="K191" s="37" t="str">
        <x:v>Rau câu Thảo Vân</x:v>
      </x:c>
      <x:c r="L191" s="59" t="n">
        <x:v>0</x:v>
      </x:c>
      <x:c r="M191" s="75" t="str">
        <x:v>ứng viên gần nhất=RAU CÂU CÁ DẺO; score=0.495</x:v>
      </x:c>
    </x:row>
    <x:row r="192">
      <x:c r="A192" s="71" t="str">
        <x:v>PHOMAI ANCHOR (CREAM CHEESE) - THÙNG</x:v>
      </x:c>
      <x:c r="B192" s="37" t="str">
        <x:v>PMANCH</x:v>
      </x:c>
      <x:c r="C192" s="37" t="str">
        <x:v>PMANCHT</x:v>
      </x:c>
      <x:c r="D192" s="37" t="n">
        <x:v>12</x:v>
      </x:c>
      <x:c r="E192" s="37" t="str">
        <x:v>CHƯA CÓ GIÁ LẺ</x:v>
      </x:c>
      <x:c r="F192" s="30"/>
      <x:c r="G192" s="37"/>
      <x:c r="H192" s="37"/>
      <x:c r="I192" s="79"/>
      <x:c r="J192" s="37" t="n">
        <x:v>0.421</x:v>
      </x:c>
      <x:c r="K192" s="37" t="str">
        <x:v>Ice hot on top</x:v>
      </x:c>
      <x:c r="L192" s="59" t="n">
        <x:v>0</x:v>
      </x:c>
      <x:c r="M192" s="75" t="str">
        <x:v>ứng viên gần nhất=Đậu hủ phomai ngon; score=0.421</x:v>
      </x:c>
    </x:row>
    <x:row r="193">
      <x:c r="A193" s="71" t="str">
        <x:v>PUDING MOTA MÔN - THÙNG</x:v>
      </x:c>
      <x:c r="B193" s="37" t="str">
        <x:v>PLMOMN</x:v>
      </x:c>
      <x:c r="C193" s="37" t="str">
        <x:v>PLMOMNT</x:v>
      </x:c>
      <x:c r="D193" s="37" t="n">
        <x:v>20</x:v>
      </x:c>
      <x:c r="E193" s="37" t="str">
        <x:v>CHƯA CÓ GIÁ LẺ</x:v>
      </x:c>
      <x:c r="F193" s="30"/>
      <x:c r="G193" s="37"/>
      <x:c r="H193" s="37"/>
      <x:c r="I193" s="79"/>
      <x:c r="J193" s="37" t="n">
        <x:v>0.802</x:v>
      </x:c>
      <x:c r="K193" s="37" t="str">
        <x:v>Flan Mole MÔN</x:v>
      </x:c>
      <x:c r="L193" s="59" t="n">
        <x:v>0</x:v>
      </x:c>
      <x:c r="M193" s="75" t="str">
        <x:v>Nguồn không có giá riêng cho vị Mota này</x:v>
      </x:c>
    </x:row>
    <x:row r="194">
      <x:c r="A194" s="71" t="str">
        <x:v>PUDING MOTA LƯỚI - THÙNG</x:v>
      </x:c>
      <x:c r="B194" s="37" t="str">
        <x:v>PLMODU</x:v>
      </x:c>
      <x:c r="C194" s="37" t="str">
        <x:v>PLMODUT</x:v>
      </x:c>
      <x:c r="D194" s="37" t="n">
        <x:v>20</x:v>
      </x:c>
      <x:c r="E194" s="37" t="str">
        <x:v>CHƯA CÓ GIÁ LẺ</x:v>
      </x:c>
      <x:c r="F194" s="30"/>
      <x:c r="G194" s="37"/>
      <x:c r="H194" s="37"/>
      <x:c r="I194" s="79"/>
      <x:c r="J194" s="37" t="n">
        <x:v>0.799</x:v>
      </x:c>
      <x:c r="K194" s="37" t="str">
        <x:v>Flan  mota sô</x:v>
      </x:c>
      <x:c r="L194" s="59" t="n">
        <x:v>0</x:v>
      </x:c>
      <x:c r="M194" s="75" t="str">
        <x:v>Nguồn không có giá riêng cho vị Mota này</x:v>
      </x:c>
    </x:row>
    <x:row r="195">
      <x:c r="A195" s="71" t="str">
        <x:v>PUDING MOTA DÂU - THÙNG</x:v>
      </x:c>
      <x:c r="B195" s="37" t="str">
        <x:v>PLMODA</x:v>
      </x:c>
      <x:c r="C195" s="37" t="str">
        <x:v>PLMODAT</x:v>
      </x:c>
      <x:c r="D195" s="37" t="n">
        <x:v>20</x:v>
      </x:c>
      <x:c r="E195" s="37" t="str">
        <x:v>CHƯA CÓ GIÁ LẺ</x:v>
      </x:c>
      <x:c r="F195" s="30"/>
      <x:c r="G195" s="37"/>
      <x:c r="H195" s="37"/>
      <x:c r="I195" s="79"/>
      <x:c r="J195" s="37" t="n">
        <x:v>0.802</x:v>
      </x:c>
      <x:c r="K195" s="37" t="str">
        <x:v>Flan Mole DÂU</x:v>
      </x:c>
      <x:c r="L195" s="59" t="n">
        <x:v>0</x:v>
      </x:c>
      <x:c r="M195" s="75" t="str">
        <x:v>Nguồn không có giá riêng cho vị Mota này</x:v>
      </x:c>
    </x:row>
    <x:row r="196">
      <x:c r="A196" s="71" t="str">
        <x:v>OSTERBER ĐÀO - THÙNG</x:v>
      </x:c>
      <x:c r="B196" s="37" t="str">
        <x:v>OCTDAO</x:v>
      </x:c>
      <x:c r="C196" s="37" t="str">
        <x:v>OCTDAOT</x:v>
      </x:c>
      <x:c r="D196" s="37" t="n">
        <x:v>12</x:v>
      </x:c>
      <x:c r="E196" s="37" t="str">
        <x:v>CHƯA CÓ GIÁ LẺ</x:v>
      </x:c>
      <x:c r="F196" s="30"/>
      <x:c r="G196" s="37"/>
      <x:c r="H196" s="37"/>
      <x:c r="I196" s="79"/>
      <x:c r="J196" s="37" t="n">
        <x:v>0.545</x:v>
      </x:c>
      <x:c r="K196" s="37" t="str">
        <x:v>Sinh Tố Gold Đào</x:v>
      </x:c>
      <x:c r="L196" s="59" t="n">
        <x:v>0</x:v>
      </x:c>
      <x:c r="M196" s="75" t="str">
        <x:v>ứng viên gần nhất=Sinh Tố Berrino Đào; score=0.545</x:v>
      </x:c>
    </x:row>
    <x:row r="197">
      <x:c r="A197" s="71" t="str">
        <x:v>OSTERBER DÂU - THÙNG</x:v>
      </x:c>
      <x:c r="B197" s="37" t="str">
        <x:v>OCTDAU</x:v>
      </x:c>
      <x:c r="C197" s="37" t="str">
        <x:v>OCTDAUT</x:v>
      </x:c>
      <x:c r="D197" s="37" t="n">
        <x:v>12</x:v>
      </x:c>
      <x:c r="E197" s="37" t="str">
        <x:v>CHƯA CÓ GIÁ LẺ</x:v>
      </x:c>
      <x:c r="F197" s="30"/>
      <x:c r="G197" s="37"/>
      <x:c r="H197" s="37"/>
      <x:c r="I197" s="79"/>
      <x:c r="J197" s="37" t="n">
        <x:v>0.522</x:v>
      </x:c>
      <x:c r="K197" s="37" t="str">
        <x:v>Sinh Tố Gold Dâu</x:v>
      </x:c>
      <x:c r="L197" s="59" t="n">
        <x:v>0</x:v>
      </x:c>
      <x:c r="M197" s="75" t="str">
        <x:v>ứng viên gần nhất=Sinh Tố Berrino Dâu; score=0.522</x:v>
      </x:c>
    </x:row>
    <x:row r="198">
      <x:c r="A198" s="71" t="str">
        <x:v>SỮA OATSIDE - THÙNG</x:v>
      </x:c>
      <x:c r="B198" s="37" t="str">
        <x:v>OATSID</x:v>
      </x:c>
      <x:c r="C198" s="37" t="str">
        <x:v>OATSIDT</x:v>
      </x:c>
      <x:c r="D198" s="37" t="n">
        <x:v>6</x:v>
      </x:c>
      <x:c r="E198" s="37" t="str">
        <x:v>CHƯA CÓ GIÁ LẺ</x:v>
      </x:c>
      <x:c r="F198" s="30"/>
      <x:c r="G198" s="37"/>
      <x:c r="H198" s="37"/>
      <x:c r="I198" s="79"/>
      <x:c r="J198" s="37" t="n">
        <x:v>0.342</x:v>
      </x:c>
      <x:c r="K198" s="37" t="str">
        <x:v>Ice hot lùn</x:v>
      </x:c>
      <x:c r="L198" s="59" t="n">
        <x:v>220000</x:v>
      </x:c>
      <x:c r="M198" s="75" t="str">
        <x:v>ứng viên gần nhất=Bánh sữa tươi; score=0.342</x:v>
      </x:c>
    </x:row>
    <x:row r="199">
      <x:c r="A199" s="71" t="str">
        <x:v>NHÃN LON THÁI - THÙNG</x:v>
      </x:c>
      <x:c r="B199" s="37" t="str">
        <x:v>NHANTH</x:v>
      </x:c>
      <x:c r="C199" s="37" t="str">
        <x:v>NHANTHT</x:v>
      </x:c>
      <x:c r="D199" s="37" t="n">
        <x:v>24</x:v>
      </x:c>
      <x:c r="E199" s="37" t="str">
        <x:v>CẦN DUYỆT</x:v>
      </x:c>
      <x:c r="F199" s="30" t="str">
        <x:v>NHÃN thái</x:v>
      </x:c>
      <x:c r="G199" s="37" t="n">
        <x:v>111</x:v>
      </x:c>
      <x:c r="H199" s="37" t="str">
        <x:v>LON</x:v>
      </x:c>
      <x:c r="I199" s="79" t="n">
        <x:v>40</x:v>
      </x:c>
      <x:c r="J199" s="37" t="n">
        <x:v>0.911</x:v>
      </x:c>
      <x:c r="K199" s="37" t="str">
        <x:v>Bot Sữa Thái</x:v>
      </x:c>
      <x:c r="L199" s="59" t="n">
        <x:v>920000</x:v>
      </x:c>
      <x:c r="M199" s="75" t="str">
        <x:v>score=0.911; gap=0.138; khác nhóm hàng</x:v>
      </x:c>
    </x:row>
    <x:row r="200">
      <x:c r="A200" s="71" t="str">
        <x:v>NƯỚC CỐT TẮC LIME - THÙNG</x:v>
      </x:c>
      <x:c r="B200" s="37" t="str">
        <x:v>CTLIME</x:v>
      </x:c>
      <x:c r="C200" s="37" t="str">
        <x:v>CTLIMET</x:v>
      </x:c>
      <x:c r="D200" s="37" t="n">
        <x:v>12</x:v>
      </x:c>
      <x:c r="E200" s="37" t="str">
        <x:v>CHƯA CÓ GIÁ LẺ</x:v>
      </x:c>
      <x:c r="F200" s="30"/>
      <x:c r="G200" s="37"/>
      <x:c r="H200" s="37"/>
      <x:c r="I200" s="79"/>
      <x:c r="J200" s="37" t="n">
        <x:v>0.498</x:v>
      </x:c>
      <x:c r="K200" s="37" t="str">
        <x:v>Nước cốt dừa thai 1 lit</x:v>
      </x:c>
      <x:c r="L200" s="59" t="n">
        <x:v>0</x:v>
      </x:c>
      <x:c r="M200" s="75" t="str">
        <x:v>ứng viên gần nhất=nước bò; score=0.498</x:v>
      </x:c>
    </x:row>
    <x:row r="201">
      <x:c r="A201" s="71" t="str">
        <x:v>NƯỚC CỐT CHANH LIME - THÙNG</x:v>
      </x:c>
      <x:c r="B201" s="37" t="str">
        <x:v>CCLIME</x:v>
      </x:c>
      <x:c r="C201" s="37" t="str">
        <x:v>CCLIMET</x:v>
      </x:c>
      <x:c r="D201" s="37" t="n">
        <x:v>12</x:v>
      </x:c>
      <x:c r="E201" s="37" t="str">
        <x:v>CHƯA CÓ GIÁ LẺ</x:v>
      </x:c>
      <x:c r="F201" s="30"/>
      <x:c r="G201" s="37"/>
      <x:c r="H201" s="37"/>
      <x:c r="I201" s="79"/>
      <x:c r="J201" s="37" t="n">
        <x:v>0.498</x:v>
      </x:c>
      <x:c r="K201" s="37" t="str">
        <x:v>Nước cốt dừa thai 1 lit</x:v>
      </x:c>
      <x:c r="L201" s="59" t="n">
        <x:v>0</x:v>
      </x:c>
      <x:c r="M201" s="75" t="str">
        <x:v>ứng viên gần nhất=nước bò; score=0.498</x:v>
      </x:c>
    </x:row>
    <x:row r="202">
      <x:c r="A202" s="71" t="str">
        <x:v>NẤM 20GAM - THÙNG</x:v>
      </x:c>
      <x:c r="B202" s="37" t="str">
        <x:v>NAM200</x:v>
      </x:c>
      <x:c r="C202" s="37" t="str">
        <x:v>NAM200T</x:v>
      </x:c>
      <x:c r="D202" s="37" t="n">
        <x:v>35</x:v>
      </x:c>
      <x:c r="E202" s="37" t="str">
        <x:v>CHƯA CÓ GIÁ LẺ</x:v>
      </x:c>
      <x:c r="F202" s="30"/>
      <x:c r="G202" s="37"/>
      <x:c r="H202" s="37"/>
      <x:c r="I202" s="79"/>
      <x:c r="J202" s="37" t="n">
        <x:v>0.32</x:v>
      </x:c>
      <x:c r="K202" s="37" t="str">
        <x:v>Hồng trà túi lọc TNB</x:v>
      </x:c>
      <x:c r="L202" s="59" t="n">
        <x:v>0</x:v>
      </x:c>
      <x:c r="M202" s="75" t="str">
        <x:v>ứng viên gần nhất=Trà lài túi lọc TNB; score=0.320</x:v>
      </x:c>
    </x:row>
    <x:row r="203">
      <x:c r="A203" s="71" t="str">
        <x:v>MỨT VINA 1L XOÀI - THÙNG</x:v>
      </x:c>
      <x:c r="B203" s="37" t="str">
        <x:v>STV1XO</x:v>
      </x:c>
      <x:c r="C203" s="37" t="str">
        <x:v>STV1XOT</x:v>
      </x:c>
      <x:c r="D203" s="37" t="n">
        <x:v>12</x:v>
      </x:c>
      <x:c r="E203" s="37" t="str">
        <x:v>CẦN DUYỆT</x:v>
      </x:c>
      <x:c r="F203" s="30" t="str">
        <x:v>SINH TỐ VINA ỔI</x:v>
      </x:c>
      <x:c r="G203" s="37" t="n">
        <x:v>52</x:v>
      </x:c>
      <x:c r="H203" s="37" t="str">
        <x:v>CHAI</x:v>
      </x:c>
      <x:c r="I203" s="79" t="n">
        <x:v>70</x:v>
      </x:c>
      <x:c r="J203" s="37" t="n">
        <x:v>0.685</x:v>
      </x:c>
      <x:c r="K203" s="37" t="str">
        <x:v>SINH TỐ VINA VẢI</x:v>
      </x:c>
      <x:c r="L203" s="59" t="n">
        <x:v>0</x:v>
      </x:c>
      <x:c r="M203" s="75" t="str">
        <x:v>score=0.685; gap=0.021; phương án 2=SINH TỐ VINA VẢI</x:v>
      </x:c>
    </x:row>
    <x:row r="204">
      <x:c r="A204" s="71" t="str">
        <x:v>MỨT ICEHOT VIỆT QUẤT - THÙNG</x:v>
      </x:c>
      <x:c r="B204" s="37" t="str">
        <x:v>MVQUIH</x:v>
      </x:c>
      <x:c r="C204" s="37" t="str">
        <x:v>MVQUIHT</x:v>
      </x:c>
      <x:c r="D204" s="37" t="n">
        <x:v>8</x:v>
      </x:c>
      <x:c r="E204" s="37" t="str">
        <x:v>CHƯA CÓ GIÁ LẺ</x:v>
      </x:c>
      <x:c r="F204" s="30"/>
      <x:c r="G204" s="37"/>
      <x:c r="H204" s="37"/>
      <x:c r="I204" s="79"/>
      <x:c r="J204" s="37" t="n">
        <x:v>0.355</x:v>
      </x:c>
      <x:c r="K204" s="37" t="str">
        <x:v>Sinh Tố Gold Việt Quốc</x:v>
      </x:c>
      <x:c r="L204" s="59" t="n">
        <x:v>0</x:v>
      </x:c>
      <x:c r="M204" s="75" t="str">
        <x:v>ứng viên gần nhất=Sinh Tố Berrino Việt Quốc; score=0.355</x:v>
      </x:c>
    </x:row>
    <x:row r="205">
      <x:c r="A205" s="71" t="str">
        <x:v>MỨT VINA 1L THƠM - THÙNG</x:v>
      </x:c>
      <x:c r="B205" s="37" t="str">
        <x:v>STV1TH</x:v>
      </x:c>
      <x:c r="C205" s="37" t="str">
        <x:v>STV1THT</x:v>
      </x:c>
      <x:c r="D205" s="37" t="n">
        <x:v>12</x:v>
      </x:c>
      <x:c r="E205" s="37" t="str">
        <x:v>CHƯA CÓ GIÁ LẺ</x:v>
      </x:c>
      <x:c r="F205" s="30"/>
      <x:c r="G205" s="37"/>
      <x:c r="H205" s="37"/>
      <x:c r="I205" s="79"/>
      <x:c r="J205" s="37" t="n">
        <x:v>0.655</x:v>
      </x:c>
      <x:c r="K205" s="37" t="str">
        <x:v>SINH TỐ VINA DÂU</x:v>
      </x:c>
      <x:c r="L205" s="59" t="n">
        <x:v>0</x:v>
      </x:c>
      <x:c r="M205" s="75" t="str">
        <x:v>ứng viên gần nhất=SINH TỐ VINA ỔI; score=0.655</x:v>
      </x:c>
    </x:row>
    <x:row r="206">
      <x:c r="A206" s="71" t="str">
        <x:v>MỨT GOLD THƠM - THÙNG</x:v>
      </x:c>
      <x:c r="B206" s="37" t="str">
        <x:v>STGTHM</x:v>
      </x:c>
      <x:c r="C206" s="37" t="str">
        <x:v>STGTHMT</x:v>
      </x:c>
      <x:c r="D206" s="37" t="n">
        <x:v>12</x:v>
      </x:c>
      <x:c r="E206" s="37" t="str">
        <x:v>CHƯA CÓ GIÁ LẺ</x:v>
      </x:c>
      <x:c r="F206" s="30"/>
      <x:c r="G206" s="37"/>
      <x:c r="H206" s="37"/>
      <x:c r="I206" s="79"/>
      <x:c r="J206" s="37" t="n">
        <x:v>0.656</x:v>
      </x:c>
      <x:c r="K206" s="37" t="str">
        <x:v>Sinh Tố Gol Nho</x:v>
      </x:c>
      <x:c r="L206" s="59" t="n">
        <x:v>0</x:v>
      </x:c>
      <x:c r="M206" s="75" t="str">
        <x:v>ứng viên gần nhất=Sinh Tô berino khom; score=0.656</x:v>
      </x:c>
    </x:row>
    <x:row r="207">
      <x:c r="A207" s="71" t="str">
        <x:v>MỨT GOLD TÁO XANH - THÙNG</x:v>
      </x:c>
      <x:c r="B207" s="37" t="str">
        <x:v>STGTAO</x:v>
      </x:c>
      <x:c r="C207" s="37" t="str">
        <x:v>STGTAOT</x:v>
      </x:c>
      <x:c r="D207" s="37" t="n">
        <x:v>12</x:v>
      </x:c>
      <x:c r="E207" s="37" t="str">
        <x:v>CHƯA CÓ GIÁ LẺ</x:v>
      </x:c>
      <x:c r="F207" s="30"/>
      <x:c r="G207" s="37"/>
      <x:c r="H207" s="37"/>
      <x:c r="I207" s="79"/>
      <x:c r="J207" s="37" t="n">
        <x:v>0.514</x:v>
      </x:c>
      <x:c r="K207" s="37" t="str">
        <x:v>Sinh Tố Gold Dâu</x:v>
      </x:c>
      <x:c r="L207" s="59" t="n">
        <x:v>0</x:v>
      </x:c>
      <x:c r="M207" s="75" t="str">
        <x:v>ứng viên gần nhất=Sinh Tố Gold ổi; score=0.514</x:v>
      </x:c>
    </x:row>
    <x:row r="208">
      <x:c r="A208" s="71" t="str">
        <x:v>MỨT GOLD NHÃN - THÙNG</x:v>
      </x:c>
      <x:c r="B208" s="37" t="str">
        <x:v>STGNHN</x:v>
      </x:c>
      <x:c r="C208" s="37" t="str">
        <x:v>STGNHNT</x:v>
      </x:c>
      <x:c r="D208" s="37" t="n">
        <x:v>12</x:v>
      </x:c>
      <x:c r="E208" s="37" t="str">
        <x:v>CHƯA CÓ GIÁ LẺ</x:v>
      </x:c>
      <x:c r="F208" s="30"/>
      <x:c r="G208" s="37"/>
      <x:c r="H208" s="37"/>
      <x:c r="I208" s="79"/>
      <x:c r="J208" s="37" t="n">
        <x:v>0.541</x:v>
      </x:c>
      <x:c r="K208" s="37" t="str">
        <x:v>Sinh Tố Gold Dâu</x:v>
      </x:c>
      <x:c r="L208" s="59" t="n">
        <x:v>0</x:v>
      </x:c>
      <x:c r="M208" s="75" t="str">
        <x:v>ứng viên gần nhất=Sinh Tố Gol Nho; score=0.541</x:v>
      </x:c>
    </x:row>
    <x:row r="209">
      <x:c r="A209" s="71" t="str">
        <x:v>MỨT VINA 1L LỰU - THÙNG</x:v>
      </x:c>
      <x:c r="B209" s="37" t="str">
        <x:v>STV1LU</x:v>
      </x:c>
      <x:c r="C209" s="37" t="str">
        <x:v>STV1LUT</x:v>
      </x:c>
      <x:c r="D209" s="37" t="n">
        <x:v>12</x:v>
      </x:c>
      <x:c r="E209" s="37" t="str">
        <x:v>CẦN DUYỆT</x:v>
      </x:c>
      <x:c r="F209" s="30" t="str">
        <x:v>SINH TỐ VINA DÂU</x:v>
      </x:c>
      <x:c r="G209" s="37" t="n">
        <x:v>48</x:v>
      </x:c>
      <x:c r="H209" s="37" t="str">
        <x:v>CHAI</x:v>
      </x:c>
      <x:c r="I209" s="79" t="n">
        <x:v>70</x:v>
      </x:c>
      <x:c r="J209" s="37" t="n">
        <x:v>0.664</x:v>
      </x:c>
      <x:c r="K209" s="37" t="str">
        <x:v>SINH TỐ VINA ỔI</x:v>
      </x:c>
      <x:c r="L209" s="59" t="n">
        <x:v>0</x:v>
      </x:c>
      <x:c r="M209" s="75" t="str">
        <x:v>score=0.664; gap=0.013; phương án 2=SINH TỐ VINA ỔI</x:v>
      </x:c>
    </x:row>
    <x:row r="210">
      <x:c r="A210" s="71" t="str">
        <x:v>MỨT VINA 1L ĐÀO  - THÙNG</x:v>
      </x:c>
      <x:c r="B210" s="37" t="str">
        <x:v>STV1DO</x:v>
      </x:c>
      <x:c r="C210" s="37" t="str">
        <x:v>STV1DOT</x:v>
      </x:c>
      <x:c r="D210" s="37" t="n">
        <x:v>12</x:v>
      </x:c>
      <x:c r="E210" s="37" t="str">
        <x:v>CẦN DUYỆT</x:v>
      </x:c>
      <x:c r="F210" s="30" t="str">
        <x:v>SINH TỐ VINA DÂU</x:v>
      </x:c>
      <x:c r="G210" s="37" t="n">
        <x:v>48</x:v>
      </x:c>
      <x:c r="H210" s="37" t="str">
        <x:v>CHAI</x:v>
      </x:c>
      <x:c r="I210" s="79" t="n">
        <x:v>70</x:v>
      </x:c>
      <x:c r="J210" s="37" t="n">
        <x:v>0.702</x:v>
      </x:c>
      <x:c r="K210" s="37" t="str">
        <x:v>SINH TỐ VINA ỔI</x:v>
      </x:c>
      <x:c r="L210" s="59" t="n">
        <x:v>0</x:v>
      </x:c>
      <x:c r="M210" s="75" t="str">
        <x:v>score=0.702; gap=0.033; phương án 2=SINH TỐ VINA ỔI</x:v>
      </x:c>
    </x:row>
    <x:row r="211">
      <x:c r="A211" s="71" t="str">
        <x:v>MỨT ICEHOT ĐÀO - THÙNG</x:v>
      </x:c>
      <x:c r="B211" s="37" t="str">
        <x:v>MDAOIH</x:v>
      </x:c>
      <x:c r="C211" s="37" t="str">
        <x:v>MDAOIHT</x:v>
      </x:c>
      <x:c r="D211" s="37" t="n">
        <x:v>8</x:v>
      </x:c>
      <x:c r="E211" s="37" t="str">
        <x:v>CHƯA CÓ GIÁ LẺ</x:v>
      </x:c>
      <x:c r="F211" s="30"/>
      <x:c r="G211" s="37"/>
      <x:c r="H211" s="37"/>
      <x:c r="I211" s="79"/>
      <x:c r="J211" s="37" t="n">
        <x:v>0.499</x:v>
      </x:c>
      <x:c r="K211" s="37" t="str">
        <x:v>Sinh Tố Gold Đào</x:v>
      </x:c>
      <x:c r="L211" s="59" t="n">
        <x:v>0</x:v>
      </x:c>
      <x:c r="M211" s="75" t="str">
        <x:v>ứng viên gần nhất=Sinh Tố Berrino Đào; score=0.499</x:v>
      </x:c>
    </x:row>
    <x:row r="212">
      <x:c r="A212" s="71" t="str">
        <x:v>MỨT GOLD DƯA LƯỚI XANH - THÙNG</x:v>
      </x:c>
      <x:c r="B212" s="37" t="str">
        <x:v>STGDLU</x:v>
      </x:c>
      <x:c r="C212" s="37" t="str">
        <x:v>STGDLUT</x:v>
      </x:c>
      <x:c r="D212" s="37" t="n">
        <x:v>12</x:v>
      </x:c>
      <x:c r="E212" s="37" t="str">
        <x:v>CHƯA CÓ GIÁ LẺ</x:v>
      </x:c>
      <x:c r="F212" s="30"/>
      <x:c r="G212" s="37"/>
      <x:c r="H212" s="37"/>
      <x:c r="I212" s="79"/>
      <x:c r="J212" s="37" t="n">
        <x:v>0.53</x:v>
      </x:c>
      <x:c r="K212" s="37" t="str">
        <x:v>Sinh Tố Gold Dâu</x:v>
      </x:c>
      <x:c r="L212" s="59" t="n">
        <x:v>0</x:v>
      </x:c>
      <x:c r="M212" s="75" t="str">
        <x:v>ứng viên gần nhất=Sinh Tố Gold ổi; score=0.530</x:v>
      </x:c>
    </x:row>
    <x:row r="213">
      <x:c r="A213" s="71" t="str">
        <x:v>MỨT VINA 1L DƯA LƯỚI - THÙNG</x:v>
      </x:c>
      <x:c r="B213" s="37" t="str">
        <x:v>STV1DL</x:v>
      </x:c>
      <x:c r="C213" s="37" t="str">
        <x:v>STV1DLT</x:v>
      </x:c>
      <x:c r="D213" s="37" t="n">
        <x:v>12</x:v>
      </x:c>
      <x:c r="E213" s="37" t="str">
        <x:v>CHƯA CÓ GIÁ LẺ</x:v>
      </x:c>
      <x:c r="F213" s="30"/>
      <x:c r="G213" s="37"/>
      <x:c r="H213" s="37"/>
      <x:c r="I213" s="79"/>
      <x:c r="J213" s="37" t="n">
        <x:v>0.65</x:v>
      </x:c>
      <x:c r="K213" s="37" t="str">
        <x:v>SINH TỐ VINA ỔI</x:v>
      </x:c>
      <x:c r="L213" s="59" t="n">
        <x:v>0</x:v>
      </x:c>
      <x:c r="M213" s="75" t="str">
        <x:v>ứng viên gần nhất=SINH TỐ VINA DÂU; score=0.650</x:v>
      </x:c>
    </x:row>
    <x:row r="214">
      <x:c r="A214" s="71" t="str">
        <x:v>MỨT DOUXIAN ĐƯỜNG ĐEN - THÙNG</x:v>
      </x:c>
      <x:c r="B214" s="37" t="str">
        <x:v>STDXDD</x:v>
      </x:c>
      <x:c r="C214" s="37" t="str">
        <x:v>STDXDDT</x:v>
      </x:c>
      <x:c r="D214" s="37" t="n">
        <x:v>12</x:v>
      </x:c>
      <x:c r="E214" s="37" t="str">
        <x:v>CHƯA CÓ GIÁ LẺ</x:v>
      </x:c>
      <x:c r="F214" s="30"/>
      <x:c r="G214" s="37"/>
      <x:c r="H214" s="37"/>
      <x:c r="I214" s="79"/>
      <x:c r="J214" s="37" t="n">
        <x:v>0.787</x:v>
      </x:c>
      <x:c r="K214" s="37" t="str">
        <x:v>Flan Douxian</x:v>
      </x:c>
      <x:c r="L214" s="59" t="n">
        <x:v>0</x:v>
      </x:c>
      <x:c r="M214" s="75" t="str">
        <x:v>Không dùng giá Sốt/Đường Douxian cho Mứt Douxian</x:v>
      </x:c>
    </x:row>
    <x:row r="215">
      <x:c r="A215" s="71" t="str">
        <x:v>MỨT DOUXIAN ĐÀO - THÙNG</x:v>
      </x:c>
      <x:c r="B215" s="37" t="str">
        <x:v>STDXDO</x:v>
      </x:c>
      <x:c r="C215" s="37" t="str">
        <x:v>STDXDOT</x:v>
      </x:c>
      <x:c r="D215" s="37" t="n">
        <x:v>12</x:v>
      </x:c>
      <x:c r="E215" s="37" t="str">
        <x:v>CHƯA CÓ GIÁ LẺ</x:v>
      </x:c>
      <x:c r="F215" s="30"/>
      <x:c r="G215" s="37"/>
      <x:c r="H215" s="37"/>
      <x:c r="I215" s="79"/>
      <x:c r="J215" s="37" t="n">
        <x:v>0.8</x:v>
      </x:c>
      <x:c r="K215" s="37" t="str">
        <x:v>Flan Douxian</x:v>
      </x:c>
      <x:c r="L215" s="59" t="n">
        <x:v>0</x:v>
      </x:c>
      <x:c r="M215" s="75" t="str">
        <x:v>Không dùng giá Sốt/Đường Douxian cho Mứt Douxian</x:v>
      </x:c>
    </x:row>
    <x:row r="216">
      <x:c r="A216" s="71" t="str">
        <x:v>MỨT DOUXIAN DÂU - THÙNG</x:v>
      </x:c>
      <x:c r="B216" s="37" t="str">
        <x:v>STDXDA</x:v>
      </x:c>
      <x:c r="C216" s="37" t="str">
        <x:v>STDXDAT</x:v>
      </x:c>
      <x:c r="D216" s="37" t="n">
        <x:v>12</x:v>
      </x:c>
      <x:c r="E216" s="37" t="str">
        <x:v>CẦN DUYỆT</x:v>
      </x:c>
      <x:c r="F216" s="30" t="str">
        <x:v>Sốt Douxian các loại</x:v>
      </x:c>
      <x:c r="G216" s="37" t="n">
        <x:v>99</x:v>
      </x:c>
      <x:c r="H216" s="37" t="str">
        <x:v>Chai</x:v>
      </x:c>
      <x:c r="I216" s="79" t="n">
        <x:v>53</x:v>
      </x:c>
      <x:c r="J216" s="37" t="n">
        <x:v>0.775</x:v>
      </x:c>
      <x:c r="K216" s="37" t="str">
        <x:v>Flan Douxian</x:v>
      </x:c>
      <x:c r="L216" s="59" t="n">
        <x:v>0</x:v>
      </x:c>
      <x:c r="M216" s="75" t="str">
        <x:v>score=0.775; gap=0.001; phương án 2=Flan Douxian</x:v>
      </x:c>
    </x:row>
    <x:row r="217">
      <x:c r="A217" s="71" t="str">
        <x:v>MỨT DOUXIAN CHANH DÂY - THÙNG</x:v>
      </x:c>
      <x:c r="B217" s="37" t="str">
        <x:v>STDXCD</x:v>
      </x:c>
      <x:c r="C217" s="37" t="str">
        <x:v>STDXCDT</x:v>
      </x:c>
      <x:c r="D217" s="37" t="n">
        <x:v>12</x:v>
      </x:c>
      <x:c r="E217" s="37" t="str">
        <x:v>CHƯA CÓ GIÁ LẺ</x:v>
      </x:c>
      <x:c r="F217" s="30"/>
      <x:c r="G217" s="37"/>
      <x:c r="H217" s="37"/>
      <x:c r="I217" s="79"/>
      <x:c r="J217" s="37" t="n">
        <x:v>0.784</x:v>
      </x:c>
      <x:c r="K217" s="37" t="str">
        <x:v>Flan Douxian</x:v>
      </x:c>
      <x:c r="L217" s="59" t="n">
        <x:v>0</x:v>
      </x:c>
      <x:c r="M217" s="75" t="str">
        <x:v>Không dùng giá Sốt/Đường Douxian cho Mứt Douxian</x:v>
      </x:c>
    </x:row>
    <x:row r="218">
      <x:c r="A218" s="71" t="str">
        <x:v>MUỖNG DÀI TRẮNG ĐÔI - THÙNG</x:v>
      </x:c>
      <x:c r="B218" s="37" t="str">
        <x:v>MDTDOI</x:v>
      </x:c>
      <x:c r="C218" s="37" t="str">
        <x:v>MDTDOIT</x:v>
      </x:c>
      <x:c r="D218" s="37" t="n">
        <x:v>25</x:v>
      </x:c>
      <x:c r="E218" s="37" t="str">
        <x:v>CẦN DUYỆT</x:v>
      </x:c>
      <x:c r="F218" s="30" t="str">
        <x:v>Muỗng dài</x:v>
      </x:c>
      <x:c r="G218" s="37" t="n">
        <x:v>232</x:v>
      </x:c>
      <x:c r="H218" s="37" t="str">
        <x:v>bich</x:v>
      </x:c>
      <x:c r="I218" s="79" t="n">
        <x:v>11</x:v>
      </x:c>
      <x:c r="J218" s="37" t="n">
        <x:v>0.762</x:v>
      </x:c>
      <x:c r="K218" s="37" t="str">
        <x:v>Sương Sáo trắng/đen</x:v>
      </x:c>
      <x:c r="L218" s="59" t="n">
        <x:v>450000</x:v>
      </x:c>
      <x:c r="M218" s="75" t="str">
        <x:v>score=0.762; gap=0.420; lệch giá thùng cũ 64%</x:v>
      </x:c>
    </x:row>
    <x:row r="219">
      <x:c r="A219" s="71" t="str">
        <x:v>MÌ BÒ 100 GÓI - THÙNG</x:v>
      </x:c>
      <x:c r="B219" s="37" t="str">
        <x:v>MIBO10</x:v>
      </x:c>
      <x:c r="C219" s="37" t="str">
        <x:v>MIBO10T</x:v>
      </x:c>
      <x:c r="D219" s="37" t="n">
        <x:v>10</x:v>
      </x:c>
      <x:c r="E219" s="37" t="str">
        <x:v>CHƯA CÓ GIÁ LẺ</x:v>
      </x:c>
      <x:c r="F219" s="30"/>
      <x:c r="G219" s="37"/>
      <x:c r="H219" s="37"/>
      <x:c r="I219" s="79"/>
      <x:c r="J219" s="37" t="n">
        <x:v>0.422</x:v>
      </x:c>
      <x:c r="K219" s="37" t="str">
        <x:v>MÌ ACECOOK DELI</x:v>
      </x:c>
      <x:c r="L219" s="59" t="n">
        <x:v>675000</x:v>
      </x:c>
      <x:c r="M219" s="75" t="str">
        <x:v>ứng viên gần nhất=Mì Koreno 100 gói; score=0.422</x:v>
      </x:c>
    </x:row>
    <x:row r="220">
      <x:c r="A220" s="71" t="str">
        <x:v>SIRO TRÒN MẬT ONG - THÙNG</x:v>
      </x:c>
      <x:c r="B220" s="37" t="str">
        <x:v>SRMOGT</x:v>
      </x:c>
      <x:c r="C220" s="37" t="str">
        <x:v>SRMOGTT</x:v>
      </x:c>
      <x:c r="D220" s="37" t="n">
        <x:v>6</x:v>
      </x:c>
      <x:c r="E220" s="37" t="str">
        <x:v>CHƯA CÓ GIÁ LẺ</x:v>
      </x:c>
      <x:c r="F220" s="30"/>
      <x:c r="G220" s="37"/>
      <x:c r="H220" s="37"/>
      <x:c r="I220" s="79"/>
      <x:c r="J220" s="37" t="n">
        <x:v>0.447</x:v>
      </x:c>
      <x:c r="K220" s="37" t="str">
        <x:v>Mật ong Euro deli</x:v>
      </x:c>
      <x:c r="L220" s="59" t="n">
        <x:v>0</x:v>
      </x:c>
      <x:c r="M220" s="75" t="str">
        <x:v>ứng viên gần nhất=Siro Douxian 2l tròn; score=0.447</x:v>
      </x:c>
    </x:row>
    <x:row r="221">
      <x:c r="A221" s="71" t="str">
        <x:v>MẬT ONG ERODELI - THÙNG</x:v>
      </x:c>
      <x:c r="B221" s="37" t="str">
        <x:v>MOGEUR</x:v>
      </x:c>
      <x:c r="C221" s="37" t="str">
        <x:v>MOGEURT</x:v>
      </x:c>
      <x:c r="D221" s="37" t="n">
        <x:v>10</x:v>
      </x:c>
      <x:c r="E221" s="37" t="str">
        <x:v>CHƯA CÓ GIÁ LẺ</x:v>
      </x:c>
      <x:c r="F221" s="30"/>
      <x:c r="G221" s="37"/>
      <x:c r="H221" s="37"/>
      <x:c r="I221" s="79"/>
      <x:c r="J221" s="37" t="n">
        <x:v>0.61</x:v>
      </x:c>
      <x:c r="K221" s="37" t="str">
        <x:v>BỘT MILKFOAM ERDOLI</x:v>
      </x:c>
      <x:c r="L221" s="59" t="n">
        <x:v>0</x:v>
      </x:c>
      <x:c r="M221" s="75" t="str">
        <x:v>ứng viên gần nhất=Mật ong Euro deli; score=0.610</x:v>
      </x:c>
    </x:row>
    <x:row r="222">
      <x:c r="A222" s="71" t="str">
        <x:v>SIRO MAMA VIỆT QUỐC - THÙNG</x:v>
      </x:c>
      <x:c r="B222" s="37" t="str">
        <x:v>SRMMVQ</x:v>
      </x:c>
      <x:c r="C222" s="37" t="str">
        <x:v>SRMMVQT</x:v>
      </x:c>
      <x:c r="D222" s="37" t="n">
        <x:v>12</x:v>
      </x:c>
      <x:c r="E222" s="37" t="str">
        <x:v>CHƯA CÓ GIÁ LẺ</x:v>
      </x:c>
      <x:c r="F222" s="30"/>
      <x:c r="G222" s="37"/>
      <x:c r="H222" s="37"/>
      <x:c r="I222" s="79"/>
      <x:c r="J222" s="37" t="n">
        <x:v>0.058</x:v>
      </x:c>
      <x:c r="K222" s="37" t="str">
        <x:v>Siro Changthai</x:v>
      </x:c>
      <x:c r="L222" s="59" t="n">
        <x:v>624000</x:v>
      </x:c>
      <x:c r="M222" s="75" t="str">
        <x:v>ứng viên gần nhất=Siro vỏ cam Gold 700ml; score=0.058</x:v>
      </x:c>
    </x:row>
    <x:row r="223">
      <x:c r="A223" s="71" t="str">
        <x:v>SIRO MAMA VẢI - THÙNG</x:v>
      </x:c>
      <x:c r="B223" s="37" t="str">
        <x:v>SRMMVA</x:v>
      </x:c>
      <x:c r="C223" s="37" t="str">
        <x:v>SRMMVAT</x:v>
      </x:c>
      <x:c r="D223" s="37" t="n">
        <x:v>12</x:v>
      </x:c>
      <x:c r="E223" s="37" t="str">
        <x:v>CHƯA CÓ GIÁ LẺ</x:v>
      </x:c>
      <x:c r="F223" s="30"/>
      <x:c r="G223" s="37"/>
      <x:c r="H223" s="37"/>
      <x:c r="I223" s="79"/>
      <x:c r="J223" s="37" t="n">
        <x:v>0.066</x:v>
      </x:c>
      <x:c r="K223" s="37" t="str">
        <x:v>Siro Changthai</x:v>
      </x:c>
      <x:c r="L223" s="59" t="n">
        <x:v>624000</x:v>
      </x:c>
      <x:c r="M223" s="75" t="str">
        <x:v>ứng viên gần nhất=Siro Sâm Dứa Vina; score=0.066</x:v>
      </x:c>
    </x:row>
    <x:row r="224">
      <x:c r="A224" s="71" t="str">
        <x:v>SIRO MAMA TÁO - THÙNG</x:v>
      </x:c>
      <x:c r="B224" s="37" t="str">
        <x:v>SRMMTA</x:v>
      </x:c>
      <x:c r="C224" s="37" t="str">
        <x:v>SRMMTAT</x:v>
      </x:c>
      <x:c r="D224" s="37" t="n">
        <x:v>12</x:v>
      </x:c>
      <x:c r="E224" s="37" t="str">
        <x:v>CHƯA CÓ GIÁ LẺ</x:v>
      </x:c>
      <x:c r="F224" s="30"/>
      <x:c r="G224" s="37"/>
      <x:c r="H224" s="37"/>
      <x:c r="I224" s="79"/>
      <x:c r="J224" s="37" t="n">
        <x:v>0.388</x:v>
      </x:c>
      <x:c r="K224" s="37" t="str">
        <x:v>Siro Gold 700ml</x:v>
      </x:c>
      <x:c r="L224" s="59" t="n">
        <x:v>624000</x:v>
      </x:c>
      <x:c r="M224" s="75" t="str">
        <x:v>ứng viên gần nhất=Giấm Táo; score=0.388</x:v>
      </x:c>
    </x:row>
    <x:row r="225">
      <x:c r="A225" s="71" t="str">
        <x:v>SIRO MAMA SẦU RIÊNG - THÙNG</x:v>
      </x:c>
      <x:c r="B225" s="37" t="str">
        <x:v>SRMMSR</x:v>
      </x:c>
      <x:c r="C225" s="37" t="str">
        <x:v>SRMMSRT</x:v>
      </x:c>
      <x:c r="D225" s="37" t="n">
        <x:v>12</x:v>
      </x:c>
      <x:c r="E225" s="37" t="str">
        <x:v>CHƯA CÓ GIÁ LẺ</x:v>
      </x:c>
      <x:c r="F225" s="30"/>
      <x:c r="G225" s="37"/>
      <x:c r="H225" s="37"/>
      <x:c r="I225" s="79"/>
      <x:c r="J225" s="37" t="n">
        <x:v>0.062</x:v>
      </x:c>
      <x:c r="K225" s="37" t="str">
        <x:v>Siro Sâm Dứa Vina</x:v>
      </x:c>
      <x:c r="L225" s="59" t="n">
        <x:v>624000</x:v>
      </x:c>
      <x:c r="M225" s="75" t="str">
        <x:v>ứng viên gần nhất=Siro Changthai; score=0.062</x:v>
      </x:c>
    </x:row>
    <x:row r="226">
      <x:c r="A226" s="71" t="str">
        <x:v>SIRO MAMA SÂM DỨA - THÙNG</x:v>
      </x:c>
      <x:c r="B226" s="37" t="str">
        <x:v>SRMMSD</x:v>
      </x:c>
      <x:c r="C226" s="37" t="str">
        <x:v>SRMMSDT</x:v>
      </x:c>
      <x:c r="D226" s="37" t="n">
        <x:v>12</x:v>
      </x:c>
      <x:c r="E226" s="37" t="str">
        <x:v>CẦN DUYỆT</x:v>
      </x:c>
      <x:c r="F226" s="30" t="str">
        <x:v>Siro Sâm Dứa Vina</x:v>
      </x:c>
      <x:c r="G226" s="37" t="n">
        <x:v>13</x:v>
      </x:c>
      <x:c r="H226" s="37" t="str">
        <x:v>Chai</x:v>
      </x:c>
      <x:c r="I226" s="79" t="n">
        <x:v>25</x:v>
      </x:c>
      <x:c r="J226" s="37" t="n">
        <x:v>0.673</x:v>
      </x:c>
      <x:c r="K226" s="37" t="str">
        <x:v>Siro Gold 700ml</x:v>
      </x:c>
      <x:c r="L226" s="59" t="n">
        <x:v>624000</x:v>
      </x:c>
      <x:c r="M226" s="75" t="str">
        <x:v>score=0.673; gap=0.623; phương án 2=Siro Gold 700ml</x:v>
      </x:c>
    </x:row>
    <x:row r="227">
      <x:c r="A227" s="71" t="str">
        <x:v>SIRO MAMA ỔI - THÙNG</x:v>
      </x:c>
      <x:c r="B227" s="37" t="str">
        <x:v>SRMMOI</x:v>
      </x:c>
      <x:c r="C227" s="37" t="str">
        <x:v>SRMMOIT</x:v>
      </x:c>
      <x:c r="D227" s="37" t="n">
        <x:v>12</x:v>
      </x:c>
      <x:c r="E227" s="37" t="str">
        <x:v>CHƯA CÓ GIÁ LẺ</x:v>
      </x:c>
      <x:c r="F227" s="30"/>
      <x:c r="G227" s="37"/>
      <x:c r="H227" s="37"/>
      <x:c r="I227" s="79"/>
      <x:c r="J227" s="37" t="n">
        <x:v>0.065</x:v>
      </x:c>
      <x:c r="K227" s="37" t="str">
        <x:v>Siro Gold 700ml</x:v>
      </x:c>
      <x:c r="L227" s="59" t="n">
        <x:v>624000</x:v>
      </x:c>
      <x:c r="M227" s="75" t="str">
        <x:v>ứng viên gần nhất=Siro Changthai; score=0.065</x:v>
      </x:c>
    </x:row>
    <x:row r="228">
      <x:c r="A228" s="71" t="str">
        <x:v>SIRO MAMA NHO - THÙNG</x:v>
      </x:c>
      <x:c r="B228" s="37" t="str">
        <x:v>SRMMNO</x:v>
      </x:c>
      <x:c r="C228" s="37" t="str">
        <x:v>SRMMNOT</x:v>
      </x:c>
      <x:c r="D228" s="37" t="n">
        <x:v>12</x:v>
      </x:c>
      <x:c r="E228" s="37" t="str">
        <x:v>CHƯA CÓ GIÁ LẺ</x:v>
      </x:c>
      <x:c r="F228" s="30"/>
      <x:c r="G228" s="37"/>
      <x:c r="H228" s="37"/>
      <x:c r="I228" s="79"/>
      <x:c r="J228" s="37" t="n">
        <x:v>0.063</x:v>
      </x:c>
      <x:c r="K228" s="37" t="str">
        <x:v>Siro Changthai</x:v>
      </x:c>
      <x:c r="L228" s="59" t="n">
        <x:v>624000</x:v>
      </x:c>
      <x:c r="M228" s="75" t="str">
        <x:v>ứng viên gần nhất=Siro Gold 700ml; score=0.063</x:v>
      </x:c>
    </x:row>
    <x:row r="229">
      <x:c r="A229" s="71" t="str">
        <x:v>SIRO MAMA NHÃN - THÙNG</x:v>
      </x:c>
      <x:c r="B229" s="37" t="str">
        <x:v>SRMMNA</x:v>
      </x:c>
      <x:c r="C229" s="37" t="str">
        <x:v>SRMMNAT</x:v>
      </x:c>
      <x:c r="D229" s="37" t="n">
        <x:v>12</x:v>
      </x:c>
      <x:c r="E229" s="37" t="str">
        <x:v>CHƯA CÓ GIÁ LẺ</x:v>
      </x:c>
      <x:c r="F229" s="30"/>
      <x:c r="G229" s="37"/>
      <x:c r="H229" s="37"/>
      <x:c r="I229" s="79"/>
      <x:c r="J229" s="37" t="n">
        <x:v>0.071</x:v>
      </x:c>
      <x:c r="K229" s="37" t="str">
        <x:v>Siro Sâm Dứa Vina</x:v>
      </x:c>
      <x:c r="L229" s="59" t="n">
        <x:v>624000</x:v>
      </x:c>
      <x:c r="M229" s="75" t="str">
        <x:v>ứng viên gần nhất=Siro Changthai; score=0.071</x:v>
      </x:c>
    </x:row>
    <x:row r="230">
      <x:c r="A230" s="71" t="str">
        <x:v>SIRO MAMA MÔN - THÙNG</x:v>
      </x:c>
      <x:c r="B230" s="37" t="str">
        <x:v>SRMMMN</x:v>
      </x:c>
      <x:c r="C230" s="37" t="str">
        <x:v>SRMMMNT</x:v>
      </x:c>
      <x:c r="D230" s="37" t="n">
        <x:v>12</x:v>
      </x:c>
      <x:c r="E230" s="37" t="str">
        <x:v>CHƯA CÓ GIÁ LẺ</x:v>
      </x:c>
      <x:c r="F230" s="30"/>
      <x:c r="G230" s="37"/>
      <x:c r="H230" s="37"/>
      <x:c r="I230" s="79"/>
      <x:c r="J230" s="37" t="n">
        <x:v>0.063</x:v>
      </x:c>
      <x:c r="K230" s="37" t="str">
        <x:v>Siro Sâm Dứa Vina</x:v>
      </x:c>
      <x:c r="L230" s="59" t="n">
        <x:v>624000</x:v>
      </x:c>
      <x:c r="M230" s="75" t="str">
        <x:v>ứng viên gần nhất=Siro Gold 700ml; score=0.063</x:v>
      </x:c>
    </x:row>
    <x:row r="231">
      <x:c r="A231" s="71" t="str">
        <x:v>SIRO MAMA ĐÀO - THÙNG</x:v>
      </x:c>
      <x:c r="B231" s="37" t="str">
        <x:v>SRMMDO</x:v>
      </x:c>
      <x:c r="C231" s="37" t="str">
        <x:v>SRMMDOT</x:v>
      </x:c>
      <x:c r="D231" s="37" t="n">
        <x:v>12</x:v>
      </x:c>
      <x:c r="E231" s="37" t="str">
        <x:v>CHƯA CÓ GIÁ LẺ</x:v>
      </x:c>
      <x:c r="F231" s="30"/>
      <x:c r="G231" s="37"/>
      <x:c r="H231" s="37"/>
      <x:c r="I231" s="79"/>
      <x:c r="J231" s="37" t="n">
        <x:v>0.252</x:v>
      </x:c>
      <x:c r="K231" s="37" t="str">
        <x:v>Siro Sâm Dứa Vina</x:v>
      </x:c>
      <x:c r="L231" s="59" t="n">
        <x:v>624000</x:v>
      </x:c>
      <x:c r="M231" s="75" t="str">
        <x:v>ứng viên gần nhất=CỐT bí đao wonderfull; score=0.252</x:v>
      </x:c>
    </x:row>
    <x:row r="232">
      <x:c r="A232" s="71" t="str">
        <x:v>SIRO MAMA DƯA LƯỚI - THÙNG</x:v>
      </x:c>
      <x:c r="B232" s="37" t="str">
        <x:v>SRMMDL</x:v>
      </x:c>
      <x:c r="C232" s="37" t="str">
        <x:v>SRMMDLT</x:v>
      </x:c>
      <x:c r="D232" s="37" t="n">
        <x:v>12</x:v>
      </x:c>
      <x:c r="E232" s="37" t="str">
        <x:v>CHƯA CÓ GIÁ LẺ</x:v>
      </x:c>
      <x:c r="F232" s="30"/>
      <x:c r="G232" s="37"/>
      <x:c r="H232" s="37"/>
      <x:c r="I232" s="79"/>
      <x:c r="J232" s="37" t="n">
        <x:v>0.417</x:v>
      </x:c>
      <x:c r="K232" s="37" t="str">
        <x:v>Siro Gold 700ml</x:v>
      </x:c>
      <x:c r="L232" s="59" t="n">
        <x:v>624000</x:v>
      </x:c>
      <x:c r="M232" s="75" t="str">
        <x:v>ứng viên gần nhất=Siro Sâm Dứa Vina; score=0.417</x:v>
      </x:c>
    </x:row>
    <x:row r="233">
      <x:c r="A233" s="71" t="str">
        <x:v>SIRO MAMA DÂU - THÙNG</x:v>
      </x:c>
      <x:c r="B233" s="37" t="str">
        <x:v>SRMMDA</x:v>
      </x:c>
      <x:c r="C233" s="37" t="str">
        <x:v>SRMMDAT</x:v>
      </x:c>
      <x:c r="D233" s="37" t="n">
        <x:v>12</x:v>
      </x:c>
      <x:c r="E233" s="37" t="str">
        <x:v>CHƯA CÓ GIÁ LẺ</x:v>
      </x:c>
      <x:c r="F233" s="30"/>
      <x:c r="G233" s="37"/>
      <x:c r="H233" s="37"/>
      <x:c r="I233" s="79"/>
      <x:c r="J233" s="37" t="n">
        <x:v>0.345</x:v>
      </x:c>
      <x:c r="K233" s="37" t="str">
        <x:v>Siro Sâm Dứa Vina</x:v>
      </x:c>
      <x:c r="L233" s="59" t="n">
        <x:v>624000</x:v>
      </x:c>
      <x:c r="M233" s="75" t="str">
        <x:v>ứng viên gần nhất=Siro GTP dâu , duong den; score=0.345</x:v>
      </x:c>
    </x:row>
    <x:row r="234">
      <x:c r="A234" s="71" t="str">
        <x:v>SIRO MAMA BẠC HÀ - THÙNG</x:v>
      </x:c>
      <x:c r="B234" s="37" t="str">
        <x:v>SRMMBH</x:v>
      </x:c>
      <x:c r="C234" s="37" t="str">
        <x:v>SRMMBHT</x:v>
      </x:c>
      <x:c r="D234" s="37" t="n">
        <x:v>12</x:v>
      </x:c>
      <x:c r="E234" s="37" t="str">
        <x:v>CHƯA CÓ GIÁ LẺ</x:v>
      </x:c>
      <x:c r="F234" s="30"/>
      <x:c r="G234" s="37"/>
      <x:c r="H234" s="37"/>
      <x:c r="I234" s="79"/>
      <x:c r="J234" s="37" t="n">
        <x:v>0.066</x:v>
      </x:c>
      <x:c r="K234" s="37" t="str">
        <x:v>Siro Sâm Dứa Vina</x:v>
      </x:c>
      <x:c r="L234" s="59" t="n">
        <x:v>624000</x:v>
      </x:c>
      <x:c r="M234" s="75" t="str">
        <x:v>ứng viên gần nhất=Siro Changthai; score=0.066</x:v>
      </x:c>
    </x:row>
    <x:row r="235">
      <x:c r="A235" s="71" t="str">
        <x:v>LY 700 IN - THÙNG</x:v>
      </x:c>
      <x:c r="B235" s="37" t="str">
        <x:v>LYI700</x:v>
      </x:c>
      <x:c r="C235" s="37" t="str">
        <x:v>LYI700T</x:v>
      </x:c>
      <x:c r="D235" s="37" t="n">
        <x:v>20</x:v>
      </x:c>
      <x:c r="E235" s="37" t="str">
        <x:v>CHƯA CÓ GIÁ LẺ</x:v>
      </x:c>
      <x:c r="F235" s="30"/>
      <x:c r="G235" s="37"/>
      <x:c r="H235" s="37"/>
      <x:c r="I235" s="79"/>
      <x:c r="J235" s="37" t="n">
        <x:v>0.064</x:v>
      </x:c>
      <x:c r="K235" s="37" t="str">
        <x:v>galatin thuong</x:v>
      </x:c>
      <x:c r="L235" s="59" t="n">
        <x:v>0</x:v>
      </x:c>
      <x:c r="M235" s="75" t="str">
        <x:v>ứng viên gần nhất=Lá Rong Biển; score=0.064</x:v>
      </x:c>
    </x:row>
    <x:row r="236">
      <x:c r="A236" s="71" t="str">
        <x:v>LY 650 UKP - THÙNG</x:v>
      </x:c>
      <x:c r="B236" s="37" t="str">
        <x:v>LYU650</x:v>
      </x:c>
      <x:c r="C236" s="37" t="str">
        <x:v>LYU650T</x:v>
      </x:c>
      <x:c r="D236" s="37" t="n">
        <x:v>20</x:v>
      </x:c>
      <x:c r="E236" s="37" t="str">
        <x:v>CHƯA CÓ GIÁ LẺ</x:v>
      </x:c>
      <x:c r="F236" s="30"/>
      <x:c r="G236" s="37"/>
      <x:c r="H236" s="37"/>
      <x:c r="I236" s="79"/>
      <x:c r="J236" s="37" t="n">
        <x:v>0.768</x:v>
      </x:c>
      <x:c r="K236" s="37" t="str">
        <x:v>Lá Rong Biển</x:v>
      </x:c>
      <x:c r="L236" s="59" t="n">
        <x:v>0</x:v>
      </x:c>
      <x:c r="M236" s="75" t="str">
        <x:v>Không dùng giá Muỗng UKP cho Ly UKP</x:v>
      </x:c>
    </x:row>
    <x:row r="237">
      <x:c r="A237" s="71" t="str">
        <x:v>LY 500 IN - THÙNG</x:v>
      </x:c>
      <x:c r="B237" s="37" t="str">
        <x:v>LYI500</x:v>
      </x:c>
      <x:c r="C237" s="37" t="str">
        <x:v>LYI500T</x:v>
      </x:c>
      <x:c r="D237" s="37" t="n">
        <x:v>20</x:v>
      </x:c>
      <x:c r="E237" s="37" t="str">
        <x:v>CHƯA CÓ GIÁ LẺ</x:v>
      </x:c>
      <x:c r="F237" s="30"/>
      <x:c r="G237" s="37"/>
      <x:c r="H237" s="37"/>
      <x:c r="I237" s="79"/>
      <x:c r="J237" s="37" t="n">
        <x:v>0.064</x:v>
      </x:c>
      <x:c r="K237" s="37" t="str">
        <x:v>galatin thuong</x:v>
      </x:c>
      <x:c r="L237" s="59" t="n">
        <x:v>0</x:v>
      </x:c>
      <x:c r="M237" s="75" t="str">
        <x:v>ứng viên gần nhất=Lá Rong Biển; score=0.064</x:v>
      </x:c>
    </x:row>
    <x:row r="238">
      <x:c r="A238" s="71" t="str">
        <x:v>LY 500 UKP - THÙNG</x:v>
      </x:c>
      <x:c r="B238" s="37" t="str">
        <x:v>LYU500</x:v>
      </x:c>
      <x:c r="C238" s="37" t="str">
        <x:v>LYU500T</x:v>
      </x:c>
      <x:c r="D238" s="37" t="n">
        <x:v>20</x:v>
      </x:c>
      <x:c r="E238" s="37" t="str">
        <x:v>CHƯA CÓ GIÁ LẺ</x:v>
      </x:c>
      <x:c r="F238" s="30"/>
      <x:c r="G238" s="37"/>
      <x:c r="H238" s="37"/>
      <x:c r="I238" s="79"/>
      <x:c r="J238" s="37" t="n">
        <x:v>0.768</x:v>
      </x:c>
      <x:c r="K238" s="37" t="str">
        <x:v>Lá Rong Biển</x:v>
      </x:c>
      <x:c r="L238" s="59" t="n">
        <x:v>0</x:v>
      </x:c>
      <x:c r="M238" s="75" t="str">
        <x:v>Không dùng giá Muỗng UKP cho Ly UKP</x:v>
      </x:c>
    </x:row>
    <x:row r="239">
      <x:c r="A239" s="71" t="str">
        <x:v>ICEHOT KEM BÉO TRÀ SỮA - THÙNG</x:v>
      </x:c>
      <x:c r="B239" s="37" t="str">
        <x:v>KBTSIH</x:v>
      </x:c>
      <x:c r="C239" s="37" t="str">
        <x:v>KBTSIHT</x:v>
      </x:c>
      <x:c r="D239" s="37" t="n">
        <x:v>12</x:v>
      </x:c>
      <x:c r="E239" s="37" t="str">
        <x:v>CHƯA CÓ GIÁ LẺ</x:v>
      </x:c>
      <x:c r="F239" s="30"/>
      <x:c r="G239" s="37"/>
      <x:c r="H239" s="37"/>
      <x:c r="I239" s="79"/>
      <x:c r="J239" s="37" t="n">
        <x:v>0.283</x:v>
      </x:c>
      <x:c r="K239" s="37" t="str">
        <x:v>Trà Thái xanh thường</x:v>
      </x:c>
      <x:c r="L239" s="59" t="n">
        <x:v>610000</x:v>
      </x:c>
      <x:c r="M239" s="75" t="str">
        <x:v>ứng viên gần nhất=Gas kem Mosa; score=0.283</x:v>
      </x:c>
    </x:row>
    <x:row r="240">
      <x:c r="A240" s="71" t="str">
        <x:v>HÚT XANH PHI 12 - CÂY</x:v>
      </x:c>
      <x:c r="B240" s="37" t="str">
        <x:v>HXANH12</x:v>
      </x:c>
      <x:c r="C240" s="37" t="str">
        <x:v>HXANH12T</x:v>
      </x:c>
      <x:c r="D240" s="37" t="n">
        <x:v>10</x:v>
      </x:c>
      <x:c r="E240" s="37" t="str">
        <x:v>CHƯA CÓ GIÁ LẺ</x:v>
      </x:c>
      <x:c r="F240" s="30"/>
      <x:c r="G240" s="37"/>
      <x:c r="H240" s="37"/>
      <x:c r="I240" s="79"/>
      <x:c r="J240" s="37" t="n">
        <x:v>0.564</x:v>
      </x:c>
      <x:c r="K240" s="37" t="str">
        <x:v>ong hut ts đen phi 6/8</x:v>
      </x:c>
      <x:c r="L240" s="59" t="n">
        <x:v>240000</x:v>
      </x:c>
      <x:c r="M240" s="75" t="str">
        <x:v>ứng viên gần nhất=ong hut trang phi 6/8; score=0.564</x:v>
      </x:c>
    </x:row>
    <x:row r="241">
      <x:c r="A241" s="71" t="str">
        <x:v>HÚT VÀNG PHI 12 - CÂY</x:v>
      </x:c>
      <x:c r="B241" s="37" t="str">
        <x:v>HVANG12</x:v>
      </x:c>
      <x:c r="C241" s="37" t="str">
        <x:v>HVANG12T</x:v>
      </x:c>
      <x:c r="D241" s="37" t="n">
        <x:v>10</x:v>
      </x:c>
      <x:c r="E241" s="37" t="str">
        <x:v>CHƯA CÓ GIÁ LẺ</x:v>
      </x:c>
      <x:c r="F241" s="30"/>
      <x:c r="G241" s="37"/>
      <x:c r="H241" s="37"/>
      <x:c r="I241" s="79"/>
      <x:c r="J241" s="37" t="n">
        <x:v>0.604</x:v>
      </x:c>
      <x:c r="K241" s="37" t="str">
        <x:v>ong hut ts đen phi 6/8</x:v>
      </x:c>
      <x:c r="L241" s="59" t="n">
        <x:v>240000</x:v>
      </x:c>
      <x:c r="M241" s="75" t="str">
        <x:v>ứng viên gần nhất=ong hut trang phi 6/8; score=0.604</x:v>
      </x:c>
    </x:row>
    <x:row r="242">
      <x:c r="A242" s="71" t="str">
        <x:v>HÚT ĐEN PHI 12 - CÂY</x:v>
      </x:c>
      <x:c r="B242" s="37" t="str">
        <x:v>HDEP12</x:v>
      </x:c>
      <x:c r="C242" s="37" t="str">
        <x:v>HDEP12T</x:v>
      </x:c>
      <x:c r="D242" s="37" t="n">
        <x:v>10</x:v>
      </x:c>
      <x:c r="E242" s="37" t="str">
        <x:v>CHƯA CÓ GIÁ LẺ</x:v>
      </x:c>
      <x:c r="F242" s="30"/>
      <x:c r="G242" s="37"/>
      <x:c r="H242" s="37"/>
      <x:c r="I242" s="79"/>
      <x:c r="J242" s="37" t="n">
        <x:v>0.763</x:v>
      </x:c>
      <x:c r="K242" s="37" t="str">
        <x:v>ong hut trang phi 6/8</x:v>
      </x:c>
      <x:c r="L242" s="59" t="n">
        <x:v>240000</x:v>
      </x:c>
      <x:c r="M242" s="75" t="str">
        <x:v>Nguồn chỉ có ống hút đen phi 6/8</x:v>
      </x:c>
    </x:row>
    <x:row r="243">
      <x:c r="A243" s="71" t="str">
        <x:v>HÚT ĐEN MÀNG PHI 12 - CÂY</x:v>
      </x:c>
      <x:c r="B243" s="37" t="str">
        <x:v>HDEM12</x:v>
      </x:c>
      <x:c r="C243" s="37" t="str">
        <x:v>HDEM12T</x:v>
      </x:c>
      <x:c r="D243" s="37" t="n">
        <x:v>10</x:v>
      </x:c>
      <x:c r="E243" s="37" t="str">
        <x:v>CHƯA CÓ GIÁ LẺ</x:v>
      </x:c>
      <x:c r="F243" s="30"/>
      <x:c r="G243" s="37"/>
      <x:c r="H243" s="37"/>
      <x:c r="I243" s="79"/>
      <x:c r="J243" s="37" t="n">
        <x:v>0.66</x:v>
      </x:c>
      <x:c r="K243" s="37" t="str">
        <x:v>ong hut trang phi 6/8</x:v>
      </x:c>
      <x:c r="L243" s="59" t="n">
        <x:v>0</x:v>
      </x:c>
      <x:c r="M243" s="75" t="str">
        <x:v>ứng viên gần nhất=ong hut ts đen phi 6/8; score=0.660</x:v>
      </x:c>
    </x:row>
    <x:row r="244">
      <x:c r="A244" s="71" t="str">
        <x:v>HÚT ĐEN MÀNG 8 - CÂY</x:v>
      </x:c>
      <x:c r="B244" s="37" t="str">
        <x:v>HDENM8</x:v>
      </x:c>
      <x:c r="C244" s="37" t="str">
        <x:v>HDENM8T</x:v>
      </x:c>
      <x:c r="D244" s="37" t="n">
        <x:v>10</x:v>
      </x:c>
      <x:c r="E244" s="37" t="str">
        <x:v>CHƯA CÓ GIÁ LẺ</x:v>
      </x:c>
      <x:c r="F244" s="30"/>
      <x:c r="G244" s="37"/>
      <x:c r="H244" s="37"/>
      <x:c r="I244" s="79"/>
      <x:c r="J244" s="37" t="n">
        <x:v>0.463</x:v>
      </x:c>
      <x:c r="K244" s="37" t="str">
        <x:v>ong hut ts đen phi 6/8</x:v>
      </x:c>
      <x:c r="L244" s="59" t="n">
        <x:v>0</x:v>
      </x:c>
      <x:c r="M244" s="75" t="str">
        <x:v>ứng viên gần nhất=ông hut ts trang boc mang; score=0.463</x:v>
      </x:c>
    </x:row>
    <x:row r="245">
      <x:c r="A245" s="71" t="str">
        <x:v>HỒNG TRÀ LỘC PHÁT - THÙNG</x:v>
      </x:c>
      <x:c r="B245" s="37" t="str">
        <x:v>HTRLPH</x:v>
      </x:c>
      <x:c r="C245" s="37" t="str">
        <x:v>HTRLPHT</x:v>
      </x:c>
      <x:c r="D245" s="37" t="n">
        <x:v>12</x:v>
      </x:c>
      <x:c r="E245" s="37" t="str">
        <x:v>CẦN DUYỆT</x:v>
      </x:c>
      <x:c r="F245" s="30" t="str">
        <x:v>Trà lài Lộc Phát</x:v>
      </x:c>
      <x:c r="G245" s="37" t="n">
        <x:v>168</x:v>
      </x:c>
      <x:c r="H245" s="37" t="str">
        <x:v>gói 1kg</x:v>
      </x:c>
      <x:c r="I245" s="79" t="n">
        <x:v>155</x:v>
      </x:c>
      <x:c r="J245" s="37" t="n">
        <x:v>0.733</x:v>
      </x:c>
      <x:c r="K245" s="37" t="str">
        <x:v>Trà đen Lộc Phát</x:v>
      </x:c>
      <x:c r="L245" s="59" t="n">
        <x:v>0</x:v>
      </x:c>
      <x:c r="M245" s="75" t="str">
        <x:v>score=0.733; gap=0.016; phương án 2=Trà đen Lộc Phát</x:v>
      </x:c>
    </x:row>
    <x:row r="246">
      <x:c r="A246" s="71" t="str">
        <x:v>HẠT THỦY TINH YAUOT - THÙNG</x:v>
      </x:c>
      <x:c r="B246" s="37" t="str">
        <x:v>HTTYAU</x:v>
      </x:c>
      <x:c r="C246" s="37" t="str">
        <x:v>HTTYAUT</x:v>
      </x:c>
      <x:c r="D246" s="37" t="n">
        <x:v>4</x:v>
      </x:c>
      <x:c r="E246" s="37" t="str">
        <x:v>CHƯA CÓ GIÁ LẺ</x:v>
      </x:c>
      <x:c r="F246" s="30"/>
      <x:c r="G246" s="37"/>
      <x:c r="H246" s="37"/>
      <x:c r="I246" s="79"/>
      <x:c r="J246" s="37" t="n">
        <x:v>0.512</x:v>
      </x:c>
      <x:c r="K246" s="37" t="str">
        <x:v>Hạt Chia</x:v>
      </x:c>
      <x:c r="L246" s="59" t="n">
        <x:v>0</x:v>
      </x:c>
      <x:c r="M246" s="75" t="str">
        <x:v>ứng viên gần nhất=Thủy Tinh Hùng Chương; score=0.512</x:v>
      </x:c>
    </x:row>
    <x:row r="247">
      <x:c r="A247" s="71" t="str">
        <x:v>HẠT THỦY TINH VIỆT QUỐC - THÙNG</x:v>
      </x:c>
      <x:c r="B247" s="37" t="str">
        <x:v>HTTVQU</x:v>
      </x:c>
      <x:c r="C247" s="37" t="str">
        <x:v>HTTVQUT</x:v>
      </x:c>
      <x:c r="D247" s="37" t="n">
        <x:v>4</x:v>
      </x:c>
      <x:c r="E247" s="37" t="str">
        <x:v>CHƯA CÓ GIÁ LẺ</x:v>
      </x:c>
      <x:c r="F247" s="30"/>
      <x:c r="G247" s="37"/>
      <x:c r="H247" s="37"/>
      <x:c r="I247" s="79"/>
      <x:c r="J247" s="37" t="n">
        <x:v>0.587</x:v>
      </x:c>
      <x:c r="K247" s="37" t="str">
        <x:v>Sinh Tố Berrino Việt Quốc</x:v>
      </x:c>
      <x:c r="L247" s="59" t="n">
        <x:v>0</x:v>
      </x:c>
      <x:c r="M247" s="75" t="str">
        <x:v>ứng viên gần nhất=Sinh Tố Gold Việt Quốc; score=0.587</x:v>
      </x:c>
    </x:row>
    <x:row r="248">
      <x:c r="A248" s="71" t="str">
        <x:v>HẠT THỦY TINH NHO - THÙNG</x:v>
      </x:c>
      <x:c r="B248" s="37" t="str">
        <x:v>HTTNHO</x:v>
      </x:c>
      <x:c r="C248" s="37" t="str">
        <x:v>HTTNHOT</x:v>
      </x:c>
      <x:c r="D248" s="37" t="n">
        <x:v>4</x:v>
      </x:c>
      <x:c r="E248" s="37" t="str">
        <x:v>CHƯA CÓ GIÁ LẺ</x:v>
      </x:c>
      <x:c r="F248" s="30"/>
      <x:c r="G248" s="37"/>
      <x:c r="H248" s="37"/>
      <x:c r="I248" s="79"/>
      <x:c r="J248" s="37" t="n">
        <x:v>0.529</x:v>
      </x:c>
      <x:c r="K248" s="37" t="str">
        <x:v>Sinh Tố Gol Nho</x:v>
      </x:c>
      <x:c r="L248" s="59" t="n">
        <x:v>0</x:v>
      </x:c>
      <x:c r="M248" s="75" t="str">
        <x:v>ứng viên gần nhất=Thủy Tinh Hùng Chương; score=0.529</x:v>
      </x:c>
    </x:row>
    <x:row r="249">
      <x:c r="A249" s="71" t="str">
        <x:v>HẠT THỦY TINH ĐÀO - THÙNG</x:v>
      </x:c>
      <x:c r="B249" s="37" t="str">
        <x:v>HTTDAO</x:v>
      </x:c>
      <x:c r="C249" s="37" t="str">
        <x:v>HTTDAOT</x:v>
      </x:c>
      <x:c r="D249" s="37" t="n">
        <x:v>4</x:v>
      </x:c>
      <x:c r="E249" s="37" t="str">
        <x:v>CHƯA CÓ GIÁ LẺ</x:v>
      </x:c>
      <x:c r="F249" s="30"/>
      <x:c r="G249" s="37"/>
      <x:c r="H249" s="37"/>
      <x:c r="I249" s="79"/>
      <x:c r="J249" s="37" t="n">
        <x:v>0.516</x:v>
      </x:c>
      <x:c r="K249" s="37" t="str">
        <x:v>Hạt Chia</x:v>
      </x:c>
      <x:c r="L249" s="59" t="n">
        <x:v>0</x:v>
      </x:c>
      <x:c r="M249" s="75" t="str">
        <x:v>ứng viên gần nhất=Thủy Tinh Hùng Chương; score=0.516</x:v>
      </x:c>
    </x:row>
    <x:row r="250">
      <x:c r="A250" s="71" t="str">
        <x:v>HẠT THỦY TINH DƯA LƯỚI - THÙNG</x:v>
      </x:c>
      <x:c r="B250" s="37" t="str">
        <x:v>HTTDLU</x:v>
      </x:c>
      <x:c r="C250" s="37" t="str">
        <x:v>HTTDLUT</x:v>
      </x:c>
      <x:c r="D250" s="37" t="n">
        <x:v>4</x:v>
      </x:c>
      <x:c r="E250" s="37" t="str">
        <x:v>CHƯA CÓ GIÁ LẺ</x:v>
      </x:c>
      <x:c r="F250" s="30"/>
      <x:c r="G250" s="37"/>
      <x:c r="H250" s="37"/>
      <x:c r="I250" s="79"/>
      <x:c r="J250" s="37" t="n">
        <x:v>0.512</x:v>
      </x:c>
      <x:c r="K250" s="37" t="str">
        <x:v>PLAN MOLE DƯA</x:v>
      </x:c>
      <x:c r="L250" s="59" t="n">
        <x:v>0</x:v>
      </x:c>
      <x:c r="M250" s="75" t="str">
        <x:v>ứng viên gần nhất=Thủy Tinh Hùng Chương; score=0.512</x:v>
      </x:c>
    </x:row>
    <x:row r="251">
      <x:c r="A251" s="71" t="str">
        <x:v>HẠT THỦY TINH DÂU - THÙNG</x:v>
      </x:c>
      <x:c r="B251" s="37" t="str">
        <x:v>HTTDAU</x:v>
      </x:c>
      <x:c r="C251" s="37" t="str">
        <x:v>HTTDAUT</x:v>
      </x:c>
      <x:c r="D251" s="37" t="n">
        <x:v>4</x:v>
      </x:c>
      <x:c r="E251" s="37" t="str">
        <x:v>CHƯA CÓ GIÁ LẺ</x:v>
      </x:c>
      <x:c r="F251" s="30"/>
      <x:c r="G251" s="37"/>
      <x:c r="H251" s="37"/>
      <x:c r="I251" s="79"/>
      <x:c r="J251" s="37" t="n">
        <x:v>0.633</x:v>
      </x:c>
      <x:c r="K251" s="37" t="str">
        <x:v>Thủy Tinh Hùng Chương</x:v>
      </x:c>
      <x:c r="L251" s="59" t="n">
        <x:v>0</x:v>
      </x:c>
      <x:c r="M251" s="75" t="str">
        <x:v>ứng viên gần nhất=Tinh dầu ớt; score=0.633</x:v>
      </x:c>
    </x:row>
    <x:row r="252">
      <x:c r="A252" s="71" t="str">
        <x:v>FALU VẢI - THÙNG</x:v>
      </x:c>
      <x:c r="B252" s="37" t="str">
        <x:v>FALUVA</x:v>
      </x:c>
      <x:c r="C252" s="37" t="str">
        <x:v>FALUVAT</x:v>
      </x:c>
      <x:c r="D252" s="37" t="n">
        <x:v>12</x:v>
      </x:c>
      <x:c r="E252" s="37" t="str">
        <x:v>CHƯA CÓ GIÁ LẺ</x:v>
      </x:c>
      <x:c r="F252" s="30"/>
      <x:c r="G252" s="37"/>
      <x:c r="H252" s="37"/>
      <x:c r="I252" s="79"/>
      <x:c r="J252" s="37" t="n">
        <x:v>0.583</x:v>
      </x:c>
      <x:c r="K252" s="37" t="str">
        <x:v>Sinh Tố Berrino Vải</x:v>
      </x:c>
      <x:c r="L252" s="59" t="n">
        <x:v>0</x:v>
      </x:c>
      <x:c r="M252" s="75" t="str">
        <x:v>ứng viên gần nhất=Sinh  To vải glod; score=0.583</x:v>
      </x:c>
    </x:row>
    <x:row r="253">
      <x:c r="A253" s="71" t="str">
        <x:v>FALU NHÃN - THÙNG</x:v>
      </x:c>
      <x:c r="B253" s="37" t="str">
        <x:v>FALUNH</x:v>
      </x:c>
      <x:c r="C253" s="37" t="str">
        <x:v>FALUNHT</x:v>
      </x:c>
      <x:c r="D253" s="37" t="n">
        <x:v>12</x:v>
      </x:c>
      <x:c r="E253" s="37" t="str">
        <x:v>CHƯA CÓ GIÁ LẺ</x:v>
      </x:c>
      <x:c r="F253" s="30"/>
      <x:c r="G253" s="37"/>
      <x:c r="H253" s="37"/>
      <x:c r="I253" s="79"/>
      <x:c r="J253" s="37" t="n">
        <x:v>0.535</x:v>
      </x:c>
      <x:c r="K253" s="37" t="str">
        <x:v>NHÃN thái</x:v>
      </x:c>
      <x:c r="L253" s="59" t="n">
        <x:v>0</x:v>
      </x:c>
      <x:c r="M253" s="75" t="str">
        <x:v>ứng viên gần nhất=Duong den falu; score=0.535</x:v>
      </x:c>
    </x:row>
    <x:row r="254">
      <x:c r="A254" s="71" t="str">
        <x:v>ĐƯỜNG ĐEN ERODELI - THÙNG</x:v>
      </x:c>
      <x:c r="B254" s="37" t="str">
        <x:v>SRDDER</x:v>
      </x:c>
      <x:c r="C254" s="37" t="str">
        <x:v>SRDDERT</x:v>
      </x:c>
      <x:c r="D254" s="37" t="n">
        <x:v>6</x:v>
      </x:c>
      <x:c r="E254" s="37" t="str">
        <x:v>CHƯA CÓ GIÁ LẺ</x:v>
      </x:c>
      <x:c r="F254" s="30"/>
      <x:c r="G254" s="37"/>
      <x:c r="H254" s="37"/>
      <x:c r="I254" s="79"/>
      <x:c r="J254" s="37" t="n">
        <x:v>0.451</x:v>
      </x:c>
      <x:c r="K254" s="37" t="str">
        <x:v>Đường đen Euro Deli</x:v>
      </x:c>
      <x:c r="L254" s="59" t="n">
        <x:v>0</x:v>
      </x:c>
      <x:c r="M254" s="75" t="str">
        <x:v>ứng viên gần nhất=Đuong den A+; score=0.451</x:v>
      </x:c>
    </x:row>
    <x:row r="255">
      <x:c r="A255" s="71" t="str">
        <x:v>ĐƯỜNG BẮP - THÙNG</x:v>
      </x:c>
      <x:c r="B255" s="37" t="str">
        <x:v>DBAPPP</x:v>
      </x:c>
      <x:c r="C255" s="37" t="str">
        <x:v>DBAPPPT</x:v>
      </x:c>
      <x:c r="D255" s="37" t="n">
        <x:v>4</x:v>
      </x:c>
      <x:c r="E255" s="37" t="str">
        <x:v>CHƯA CÓ GIÁ LẺ</x:v>
      </x:c>
      <x:c r="F255" s="30"/>
      <x:c r="G255" s="37"/>
      <x:c r="H255" s="37"/>
      <x:c r="I255" s="79"/>
      <x:c r="J255" s="37" t="n">
        <x:v>0.045</x:v>
      </x:c>
      <x:c r="K255" s="37" t="str">
        <x:v>Đường đen Douxian</x:v>
      </x:c>
      <x:c r="L255" s="59" t="n">
        <x:v>515000</x:v>
      </x:c>
      <x:c r="M255" s="75" t="str">
        <x:v>ứng viên gần nhất=Đuongden black 2 lit; score=0.045</x:v>
      </x:c>
    </x:row>
    <x:row r="256">
      <x:c r="A256" s="71" t="str">
        <x:v>ĐẬU ĐỎ TIM - THÙNG</x:v>
      </x:c>
      <x:c r="B256" s="37" t="str">
        <x:v>DDOTIM</x:v>
      </x:c>
      <x:c r="C256" s="37" t="str">
        <x:v>DDOTIMT</x:v>
      </x:c>
      <x:c r="D256" s="37" t="n">
        <x:v>12</x:v>
      </x:c>
      <x:c r="E256" s="37" t="str">
        <x:v>CHƯA CÓ GIÁ LẺ</x:v>
      </x:c>
      <x:c r="F256" s="30"/>
      <x:c r="G256" s="37"/>
      <x:c r="H256" s="37"/>
      <x:c r="I256" s="79"/>
      <x:c r="J256" s="37" t="n">
        <x:v>0.481</x:v>
      </x:c>
      <x:c r="K256" s="37" t="str">
        <x:v>Sinh Tố Gold Dâu</x:v>
      </x:c>
      <x:c r="L256" s="59" t="n">
        <x:v>465000</x:v>
      </x:c>
      <x:c r="M256" s="75" t="str">
        <x:v>ứng viên gần nhất=Sinh Tố Berrino Dâu; score=0.481</x:v>
      </x:c>
    </x:row>
    <x:row r="257">
      <x:c r="A257" s="71" t="str">
        <x:v>ĐẬM ĐẶC VIỆT QUỐC - THÙNG</x:v>
      </x:c>
      <x:c r="B257" s="37" t="str">
        <x:v>DDGVQU</x:v>
      </x:c>
      <x:c r="C257" s="37" t="str">
        <x:v>DDGVQUT</x:v>
      </x:c>
      <x:c r="D257" s="37" t="n">
        <x:v>12</x:v>
      </x:c>
      <x:c r="E257" s="37" t="str">
        <x:v>CẦN DUYỆT</x:v>
      </x:c>
      <x:c r="F257" s="30" t="str">
        <x:v>Sinh Tố Gold Việt Quốc</x:v>
      </x:c>
      <x:c r="G257" s="37" t="n">
        <x:v>35</x:v>
      </x:c>
      <x:c r="H257" s="37" t="str">
        <x:v>Chai</x:v>
      </x:c>
      <x:c r="I257" s="79" t="n">
        <x:v>125</x:v>
      </x:c>
      <x:c r="J257" s="37" t="n">
        <x:v>0.664</x:v>
      </x:c>
      <x:c r="K257" s="37" t="str">
        <x:v>Sinh Tố Berrino Việt Quốc</x:v>
      </x:c>
      <x:c r="L257" s="59" t="n">
        <x:v>0</x:v>
      </x:c>
      <x:c r="M257" s="75" t="str">
        <x:v>score=0.664; gap=0.025; phương án 2=Sinh Tố Berrino Việt Quốc</x:v>
      </x:c>
    </x:row>
    <x:row r="258">
      <x:c r="A258" s="71" t="str">
        <x:v>ĐẬM ĐẶC VẢI - THÙNG</x:v>
      </x:c>
      <x:c r="B258" s="37" t="str">
        <x:v>DDGVAI</x:v>
      </x:c>
      <x:c r="C258" s="37" t="str">
        <x:v>DDGVAIT</x:v>
      </x:c>
      <x:c r="D258" s="37" t="n">
        <x:v>12</x:v>
      </x:c>
      <x:c r="E258" s="37" t="str">
        <x:v>CHƯA CÓ GIÁ LẺ</x:v>
      </x:c>
      <x:c r="F258" s="30"/>
      <x:c r="G258" s="37"/>
      <x:c r="H258" s="37"/>
      <x:c r="I258" s="79"/>
      <x:c r="J258" s="37" t="n">
        <x:v>0.531</x:v>
      </x:c>
      <x:c r="K258" s="37" t="str">
        <x:v>Sinh  To vải glod</x:v>
      </x:c>
      <x:c r="L258" s="59" t="n">
        <x:v>0</x:v>
      </x:c>
      <x:c r="M258" s="75" t="str">
        <x:v>ứng viên gần nhất=Sinh Tố Berrino Vải; score=0.531</x:v>
      </x:c>
    </x:row>
    <x:row r="259">
      <x:c r="A259" s="71" t="str">
        <x:v>ĐẬM ĐẶC THƠM - THÙNG</x:v>
      </x:c>
      <x:c r="B259" s="37" t="str">
        <x:v>DDGTHM</x:v>
      </x:c>
      <x:c r="C259" s="37" t="str">
        <x:v>DDGTHMT</x:v>
      </x:c>
      <x:c r="D259" s="37" t="n">
        <x:v>12</x:v>
      </x:c>
      <x:c r="E259" s="37" t="str">
        <x:v>CHƯA CÓ GIÁ LẺ</x:v>
      </x:c>
      <x:c r="F259" s="30"/>
      <x:c r="G259" s="37"/>
      <x:c r="H259" s="37"/>
      <x:c r="I259" s="79"/>
      <x:c r="J259" s="37" t="n">
        <x:v>0.558</x:v>
      </x:c>
      <x:c r="K259" s="37" t="str">
        <x:v>Nha Đam</x:v>
      </x:c>
      <x:c r="L259" s="59" t="n">
        <x:v>0</x:v>
      </x:c>
      <x:c r="M259" s="75" t="str">
        <x:v>ứng viên gần nhất=Sinh Tô berino khom; score=0.558</x:v>
      </x:c>
    </x:row>
    <x:row r="260">
      <x:c r="A260" s="71" t="str">
        <x:v>ĐẬM ĐẶC QUÝT - THÙNG</x:v>
      </x:c>
      <x:c r="B260" s="37" t="str">
        <x:v>DDGQUT</x:v>
      </x:c>
      <x:c r="C260" s="37" t="str">
        <x:v>DDGQUTT</x:v>
      </x:c>
      <x:c r="D260" s="37" t="n">
        <x:v>12</x:v>
      </x:c>
      <x:c r="E260" s="37" t="str">
        <x:v>CHƯA CÓ GIÁ LẺ</x:v>
      </x:c>
      <x:c r="F260" s="30"/>
      <x:c r="G260" s="37"/>
      <x:c r="H260" s="37"/>
      <x:c r="I260" s="79"/>
      <x:c r="J260" s="37" t="n">
        <x:v>0.407</x:v>
      </x:c>
      <x:c r="K260" s="37" t="str">
        <x:v>Ice hot on top</x:v>
      </x:c>
      <x:c r="L260" s="59" t="n">
        <x:v>730000</x:v>
      </x:c>
      <x:c r="M260" s="75" t="str">
        <x:v>ứng viên gần nhất=Nha Đam; score=0.407</x:v>
      </x:c>
    </x:row>
    <x:row r="261">
      <x:c r="A261" s="71" t="str">
        <x:v>ĐẬM ĐẶC ỔI - THÙNG</x:v>
      </x:c>
      <x:c r="B261" s="37" t="str">
        <x:v>DDGOIH</x:v>
      </x:c>
      <x:c r="C261" s="37" t="str">
        <x:v>DDGOIHT</x:v>
      </x:c>
      <x:c r="D261" s="37" t="n">
        <x:v>12</x:v>
      </x:c>
      <x:c r="E261" s="37" t="str">
        <x:v>CHƯA CÓ GIÁ LẺ</x:v>
      </x:c>
      <x:c r="F261" s="30"/>
      <x:c r="G261" s="37"/>
      <x:c r="H261" s="37"/>
      <x:c r="I261" s="79"/>
      <x:c r="J261" s="37" t="n">
        <x:v>0.5</x:v>
      </x:c>
      <x:c r="K261" s="37" t="str">
        <x:v>Sinh Tố Gold ổi</x:v>
      </x:c>
      <x:c r="L261" s="59" t="n">
        <x:v>0</x:v>
      </x:c>
      <x:c r="M261" s="75" t="str">
        <x:v>ứng viên gần nhất=Sinh tố Berrino ổi; score=0.500</x:v>
      </x:c>
    </x:row>
    <x:row r="262">
      <x:c r="A262" s="71" t="str">
        <x:v>ĐẬM ĐẶC NHIỆT ĐỚI - THÙNG</x:v>
      </x:c>
      <x:c r="B262" s="37" t="str">
        <x:v>DDGNDO</x:v>
      </x:c>
      <x:c r="C262" s="37" t="str">
        <x:v>DDGNDOT</x:v>
      </x:c>
      <x:c r="D262" s="37" t="n">
        <x:v>12</x:v>
      </x:c>
      <x:c r="E262" s="37" t="str">
        <x:v>CHƯA CÓ GIÁ LẺ</x:v>
      </x:c>
      <x:c r="F262" s="30"/>
      <x:c r="G262" s="37"/>
      <x:c r="H262" s="37"/>
      <x:c r="I262" s="79"/>
      <x:c r="J262" s="37" t="n">
        <x:v>0.437</x:v>
      </x:c>
      <x:c r="K262" s="37" t="str">
        <x:v>Ice hot on top</x:v>
      </x:c>
      <x:c r="L262" s="59" t="n">
        <x:v>0</x:v>
      </x:c>
      <x:c r="M262" s="75" t="str">
        <x:v>ứng viên gần nhất=Nha Đam; score=0.437</x:v>
      </x:c>
    </x:row>
    <x:row r="263">
      <x:c r="A263" s="71" t="str">
        <x:v>ĐẬM ĐẶC NHÃN - THÙNG</x:v>
      </x:c>
      <x:c r="B263" s="37" t="str">
        <x:v>DDGNHN</x:v>
      </x:c>
      <x:c r="C263" s="37" t="str">
        <x:v>DDGNHNT</x:v>
      </x:c>
      <x:c r="D263" s="37" t="n">
        <x:v>12</x:v>
      </x:c>
      <x:c r="E263" s="37" t="str">
        <x:v>CHƯA CÓ GIÁ LẺ</x:v>
      </x:c>
      <x:c r="F263" s="30"/>
      <x:c r="G263" s="37"/>
      <x:c r="H263" s="37"/>
      <x:c r="I263" s="79"/>
      <x:c r="J263" s="37" t="n">
        <x:v>0.453</x:v>
      </x:c>
      <x:c r="K263" s="37" t="str">
        <x:v>NHÃN thái</x:v>
      </x:c>
      <x:c r="L263" s="59" t="n">
        <x:v>0</x:v>
      </x:c>
      <x:c r="M263" s="75" t="str">
        <x:v>ứng viên gần nhất=Nha Đam; score=0.453</x:v>
      </x:c>
    </x:row>
    <x:row r="264">
      <x:c r="A264" s="71" t="str">
        <x:v>ĐẬM ĐẶC ĐÀO - THÙNG</x:v>
      </x:c>
      <x:c r="B264" s="37" t="str">
        <x:v>DDGDAO</x:v>
      </x:c>
      <x:c r="C264" s="37" t="str">
        <x:v>DDGDAOT</x:v>
      </x:c>
      <x:c r="D264" s="37" t="n">
        <x:v>12</x:v>
      </x:c>
      <x:c r="E264" s="37" t="str">
        <x:v>CHƯA CÓ GIÁ LẺ</x:v>
      </x:c>
      <x:c r="F264" s="30"/>
      <x:c r="G264" s="37"/>
      <x:c r="H264" s="37"/>
      <x:c r="I264" s="79"/>
      <x:c r="J264" s="37" t="n">
        <x:v>0.526</x:v>
      </x:c>
      <x:c r="K264" s="37" t="str">
        <x:v>Sinh Tố Gold Đào</x:v>
      </x:c>
      <x:c r="L264" s="59" t="n">
        <x:v>0</x:v>
      </x:c>
      <x:c r="M264" s="75" t="str">
        <x:v>ứng viên gần nhất=Sinh Tố Berrino Đào; score=0.526</x:v>
      </x:c>
    </x:row>
    <x:row r="265">
      <x:c r="A265" s="71" t="str">
        <x:v>ĐẬM ĐẶC DƯA LƯỚI - THÙNG</x:v>
      </x:c>
      <x:c r="B265" s="37" t="str">
        <x:v>DDGDLU</x:v>
      </x:c>
      <x:c r="C265" s="37" t="str">
        <x:v>DDGDLUT</x:v>
      </x:c>
      <x:c r="D265" s="37" t="n">
        <x:v>12</x:v>
      </x:c>
      <x:c r="E265" s="37" t="str">
        <x:v>CHƯA CÓ GIÁ LẺ</x:v>
      </x:c>
      <x:c r="F265" s="30"/>
      <x:c r="G265" s="37"/>
      <x:c r="H265" s="37"/>
      <x:c r="I265" s="79"/>
      <x:c r="J265" s="37" t="n">
        <x:v>0.45</x:v>
      </x:c>
      <x:c r="K265" s="37" t="str">
        <x:v>Nha Đam</x:v>
      </x:c>
      <x:c r="L265" s="59" t="n">
        <x:v>0</x:v>
      </x:c>
      <x:c r="M265" s="75" t="str">
        <x:v>ứng viên gần nhất=PLAN MOLE DƯA; score=0.450</x:v>
      </x:c>
    </x:row>
    <x:row r="266">
      <x:c r="A266" s="71" t="str">
        <x:v>ĐẬM ĐẶC DÂU - THÙNG</x:v>
      </x:c>
      <x:c r="B266" s="37" t="str">
        <x:v>DDGDAU</x:v>
      </x:c>
      <x:c r="C266" s="37" t="str">
        <x:v>DDGDAUT</x:v>
      </x:c>
      <x:c r="D266" s="37" t="n">
        <x:v>12</x:v>
      </x:c>
      <x:c r="E266" s="37" t="str">
        <x:v>CHƯA CÓ GIÁ LẺ</x:v>
      </x:c>
      <x:c r="F266" s="30"/>
      <x:c r="G266" s="37"/>
      <x:c r="H266" s="37"/>
      <x:c r="I266" s="79"/>
      <x:c r="J266" s="37" t="n">
        <x:v>0.503</x:v>
      </x:c>
      <x:c r="K266" s="37" t="str">
        <x:v>Sinh Tố Gold Dâu</x:v>
      </x:c>
      <x:c r="L266" s="59" t="n">
        <x:v>0</x:v>
      </x:c>
      <x:c r="M266" s="75" t="str">
        <x:v>ứng viên gần nhất=Sinh Tố Berrino Dâu; score=0.503</x:v>
      </x:c>
    </x:row>
    <x:row r="267">
      <x:c r="A267" s="71" t="str">
        <x:v>ĐẬM ĐẶC CHANH DÂY - THÙNG</x:v>
      </x:c>
      <x:c r="B267" s="37" t="str">
        <x:v>DDGCDA</x:v>
      </x:c>
      <x:c r="C267" s="37" t="str">
        <x:v>DDGCDAT</x:v>
      </x:c>
      <x:c r="D267" s="37" t="n">
        <x:v>12</x:v>
      </x:c>
      <x:c r="E267" s="37" t="str">
        <x:v>CẦN DUYỆT</x:v>
      </x:c>
      <x:c r="F267" s="30" t="str">
        <x:v>Sinh Tố Gold Chanh Dây</x:v>
      </x:c>
      <x:c r="G267" s="37" t="n">
        <x:v>36</x:v>
      </x:c>
      <x:c r="H267" s="37" t="str">
        <x:v>Chai</x:v>
      </x:c>
      <x:c r="I267" s="79" t="n">
        <x:v>105</x:v>
      </x:c>
      <x:c r="J267" s="37" t="n">
        <x:v>0.672</x:v>
      </x:c>
      <x:c r="K267" s="37" t="str">
        <x:v>Sinh Tố Berrino Chanh Dây</x:v>
      </x:c>
      <x:c r="L267" s="59" t="n">
        <x:v>0</x:v>
      </x:c>
      <x:c r="M267" s="75" t="str">
        <x:v>score=0.672; gap=0.025; phương án 2=Sinh Tố Berrino Chanh Dây</x:v>
      </x:c>
    </x:row>
    <x:row r="268">
      <x:c r="A268" s="71" t="str">
        <x:v>ĐẬM ĐẶC LỰU - THÙNG</x:v>
      </x:c>
      <x:c r="B268" s="37" t="str">
        <x:v>DDGLUU</x:v>
      </x:c>
      <x:c r="C268" s="37" t="str">
        <x:v>DDGLUUT</x:v>
      </x:c>
      <x:c r="D268" s="37" t="n">
        <x:v>12</x:v>
      </x:c>
      <x:c r="E268" s="37" t="str">
        <x:v>CHƯA CÓ GIÁ LẺ</x:v>
      </x:c>
      <x:c r="F268" s="30"/>
      <x:c r="G268" s="37"/>
      <x:c r="H268" s="37"/>
      <x:c r="I268" s="79"/>
      <x:c r="J268" s="37" t="n">
        <x:v>0.437</x:v>
      </x:c>
      <x:c r="K268" s="37" t="str">
        <x:v>Lẩu Kim chi</x:v>
      </x:c>
      <x:c r="L268" s="59" t="n">
        <x:v>0</x:v>
      </x:c>
      <x:c r="M268" s="75" t="str">
        <x:v>ứng viên gần nhất=Nha Đam; score=0.437</x:v>
      </x:c>
    </x:row>
    <x:row r="269">
      <x:c r="A269" s="71" t="str">
        <x:v>ĐÀO RODES - THÙNG</x:v>
      </x:c>
      <x:c r="B269" s="37" t="str">
        <x:v>DRODES</x:v>
      </x:c>
      <x:c r="C269" s="37" t="str">
        <x:v>DRODEST</x:v>
      </x:c>
      <x:c r="D269" s="37" t="n">
        <x:v>12</x:v>
      </x:c>
      <x:c r="E269" s="37" t="str">
        <x:v>CHƯA CÓ GIÁ LẺ</x:v>
      </x:c>
      <x:c r="F269" s="30"/>
      <x:c r="G269" s="37"/>
      <x:c r="H269" s="37"/>
      <x:c r="I269" s="79"/>
      <x:c r="J269" s="37" t="n">
        <x:v>0.544</x:v>
      </x:c>
      <x:c r="K269" s="37" t="str">
        <x:v>Sinh Tố Gold Đào</x:v>
      </x:c>
      <x:c r="L269" s="59" t="n">
        <x:v>719000</x:v>
      </x:c>
      <x:c r="M269" s="75" t="str">
        <x:v>ứng viên gần nhất=Sinh Tố Berrino Đào; score=0.544</x:v>
      </x:c>
    </x:row>
    <x:row r="270">
      <x:c r="A270" s="71" t="str">
        <x:v>ĐÀO CONTREE (HEVEL) - THÙNG</x:v>
      </x:c>
      <x:c r="B270" s="37" t="str">
        <x:v>CONTRE</x:v>
      </x:c>
      <x:c r="C270" s="37" t="str">
        <x:v>CONTRET</x:v>
      </x:c>
      <x:c r="D270" s="37" t="n">
        <x:v>12</x:v>
      </x:c>
      <x:c r="E270" s="37" t="str">
        <x:v>CẦN DUYỆT</x:v>
      </x:c>
      <x:c r="F270" s="30" t="str">
        <x:v>Đào contree</x:v>
      </x:c>
      <x:c r="G270" s="37" t="n">
        <x:v>107</x:v>
      </x:c>
      <x:c r="H270" s="37" t="str">
        <x:v>lon</x:v>
      </x:c>
      <x:c r="I270" s="79" t="n">
        <x:v>32</x:v>
      </x:c>
      <x:c r="J270" s="37" t="n">
        <x:v>0.875</x:v>
      </x:c>
      <x:c r="K270" s="37" t="str">
        <x:v>Đào lon Thái</x:v>
      </x:c>
      <x:c r="L270" s="59" t="n">
        <x:v>372000</x:v>
      </x:c>
      <x:c r="M270" s="75" t="str">
        <x:v>score=0.875; gap=0.368; khác nhóm hàng</x:v>
      </x:c>
    </x:row>
    <x:row r="271">
      <x:c r="A271" s="71" t="str">
        <x:v>CHANG THÁI VIỆT QUỐC - THÙNG</x:v>
      </x:c>
      <x:c r="B271" s="37" t="str">
        <x:v>CTHVQU</x:v>
      </x:c>
      <x:c r="C271" s="37" t="str">
        <x:v>CTHVQUT</x:v>
      </x:c>
      <x:c r="D271" s="37" t="n">
        <x:v>12</x:v>
      </x:c>
      <x:c r="E271" s="37" t="str">
        <x:v>CHƯA CÓ GIÁ LẺ</x:v>
      </x:c>
      <x:c r="F271" s="30"/>
      <x:c r="G271" s="37"/>
      <x:c r="H271" s="37"/>
      <x:c r="I271" s="79"/>
      <x:c r="J271" s="37" t="n">
        <x:v>0.074</x:v>
      </x:c>
      <x:c r="K271" s="37" t="str">
        <x:v>Siro vỏ cam Gold 700ml</x:v>
      </x:c>
      <x:c r="L271" s="59" t="n">
        <x:v>0</x:v>
      </x:c>
      <x:c r="M271" s="75" t="str">
        <x:v>ứng viên gần nhất=Siro Changthai; score=0.074</x:v>
      </x:c>
    </x:row>
    <x:row r="272">
      <x:c r="A272" s="71" t="str">
        <x:v>CHANG THÁI VẢI - THÙNG</x:v>
      </x:c>
      <x:c r="B272" s="37" t="str">
        <x:v>CTHVAI</x:v>
      </x:c>
      <x:c r="C272" s="37" t="str">
        <x:v>CTHVAIT</x:v>
      </x:c>
      <x:c r="D272" s="37" t="n">
        <x:v>12</x:v>
      </x:c>
      <x:c r="E272" s="37" t="str">
        <x:v>CHƯA CÓ GIÁ LẺ</x:v>
      </x:c>
      <x:c r="F272" s="30"/>
      <x:c r="G272" s="37"/>
      <x:c r="H272" s="37"/>
      <x:c r="I272" s="79"/>
      <x:c r="J272" s="37" t="n">
        <x:v>0.094</x:v>
      </x:c>
      <x:c r="K272" s="37" t="str">
        <x:v>Siro Torani</x:v>
      </x:c>
      <x:c r="L272" s="59" t="n">
        <x:v>0</x:v>
      </x:c>
      <x:c r="M272" s="75" t="str">
        <x:v>ứng viên gần nhất=Siro Changthai; score=0.094</x:v>
      </x:c>
    </x:row>
    <x:row r="273">
      <x:c r="A273" s="71" t="str">
        <x:v>CHANG THÁI ỔI - THÙNG</x:v>
      </x:c>
      <x:c r="B273" s="37" t="str">
        <x:v>CTHOIH</x:v>
      </x:c>
      <x:c r="C273" s="37" t="str">
        <x:v>CTHOIHT</x:v>
      </x:c>
      <x:c r="D273" s="37" t="n">
        <x:v>12</x:v>
      </x:c>
      <x:c r="E273" s="37" t="str">
        <x:v>CHƯA CÓ GIÁ LẺ</x:v>
      </x:c>
      <x:c r="F273" s="30"/>
      <x:c r="G273" s="37"/>
      <x:c r="H273" s="37"/>
      <x:c r="I273" s="79"/>
      <x:c r="J273" s="37" t="n">
        <x:v>0.087</x:v>
      </x:c>
      <x:c r="K273" s="37" t="str">
        <x:v>Siro Torani</x:v>
      </x:c>
      <x:c r="L273" s="59" t="n">
        <x:v>0</x:v>
      </x:c>
      <x:c r="M273" s="75" t="str">
        <x:v>ứng viên gần nhất=Siro Changthai; score=0.087</x:v>
      </x:c>
    </x:row>
    <x:row r="274">
      <x:c r="A274" s="71" t="str">
        <x:v>CHANG THÁI MÔN - THÙNG</x:v>
      </x:c>
      <x:c r="B274" s="37" t="str">
        <x:v>CTHMON</x:v>
      </x:c>
      <x:c r="C274" s="37" t="str">
        <x:v>CTHMONT</x:v>
      </x:c>
      <x:c r="D274" s="37" t="n">
        <x:v>12</x:v>
      </x:c>
      <x:c r="E274" s="37" t="str">
        <x:v>CHƯA CÓ GIÁ LẺ</x:v>
      </x:c>
      <x:c r="F274" s="30"/>
      <x:c r="G274" s="37"/>
      <x:c r="H274" s="37"/>
      <x:c r="I274" s="79"/>
      <x:c r="J274" s="37" t="n">
        <x:v>0.075</x:v>
      </x:c>
      <x:c r="K274" s="37" t="str">
        <x:v>Siro Thái DINGFONG</x:v>
      </x:c>
      <x:c r="L274" s="59" t="n">
        <x:v>0</x:v>
      </x:c>
      <x:c r="M274" s="75" t="str">
        <x:v>ứng viên gần nhất=Siro Changthai; score=0.075</x:v>
      </x:c>
    </x:row>
    <x:row r="275">
      <x:c r="A275" s="71" t="str">
        <x:v>CHANG THÁI MÃNG CẦU - THÙNG</x:v>
      </x:c>
      <x:c r="B275" s="37" t="str">
        <x:v>CTHMCA</x:v>
      </x:c>
      <x:c r="C275" s="37" t="str">
        <x:v>CTHMCAT</x:v>
      </x:c>
      <x:c r="D275" s="37" t="n">
        <x:v>12</x:v>
      </x:c>
      <x:c r="E275" s="37" t="str">
        <x:v>CHƯA CÓ GIÁ LẺ</x:v>
      </x:c>
      <x:c r="F275" s="30"/>
      <x:c r="G275" s="37"/>
      <x:c r="H275" s="37"/>
      <x:c r="I275" s="79"/>
      <x:c r="J275" s="37" t="n">
        <x:v>0.075</x:v>
      </x:c>
      <x:c r="K275" s="37" t="str">
        <x:v>Siro Thái DINGFONG</x:v>
      </x:c>
      <x:c r="L275" s="59" t="n">
        <x:v>0</x:v>
      </x:c>
      <x:c r="M275" s="75" t="str">
        <x:v>ứng viên gần nhất=Siro Changthai; score=0.075</x:v>
      </x:c>
    </x:row>
    <x:row r="276">
      <x:c r="A276" s="71" t="str">
        <x:v>CHANG THÁI ĐÀO - THÙNG</x:v>
      </x:c>
      <x:c r="B276" s="37" t="str">
        <x:v>CTHDAO</x:v>
      </x:c>
      <x:c r="C276" s="37" t="str">
        <x:v>CTHDAOT</x:v>
      </x:c>
      <x:c r="D276" s="37" t="n">
        <x:v>12</x:v>
      </x:c>
      <x:c r="E276" s="37" t="str">
        <x:v>CHƯA CÓ GIÁ LẺ</x:v>
      </x:c>
      <x:c r="F276" s="30"/>
      <x:c r="G276" s="37"/>
      <x:c r="H276" s="37"/>
      <x:c r="I276" s="79"/>
      <x:c r="J276" s="37" t="n">
        <x:v>0.234</x:v>
      </x:c>
      <x:c r="K276" s="37" t="str">
        <x:v>Siro Changthai</x:v>
      </x:c>
      <x:c r="L276" s="59" t="n">
        <x:v>0</x:v>
      </x:c>
      <x:c r="M276" s="75" t="str">
        <x:v>ứng viên gần nhất=CỐT bí đao wonderfull; score=0.234</x:v>
      </x:c>
    </x:row>
    <x:row r="277">
      <x:c r="A277" s="71" t="str">
        <x:v>CHANG THÁI DÂU - THÙNG</x:v>
      </x:c>
      <x:c r="B277" s="37" t="str">
        <x:v>CTHDAU</x:v>
      </x:c>
      <x:c r="C277" s="37" t="str">
        <x:v>CTHDAUT</x:v>
      </x:c>
      <x:c r="D277" s="37" t="n">
        <x:v>12</x:v>
      </x:c>
      <x:c r="E277" s="37" t="str">
        <x:v>CHƯA CÓ GIÁ LẺ</x:v>
      </x:c>
      <x:c r="F277" s="30"/>
      <x:c r="G277" s="37"/>
      <x:c r="H277" s="37"/>
      <x:c r="I277" s="79"/>
      <x:c r="J277" s="37" t="n">
        <x:v>0.363</x:v>
      </x:c>
      <x:c r="K277" s="37" t="str">
        <x:v>Siro Changthai</x:v>
      </x:c>
      <x:c r="L277" s="59" t="n">
        <x:v>0</x:v>
      </x:c>
      <x:c r="M277" s="75" t="str">
        <x:v>ứng viên gần nhất=Siro GTP dâu , duong den; score=0.363</x:v>
      </x:c>
    </x:row>
    <x:row r="278">
      <x:c r="A278" s="71" t="str">
        <x:v>CHANG THÁI BLUE - THÙNG</x:v>
      </x:c>
      <x:c r="B278" s="37" t="str">
        <x:v>CTHBLU</x:v>
      </x:c>
      <x:c r="C278" s="37" t="str">
        <x:v>CTHBLUT</x:v>
      </x:c>
      <x:c r="D278" s="37" t="n">
        <x:v>12</x:v>
      </x:c>
      <x:c r="E278" s="37" t="str">
        <x:v>CHƯA CÓ GIÁ LẺ</x:v>
      </x:c>
      <x:c r="F278" s="30"/>
      <x:c r="G278" s="37"/>
      <x:c r="H278" s="37"/>
      <x:c r="I278" s="79"/>
      <x:c r="J278" s="37" t="n">
        <x:v>0.072</x:v>
      </x:c>
      <x:c r="K278" s="37" t="str">
        <x:v>Siro vỏ cam Gold 700ml</x:v>
      </x:c>
      <x:c r="L278" s="59" t="n">
        <x:v>0</x:v>
      </x:c>
      <x:c r="M278" s="75" t="str">
        <x:v>ứng viên gần nhất=Siro Changthai; score=0.072</x:v>
      </x:c>
    </x:row>
    <x:row r="279">
      <x:c r="A279" s="71" t="str">
        <x:v>HẠT NỔ HỒNG DAKA - THÙNG</x:v>
      </x:c>
      <x:c r="B279" s="37" t="str">
        <x:v>NOHGDK</x:v>
      </x:c>
      <x:c r="C279" s="37" t="str">
        <x:v>NOHGDKT</x:v>
      </x:c>
      <x:c r="D279" s="37" t="n">
        <x:v>12</x:v>
      </x:c>
      <x:c r="E279" s="37" t="str">
        <x:v>CHƯA CÓ GIÁ LẺ</x:v>
      </x:c>
      <x:c r="F279" s="30"/>
      <x:c r="G279" s="37"/>
      <x:c r="H279" s="37"/>
      <x:c r="I279" s="79"/>
      <x:c r="J279" s="37" t="n">
        <x:v>0.409</x:v>
      </x:c>
      <x:c r="K279" s="37" t="str">
        <x:v>Cốm hồng Ongon</x:v>
      </x:c>
      <x:c r="L279" s="59" t="n">
        <x:v>770000</x:v>
      </x:c>
      <x:c r="M279" s="75" t="str">
        <x:v>ứng viên gần nhất=Hạt Chia; score=0.409</x:v>
      </x:c>
    </x:row>
    <x:row r="280">
      <x:c r="A280" s="71" t="str">
        <x:v>CACAO MALAI - THÙNG</x:v>
      </x:c>
      <x:c r="B280" s="37" t="str">
        <x:v>CCMALA</x:v>
      </x:c>
      <x:c r="C280" s="37" t="str">
        <x:v>CCMALAT</x:v>
      </x:c>
      <x:c r="D280" s="37" t="n">
        <x:v>20</x:v>
      </x:c>
      <x:c r="E280" s="37" t="str">
        <x:v>CHƯA CÓ GIÁ LẺ</x:v>
      </x:c>
      <x:c r="F280" s="30"/>
      <x:c r="G280" s="37"/>
      <x:c r="H280" s="37"/>
      <x:c r="I280" s="79"/>
      <x:c r="J280" s="37" t="n">
        <x:v>0.577</x:v>
      </x:c>
      <x:c r="K280" s="37" t="str">
        <x:v>Bột Cacao Luave</x:v>
      </x:c>
      <x:c r="L280" s="59" t="n">
        <x:v>0</x:v>
      </x:c>
      <x:c r="M280" s="75" t="str">
        <x:v>ứng viên gần nhất=Bột Cacao Maly; score=0.577</x:v>
      </x:c>
    </x:row>
    <x:row r="281">
      <x:c r="A281" s="71" t="str">
        <x:v>CACAO DANS - THÙNG</x:v>
      </x:c>
      <x:c r="B281" s="37" t="str">
        <x:v>CCDANS</x:v>
      </x:c>
      <x:c r="C281" s="37" t="str">
        <x:v>CCDANST</x:v>
      </x:c>
      <x:c r="D281" s="37" t="n">
        <x:v>30</x:v>
      </x:c>
      <x:c r="E281" s="37" t="str">
        <x:v>CHƯA CÓ GIÁ LẺ</x:v>
      </x:c>
      <x:c r="F281" s="30"/>
      <x:c r="G281" s="37"/>
      <x:c r="H281" s="37"/>
      <x:c r="I281" s="79"/>
      <x:c r="J281" s="37" t="n">
        <x:v>0.577</x:v>
      </x:c>
      <x:c r="K281" s="37" t="str">
        <x:v>Bột Cacao Luave</x:v>
      </x:c>
      <x:c r="L281" s="59" t="n">
        <x:v>0</x:v>
      </x:c>
      <x:c r="M281" s="75" t="str">
        <x:v>ứng viên gần nhất=CA CAO DANCE; score=0.577</x:v>
      </x:c>
    </x:row>
    <x:row r="282">
      <x:c r="A282" s="71" t="str">
        <x:v>CÁ ỚT HẢI HƯNG - THÙNG</x:v>
      </x:c>
      <x:c r="B282" s="37" t="str">
        <x:v>CAOTHH</x:v>
      </x:c>
      <x:c r="C282" s="37" t="str">
        <x:v>CAOTHHT</x:v>
      </x:c>
      <x:c r="D282" s="37" t="n">
        <x:v>40</x:v>
      </x:c>
      <x:c r="E282" s="37" t="str">
        <x:v>CHƯA CÓ GIÁ LẺ</x:v>
      </x:c>
      <x:c r="F282" s="30"/>
      <x:c r="G282" s="37"/>
      <x:c r="H282" s="37"/>
      <x:c r="I282" s="79"/>
      <x:c r="J282" s="37" t="n">
        <x:v>0.548</x:v>
      </x:c>
      <x:c r="K282" s="37" t="str">
        <x:v>RAU CÂU CÁ DẺO</x:v>
      </x:c>
      <x:c r="L282" s="59" t="n">
        <x:v>0</x:v>
      </x:c>
      <x:c r="M282" s="75" t="str">
        <x:v>ứng viên gần nhất=Cá hành ớt; score=0.548</x:v>
      </x:c>
    </x:row>
    <x:row r="283">
      <x:c r="A283" s="71" t="str">
        <x:v>CÁ HẤP - THÙNG</x:v>
      </x:c>
      <x:c r="B283" s="37" t="str">
        <x:v>CAHAPP</x:v>
      </x:c>
      <x:c r="C283" s="37" t="str">
        <x:v>CAHAPPT</x:v>
      </x:c>
      <x:c r="D283" s="37" t="n">
        <x:v>40</x:v>
      </x:c>
      <x:c r="E283" s="37" t="str">
        <x:v>CẦN DUYỆT</x:v>
      </x:c>
      <x:c r="F283" s="30" t="str">
        <x:v>Chả cá Hấp</x:v>
      </x:c>
      <x:c r="G283" s="37" t="n">
        <x:v>275</x:v>
      </x:c>
      <x:c r="H283" s="37" t="str">
        <x:v>bịch</x:v>
      </x:c>
      <x:c r="I283" s="79" t="n">
        <x:v>30</x:v>
      </x:c>
      <x:c r="J283" s="37" t="n">
        <x:v>0.668</x:v>
      </x:c>
      <x:c r="K283" s="37" t="str">
        <x:v>RAU CÂU CÁ DẺO</x:v>
      </x:c>
      <x:c r="L283" s="59" t="n">
        <x:v>0</x:v>
      </x:c>
      <x:c r="M283" s="75" t="str">
        <x:v>score=0.668; gap=0.275; phương án 2=RAU CÂU CÁ DẺO</x:v>
      </x:c>
    </x:row>
    <x:row r="284">
      <x:c r="A284" s="71" t="str">
        <x:v>BỘT MUỐI BIỂN ERODELI - THÙNG</x:v>
      </x:c>
      <x:c r="B284" s="37" t="str">
        <x:v>MUOIBE</x:v>
      </x:c>
      <x:c r="C284" s="37" t="str">
        <x:v>MUOIBET</x:v>
      </x:c>
      <x:c r="D284" s="37" t="n">
        <x:v>25</x:v>
      </x:c>
      <x:c r="E284" s="37" t="str">
        <x:v>CHƯA CÓ GIÁ LẺ</x:v>
      </x:c>
      <x:c r="F284" s="30"/>
      <x:c r="G284" s="37"/>
      <x:c r="H284" s="37"/>
      <x:c r="I284" s="79"/>
      <x:c r="J284" s="37" t="n">
        <x:v>0.567</x:v>
      </x:c>
      <x:c r="K284" s="37" t="str">
        <x:v>BỘT MILKFOAM ERDOLI</x:v>
      </x:c>
      <x:c r="L284" s="59" t="n">
        <x:v>0</x:v>
      </x:c>
      <x:c r="M284" s="75" t="str">
        <x:v>ứng viên gần nhất=Bột milkfoam muối biển; score=0.567</x:v>
      </x:c>
    </x:row>
    <x:row r="285">
      <x:c r="A285" s="71" t="str">
        <x:v>BỘT MÔN MOTA - THÙNG</x:v>
      </x:c>
      <x:c r="B285" s="37" t="str">
        <x:v>MONMOT</x:v>
      </x:c>
      <x:c r="C285" s="37" t="str">
        <x:v>MONMOTT</x:v>
      </x:c>
      <x:c r="D285" s="37" t="n">
        <x:v>20</x:v>
      </x:c>
      <x:c r="E285" s="37" t="str">
        <x:v>CHƯA CÓ GIÁ LẺ</x:v>
      </x:c>
      <x:c r="F285" s="30"/>
      <x:c r="G285" s="37"/>
      <x:c r="H285" s="37"/>
      <x:c r="I285" s="79"/>
      <x:c r="J285" s="37" t="n">
        <x:v>0.545</x:v>
      </x:c>
      <x:c r="K285" s="37" t="str">
        <x:v>Bột môn King</x:v>
      </x:c>
      <x:c r="L285" s="59" t="n">
        <x:v>0</x:v>
      </x:c>
      <x:c r="M285" s="75" t="str">
        <x:v>ứng viên gần nhất=Bột môn GTP; score=0.545</x:v>
      </x:c>
    </x:row>
    <x:row r="286">
      <x:c r="A286" s="71" t="str">
        <x:v>BỘT MÔN BKB - THÙNG</x:v>
      </x:c>
      <x:c r="B286" s="37" t="str">
        <x:v>MONBKB</x:v>
      </x:c>
      <x:c r="C286" s="37" t="str">
        <x:v>MONBKBT</x:v>
      </x:c>
      <x:c r="D286" s="37" t="n">
        <x:v>10</x:v>
      </x:c>
      <x:c r="E286" s="37" t="str">
        <x:v>CHƯA CÓ GIÁ LẺ</x:v>
      </x:c>
      <x:c r="F286" s="30"/>
      <x:c r="G286" s="37"/>
      <x:c r="H286" s="37"/>
      <x:c r="I286" s="79"/>
      <x:c r="J286" s="37" t="n">
        <x:v>0.477</x:v>
      </x:c>
      <x:c r="K286" s="37" t="str">
        <x:v>Bột môn GTP</x:v>
      </x:c>
      <x:c r="L286" s="59" t="n">
        <x:v>0</x:v>
      </x:c>
      <x:c r="M286" s="75" t="str">
        <x:v>ứng viên gần nhất=Bột môn King; score=0.477</x:v>
      </x:c>
    </x:row>
    <x:row r="287">
      <x:c r="A287" s="71" t="str">
        <x:v>COZY BỘT MATCHA  - THÙNG</x:v>
      </x:c>
      <x:c r="B287" s="37" t="str">
        <x:v>COZMAT</x:v>
      </x:c>
      <x:c r="C287" s="37" t="str">
        <x:v>COZMATT</x:v>
      </x:c>
      <x:c r="D287" s="37" t="n">
        <x:v>30</x:v>
      </x:c>
      <x:c r="E287" s="37" t="str">
        <x:v>CẦN DUYỆT</x:v>
      </x:c>
      <x:c r="F287" s="30" t="str">
        <x:v>Bot matcha cozy</x:v>
      </x:c>
      <x:c r="G287" s="37" t="n">
        <x:v>209</x:v>
      </x:c>
      <x:c r="H287" s="37" t="str">
        <x:v>goi 200g</x:v>
      </x:c>
      <x:c r="I287" s="79" t="n">
        <x:v>143</x:v>
      </x:c>
      <x:c r="J287" s="37" t="n">
        <x:v>0.844</x:v>
      </x:c>
      <x:c r="K287" s="37" t="str">
        <x:v>Trà Cozy túi lọc</x:v>
      </x:c>
      <x:c r="L287" s="59" t="n">
        <x:v>0</x:v>
      </x:c>
      <x:c r="M287" s="75" t="str">
        <x:v>score=0.844; gap=0.079; khác nhóm hàng</x:v>
      </x:c>
    </x:row>
    <x:row r="288">
      <x:c r="A288" s="71" t="str">
        <x:v>BỘT KEM TRỨNG - THÙNG</x:v>
      </x:c>
      <x:c r="B288" s="37" t="str">
        <x:v>BKEMTR</x:v>
      </x:c>
      <x:c r="C288" s="37" t="str">
        <x:v>BKEMTRT</x:v>
      </x:c>
      <x:c r="D288" s="37" t="n">
        <x:v>25</x:v>
      </x:c>
      <x:c r="E288" s="37" t="str">
        <x:v>CHƯA CÓ GIÁ LẺ</x:v>
      </x:c>
      <x:c r="F288" s="30"/>
      <x:c r="G288" s="37"/>
      <x:c r="H288" s="37"/>
      <x:c r="I288" s="79"/>
      <x:c r="J288" s="37" t="n">
        <x:v>0.578</x:v>
      </x:c>
      <x:c r="K288" s="37" t="str">
        <x:v>Bánh Bao Trứng</x:v>
      </x:c>
      <x:c r="L288" s="59" t="n">
        <x:v>0</x:v>
      </x:c>
      <x:c r="M288" s="75" t="str">
        <x:v>ứng viên gần nhất=Bột kem trứng Đài loan; score=0.578</x:v>
      </x:c>
    </x:row>
    <x:row r="289">
      <x:c r="A289" s="71" t="str">
        <x:v>BỘT DÂU BKB - THÙNG</x:v>
      </x:c>
      <x:c r="B289" s="37" t="str">
        <x:v>DAUBKB</x:v>
      </x:c>
      <x:c r="C289" s="37" t="str">
        <x:v>DAUBKBT</x:v>
      </x:c>
      <x:c r="D289" s="37" t="n">
        <x:v>10</x:v>
      </x:c>
      <x:c r="E289" s="37" t="str">
        <x:v>CHƯA CÓ GIÁ LẺ</x:v>
      </x:c>
      <x:c r="F289" s="30"/>
      <x:c r="G289" s="37"/>
      <x:c r="H289" s="37"/>
      <x:c r="I289" s="79"/>
      <x:c r="J289" s="37" t="n">
        <x:v>0.512</x:v>
      </x:c>
      <x:c r="K289" s="37" t="str">
        <x:v>Bột môn bkb</x:v>
      </x:c>
      <x:c r="L289" s="59" t="n">
        <x:v>0</x:v>
      </x:c>
      <x:c r="M289" s="75" t="str">
        <x:v>ứng viên gần nhất=Bột ớt; score=0.512</x:v>
      </x:c>
    </x:row>
    <x:row r="290">
      <x:c r="A290" s="71" t="str">
        <x:v>BONE - THÙNG</x:v>
      </x:c>
      <x:c r="B290" s="37" t="str">
        <x:v>BSBONE</x:v>
      </x:c>
      <x:c r="C290" s="37" t="str">
        <x:v>BSBONET</x:v>
      </x:c>
      <x:c r="D290" s="37" t="n">
        <x:v>12</x:v>
      </x:c>
      <x:c r="E290" s="37" t="str">
        <x:v>CHƯA CÓ GIÁ LẺ</x:v>
      </x:c>
      <x:c r="F290" s="30"/>
      <x:c r="G290" s="37"/>
      <x:c r="H290" s="37"/>
      <x:c r="I290" s="79"/>
      <x:c r="J290" s="37" t="n">
        <x:v>0.111</x:v>
      </x:c>
      <x:c r="K290" s="37" t="str">
        <x:v>Sữa tươi Blan</x:v>
      </x:c>
      <x:c r="L290" s="59" t="n">
        <x:v>820000</x:v>
      </x:c>
      <x:c r="M290" s="75" t="str">
        <x:v>ứng viên gần nhất=Bột sữa B one; score=0.111</x:v>
      </x:c>
    </x:row>
    <x:row r="291">
      <x:c r="A291" s="71" t="str">
        <x:v>BODU VIỆT QUỐC - THÙNG</x:v>
      </x:c>
      <x:c r="B291" s="37" t="str">
        <x:v>BODUVQ</x:v>
      </x:c>
      <x:c r="C291" s="37" t="str">
        <x:v>BODUVQT</x:v>
      </x:c>
      <x:c r="D291" s="37" t="n">
        <x:v>12</x:v>
      </x:c>
      <x:c r="E291" s="37" t="str">
        <x:v>CẦN DUYỆT</x:v>
      </x:c>
      <x:c r="F291" s="30" t="str">
        <x:v>Sinh Tố Gold Việt Quốc</x:v>
      </x:c>
      <x:c r="G291" s="37" t="n">
        <x:v>35</x:v>
      </x:c>
      <x:c r="H291" s="37" t="str">
        <x:v>Chai</x:v>
      </x:c>
      <x:c r="I291" s="79" t="n">
        <x:v>125</x:v>
      </x:c>
      <x:c r="J291" s="37" t="n">
        <x:v>0.699</x:v>
      </x:c>
      <x:c r="K291" s="37" t="str">
        <x:v>Sinh Tố Berrino Việt Quốc</x:v>
      </x:c>
      <x:c r="L291" s="59" t="n">
        <x:v>0</x:v>
      </x:c>
      <x:c r="M291" s="75" t="str">
        <x:v>score=0.699; gap=0.012; phương án 2=Sinh Tố Berrino Việt Quốc</x:v>
      </x:c>
    </x:row>
    <x:row r="292">
      <x:c r="A292" s="71" t="str">
        <x:v>BODU VẢI - THÙNG</x:v>
      </x:c>
      <x:c r="B292" s="37" t="str">
        <x:v>BODUVA</x:v>
      </x:c>
      <x:c r="C292" s="37" t="str">
        <x:v>BODUVAT</x:v>
      </x:c>
      <x:c r="D292" s="37" t="n">
        <x:v>12</x:v>
      </x:c>
      <x:c r="E292" s="37" t="str">
        <x:v>CHƯA CÓ GIÁ LẺ</x:v>
      </x:c>
      <x:c r="F292" s="30"/>
      <x:c r="G292" s="37"/>
      <x:c r="H292" s="37"/>
      <x:c r="I292" s="79"/>
      <x:c r="J292" s="37" t="n">
        <x:v>0.611</x:v>
      </x:c>
      <x:c r="K292" s="37" t="str">
        <x:v>Sinh Tố Berrino Vải</x:v>
      </x:c>
      <x:c r="L292" s="59" t="n">
        <x:v>0</x:v>
      </x:c>
      <x:c r="M292" s="75" t="str">
        <x:v>ứng viên gần nhất=Sinh  To vải glod; score=0.611</x:v>
      </x:c>
    </x:row>
    <x:row r="293">
      <x:c r="A293" s="71" t="str">
        <x:v>BODU ỔI - THÙNG</x:v>
      </x:c>
      <x:c r="B293" s="37" t="str">
        <x:v>BODUOI</x:v>
      </x:c>
      <x:c r="C293" s="37" t="str">
        <x:v>BODUOIT</x:v>
      </x:c>
      <x:c r="D293" s="37" t="n">
        <x:v>12</x:v>
      </x:c>
      <x:c r="E293" s="37" t="str">
        <x:v>CHƯA CÓ GIÁ LẺ</x:v>
      </x:c>
      <x:c r="F293" s="30"/>
      <x:c r="G293" s="37"/>
      <x:c r="H293" s="37"/>
      <x:c r="I293" s="79"/>
      <x:c r="J293" s="37" t="n">
        <x:v>0.594</x:v>
      </x:c>
      <x:c r="K293" s="37" t="str">
        <x:v>Sinh tố Berrino ổi</x:v>
      </x:c>
      <x:c r="L293" s="59" t="n">
        <x:v>0</x:v>
      </x:c>
      <x:c r="M293" s="75" t="str">
        <x:v>ứng viên gần nhất=Sinh Tố Gold ổi; score=0.594</x:v>
      </x:c>
    </x:row>
    <x:row r="294">
      <x:c r="A294" s="71" t="str">
        <x:v>BODU LONG NHÃN TÁO ĐỎ - THÙNG</x:v>
      </x:c>
      <x:c r="B294" s="37" t="str">
        <x:v>BODULN</x:v>
      </x:c>
      <x:c r="C294" s="37" t="str">
        <x:v>BODULNT</x:v>
      </x:c>
      <x:c r="D294" s="37" t="n">
        <x:v>12</x:v>
      </x:c>
      <x:c r="E294" s="37" t="str">
        <x:v>CHƯA CÓ GIÁ LẺ</x:v>
      </x:c>
      <x:c r="F294" s="30"/>
      <x:c r="G294" s="37"/>
      <x:c r="H294" s="37"/>
      <x:c r="I294" s="79"/>
      <x:c r="J294" s="37" t="n">
        <x:v>0.483</x:v>
      </x:c>
      <x:c r="K294" s="37" t="str">
        <x:v>Giấm Táo</x:v>
      </x:c>
      <x:c r="L294" s="59" t="n">
        <x:v>0</x:v>
      </x:c>
      <x:c r="M294" s="75" t="str">
        <x:v>ứng viên gần nhất=NHÃN thái; score=0.483</x:v>
      </x:c>
    </x:row>
    <x:row r="295">
      <x:c r="A295" s="71" t="str">
        <x:v>BODU HOA LÀI - THÙNG</x:v>
      </x:c>
      <x:c r="B295" s="37" t="str">
        <x:v>BODULA</x:v>
      </x:c>
      <x:c r="C295" s="37" t="str">
        <x:v>BODULAT</x:v>
      </x:c>
      <x:c r="D295" s="37" t="n">
        <x:v>12</x:v>
      </x:c>
      <x:c r="E295" s="37" t="str">
        <x:v>CHƯA CÓ GIÁ LẺ</x:v>
      </x:c>
      <x:c r="F295" s="30"/>
      <x:c r="G295" s="37"/>
      <x:c r="H295" s="37"/>
      <x:c r="I295" s="79"/>
      <x:c r="J295" s="37" t="n">
        <x:v>0.461</x:v>
      </x:c>
      <x:c r="K295" s="37" t="str">
        <x:v>Trà lài King</x:v>
      </x:c>
      <x:c r="L295" s="59" t="n">
        <x:v>0</x:v>
      </x:c>
      <x:c r="M295" s="75" t="str">
        <x:v>ứng viên gần nhất=Trà lài Lộc Phát; score=0.461</x:v>
      </x:c>
    </x:row>
    <x:row r="296">
      <x:c r="A296" s="71" t="str">
        <x:v>BODU HOA HỒNG - THÙNG</x:v>
      </x:c>
      <x:c r="B296" s="37" t="str">
        <x:v>BODUHH</x:v>
      </x:c>
      <x:c r="C296" s="37" t="str">
        <x:v>BODUHHT</x:v>
      </x:c>
      <x:c r="D296" s="37" t="n">
        <x:v>12</x:v>
      </x:c>
      <x:c r="E296" s="37" t="str">
        <x:v>CHƯA CÓ GIÁ LẺ</x:v>
      </x:c>
      <x:c r="F296" s="30"/>
      <x:c r="G296" s="37"/>
      <x:c r="H296" s="37"/>
      <x:c r="I296" s="79"/>
      <x:c r="J296" s="37" t="n">
        <x:v>0.37</x:v>
      </x:c>
      <x:c r="K296" s="37" t="str">
        <x:v>Cốm hồng Ongon</x:v>
      </x:c>
      <x:c r="L296" s="59" t="n">
        <x:v>0</x:v>
      </x:c>
      <x:c r="M296" s="75" t="str">
        <x:v>ứng viên gần nhất=Trà Cozy Hòa tan; score=0.370</x:v>
      </x:c>
    </x:row>
    <x:row r="297">
      <x:c r="A297" s="71" t="str">
        <x:v>BODU ĐÀO NHÀI - THÙNG</x:v>
      </x:c>
      <x:c r="B297" s="37" t="str">
        <x:v>BODUDN</x:v>
      </x:c>
      <x:c r="C297" s="37" t="str">
        <x:v>BODUDNT</x:v>
      </x:c>
      <x:c r="D297" s="37" t="n">
        <x:v>12</x:v>
      </x:c>
      <x:c r="E297" s="37" t="str">
        <x:v>CHƯA CÓ GIÁ LẺ</x:v>
      </x:c>
      <x:c r="F297" s="30"/>
      <x:c r="G297" s="37"/>
      <x:c r="H297" s="37"/>
      <x:c r="I297" s="79"/>
      <x:c r="J297" s="37" t="n">
        <x:v>0.53</x:v>
      </x:c>
      <x:c r="K297" s="37" t="str">
        <x:v>Sinh Tố Gold Đào</x:v>
      </x:c>
      <x:c r="L297" s="59" t="n">
        <x:v>0</x:v>
      </x:c>
      <x:c r="M297" s="75" t="str">
        <x:v>ứng viên gần nhất=Đào lon Thái; score=0.530</x:v>
      </x:c>
    </x:row>
    <x:row r="298">
      <x:c r="A298" s="71" t="str">
        <x:v>BODU DƯA LƯỚI - THÙNG</x:v>
      </x:c>
      <x:c r="B298" s="37" t="str">
        <x:v>BODUDL</x:v>
      </x:c>
      <x:c r="C298" s="37" t="str">
        <x:v>BODUDLT</x:v>
      </x:c>
      <x:c r="D298" s="37" t="n">
        <x:v>12</x:v>
      </x:c>
      <x:c r="E298" s="37" t="str">
        <x:v>CHƯA CÓ GIÁ LẺ</x:v>
      </x:c>
      <x:c r="F298" s="30"/>
      <x:c r="G298" s="37"/>
      <x:c r="H298" s="37"/>
      <x:c r="I298" s="79"/>
      <x:c r="J298" s="37" t="n">
        <x:v>0.462</x:v>
      </x:c>
      <x:c r="K298" s="37" t="str">
        <x:v>Nước cốt dừa thai 1 lit</x:v>
      </x:c>
      <x:c r="L298" s="59" t="n">
        <x:v>0</x:v>
      </x:c>
      <x:c r="M298" s="75" t="str">
        <x:v>ứng viên gần nhất=PLAN MOLE DƯA; score=0.462</x:v>
      </x:c>
    </x:row>
    <x:row r="299">
      <x:c r="A299" s="71" t="str">
        <x:v>BODU DÂU - THÙNG</x:v>
      </x:c>
      <x:c r="B299" s="37" t="str">
        <x:v>BODUDA</x:v>
      </x:c>
      <x:c r="C299" s="37" t="str">
        <x:v>BODUDAT</x:v>
      </x:c>
      <x:c r="D299" s="37" t="n">
        <x:v>12</x:v>
      </x:c>
      <x:c r="E299" s="37" t="str">
        <x:v>CHƯA CÓ GIÁ LẺ</x:v>
      </x:c>
      <x:c r="F299" s="30"/>
      <x:c r="G299" s="37"/>
      <x:c r="H299" s="37"/>
      <x:c r="I299" s="79"/>
      <x:c r="J299" s="37" t="n">
        <x:v>0.583</x:v>
      </x:c>
      <x:c r="K299" s="37" t="str">
        <x:v>Sinh Tố Berrino Dâu</x:v>
      </x:c>
      <x:c r="L299" s="59" t="n">
        <x:v>0</x:v>
      </x:c>
      <x:c r="M299" s="75" t="str">
        <x:v>ứng viên gần nhất=Sinh Tố Gold Dâu; score=0.583</x:v>
      </x:c>
    </x:row>
    <x:row r="300">
      <x:c r="A300" s="71" t="str">
        <x:v>BODU BƯỞI - THÙNG</x:v>
      </x:c>
      <x:c r="B300" s="37" t="str">
        <x:v>BODUBU</x:v>
      </x:c>
      <x:c r="C300" s="37" t="str">
        <x:v>BODUBUT</x:v>
      </x:c>
      <x:c r="D300" s="37" t="n">
        <x:v>12</x:v>
      </x:c>
      <x:c r="E300" s="37" t="str">
        <x:v>CHƯA CÓ GIÁ LẺ</x:v>
      </x:c>
      <x:c r="F300" s="30"/>
      <x:c r="G300" s="37"/>
      <x:c r="H300" s="37"/>
      <x:c r="I300" s="79"/>
      <x:c r="J300" s="37" t="n">
        <x:v>0.058</x:v>
      </x:c>
      <x:c r="K300" s="37" t="str">
        <x:v>Ice hot on top</x:v>
      </x:c>
      <x:c r="L300" s="59" t="n">
        <x:v>0</x:v>
      </x:c>
      <x:c r="M300" s="75" t="str">
        <x:v>ứng viên gần nhất=PHÔ MAI BÒ CƯỜI; score=0.058</x:v>
      </x:c>
    </x:row>
    <x:row r="301">
      <x:c r="A301" s="71" t="str">
        <x:v>BÒ CƯỜI 3 LỚP - THÙNG</x:v>
      </x:c>
      <x:c r="B301" s="37" t="str">
        <x:v>BOCU3L</x:v>
      </x:c>
      <x:c r="C301" s="37" t="str">
        <x:v>BOCU3LT</x:v>
      </x:c>
      <x:c r="D301" s="37" t="n">
        <x:v>24</x:v>
      </x:c>
      <x:c r="E301" s="37" t="str">
        <x:v>CHƯA CÓ GIÁ LẺ</x:v>
      </x:c>
      <x:c r="F301" s="30"/>
      <x:c r="G301" s="37"/>
      <x:c r="H301" s="37"/>
      <x:c r="I301" s="79"/>
      <x:c r="J301" s="37" t="n">
        <x:v>0.655</x:v>
      </x:c>
      <x:c r="K301" s="37" t="str">
        <x:v>Bò Viên</x:v>
      </x:c>
      <x:c r="L301" s="59" t="n">
        <x:v>1870000</x:v>
      </x:c>
      <x:c r="M301" s="75" t="str">
        <x:v>ứng viên gần nhất=PHÔ MAI BÒ CƯỜI; score=0.655</x:v>
      </x:c>
    </x:row>
    <x:row r="302">
      <x:c r="A302" s="71" t="str">
        <x:v>BERINO MÃNG CẦU - THÙNG</x:v>
      </x:c>
      <x:c r="B302" s="37" t="str">
        <x:v>BERMCA</x:v>
      </x:c>
      <x:c r="C302" s="37" t="str">
        <x:v>BERMCAT</x:v>
      </x:c>
      <x:c r="D302" s="37" t="n">
        <x:v>12</x:v>
      </x:c>
      <x:c r="E302" s="37" t="str">
        <x:v>CẦN DUYỆT</x:v>
      </x:c>
      <x:c r="F302" s="30" t="str">
        <x:v>Sinh  To mang câu glod</x:v>
      </x:c>
      <x:c r="G302" s="37" t="n">
        <x:v>42</x:v>
      </x:c>
      <x:c r="H302" s="37" t="str">
        <x:v>chai</x:v>
      </x:c>
      <x:c r="I302" s="79" t="n">
        <x:v>117</x:v>
      </x:c>
      <x:c r="J302" s="37" t="n">
        <x:v>0.748</x:v>
      </x:c>
      <x:c r="K302" s="37" t="str">
        <x:v>SINH TỐ VINA MÃNG CẦU</x:v>
      </x:c>
      <x:c r="L302" s="59" t="n">
        <x:v>0</x:v>
      </x:c>
      <x:c r="M302" s="75" t="str">
        <x:v>score=0.748; gap=0.093; phương án 2=SINH TỐ VINA MÃNG CẦU</x:v>
      </x:c>
    </x:row>
    <x:row r="303">
      <x:c r="A303" s="71" t="str">
        <x:v>BERINO DƯA LƯỚI - THÙNG</x:v>
      </x:c>
      <x:c r="B303" s="37" t="str">
        <x:v>BERDLU</x:v>
      </x:c>
      <x:c r="C303" s="37" t="str">
        <x:v>BERDLUT</x:v>
      </x:c>
      <x:c r="D303" s="37" t="n">
        <x:v>12</x:v>
      </x:c>
      <x:c r="E303" s="37" t="str">
        <x:v>CHƯA CÓ GIÁ LẺ</x:v>
      </x:c>
      <x:c r="F303" s="30"/>
      <x:c r="G303" s="37"/>
      <x:c r="H303" s="37"/>
      <x:c r="I303" s="79"/>
      <x:c r="J303" s="37" t="n">
        <x:v>0.559</x:v>
      </x:c>
      <x:c r="K303" s="37" t="str">
        <x:v>Sinh tố Berrino ổi</x:v>
      </x:c>
      <x:c r="L303" s="59" t="n">
        <x:v>0</x:v>
      </x:c>
      <x:c r="M303" s="75" t="str">
        <x:v>ứng viên gần nhất=Sinh Tố Berrino Dâu; score=0.559</x:v>
      </x:c>
    </x:row>
    <x:row r="304">
      <x:c r="A304" s="71" t="str">
        <x:v>BAO 2 LY NGANG - BAO</x:v>
      </x:c>
      <x:c r="B304" s="37" t="str">
        <x:v>BAO2LN</x:v>
      </x:c>
      <x:c r="C304" s="37" t="str">
        <x:v>BAO2LNT</x:v>
      </x:c>
      <x:c r="D304" s="37" t="n">
        <x:v>30</x:v>
      </x:c>
      <x:c r="E304" s="37" t="str">
        <x:v>CHƯA CÓ GIÁ LẺ</x:v>
      </x:c>
      <x:c r="F304" s="30"/>
      <x:c r="G304" s="37"/>
      <x:c r="H304" s="37"/>
      <x:c r="I304" s="79"/>
      <x:c r="J304" s="37" t="n">
        <x:v>0.626</x:v>
      </x:c>
      <x:c r="K304" s="37" t="str">
        <x:v>Bịch 2ly ngang</x:v>
      </x:c>
      <x:c r="L304" s="59" t="n">
        <x:v>0</x:v>
      </x:c>
      <x:c r="M304" s="75" t="str">
        <x:v>ứng viên gần nhất=Bịch 1ly ngang; score=0.626</x:v>
      </x:c>
    </x:row>
    <x:row r="305">
      <x:c r="A305" s="71" t="str">
        <x:v>BAO 1 LY NGANG - BAO</x:v>
      </x:c>
      <x:c r="B305" s="37" t="str">
        <x:v>BAO1LN</x:v>
      </x:c>
      <x:c r="C305" s="37" t="str">
        <x:v>BAO1LNT</x:v>
      </x:c>
      <x:c r="D305" s="37" t="n">
        <x:v>30</x:v>
      </x:c>
      <x:c r="E305" s="37" t="str">
        <x:v>CHƯA CÓ GIÁ LẺ</x:v>
      </x:c>
      <x:c r="F305" s="30"/>
      <x:c r="G305" s="37"/>
      <x:c r="H305" s="37"/>
      <x:c r="I305" s="79"/>
      <x:c r="J305" s="37" t="n">
        <x:v>0.626</x:v>
      </x:c>
      <x:c r="K305" s="37" t="str">
        <x:v>Bịch 2ly ngang</x:v>
      </x:c>
      <x:c r="L305" s="59" t="n">
        <x:v>0</x:v>
      </x:c>
      <x:c r="M305" s="75" t="str">
        <x:v>ứng viên gần nhất=Bịch 1ly ngang; score=0.626</x:v>
      </x:c>
    </x:row>
    <x:row r="306">
      <x:c r="A306" s="71" t="str">
        <x:v>BÁNH TRÁNG CAM - CÂY</x:v>
      </x:c>
      <x:c r="B306" s="37" t="str">
        <x:v>BTRCAM</x:v>
      </x:c>
      <x:c r="C306" s="37" t="str">
        <x:v>BTRCAMT</x:v>
      </x:c>
      <x:c r="D306" s="37" t="n">
        <x:v>6</x:v>
      </x:c>
      <x:c r="E306" s="37" t="str">
        <x:v>CHƯA CÓ GIÁ LẺ</x:v>
      </x:c>
      <x:c r="F306" s="30"/>
      <x:c r="G306" s="37"/>
      <x:c r="H306" s="37"/>
      <x:c r="I306" s="79"/>
      <x:c r="J306" s="37" t="n">
        <x:v>0.625</x:v>
      </x:c>
      <x:c r="K306" s="37" t="str">
        <x:v>bánh tráng cuốn đỏ</x:v>
      </x:c>
      <x:c r="L306" s="59" t="n">
        <x:v>240000</x:v>
      </x:c>
      <x:c r="M306" s="75" t="str">
        <x:v>ứng viên gần nhất=bánh tráng cắt; score=0.625</x:v>
      </x:c>
    </x:row>
    <x:row r="307">
      <x:c r="A307" s="71" t="str">
        <x:v>ANCHOR - THÙNG</x:v>
      </x:c>
      <x:c r="B307" s="37" t="str">
        <x:v>ANCHOR</x:v>
      </x:c>
      <x:c r="C307" s="37" t="str">
        <x:v>ANCHORT</x:v>
      </x:c>
      <x:c r="D307" s="37" t="n">
        <x:v>12</x:v>
      </x:c>
      <x:c r="E307" s="37" t="str">
        <x:v>CHƯA CÓ GIÁ LẺ</x:v>
      </x:c>
      <x:c r="F307" s="30"/>
      <x:c r="G307" s="37"/>
      <x:c r="H307" s="37"/>
      <x:c r="I307" s="79"/>
      <x:c r="J307" s="37" t="n">
        <x:v>0.053</x:v>
      </x:c>
      <x:c r="K307" s="37" t="str">
        <x:v>Bot matcha cozy</x:v>
      </x:c>
      <x:c r="L307" s="59" t="n">
        <x:v>1920000</x:v>
      </x:c>
      <x:c r="M307" s="75" t="str">
        <x:v>ứng viên gần nhất=Bot matcha SEOUL; score=0.053</x:v>
      </x:c>
    </x:row>
    <x:row r="308">
      <x:c r="A308" s="71" t="str">
        <x:v>3Q BIBI DÂU - THÙNG</x:v>
      </x:c>
      <x:c r="B308" s="37" t="str">
        <x:v>3QBBDA</x:v>
      </x:c>
      <x:c r="C308" s="37" t="str">
        <x:v>3QBBDAT</x:v>
      </x:c>
      <x:c r="D308" s="37" t="n">
        <x:v>6</x:v>
      </x:c>
      <x:c r="E308" s="37" t="str">
        <x:v>CẦN DUYỆT</x:v>
      </x:c>
      <x:c r="F308" s="30" t="str">
        <x:v>3Q Bibi đen</x:v>
      </x:c>
      <x:c r="G308" s="37" t="n">
        <x:v>86</x:v>
      </x:c>
      <x:c r="H308" s="37" t="str">
        <x:v>gói</x:v>
      </x:c>
      <x:c r="I308" s="79" t="n">
        <x:v>52</x:v>
      </x:c>
      <x:c r="J308" s="37" t="n">
        <x:v>0.665</x:v>
      </x:c>
      <x:c r="K308" s="37" t="str">
        <x:v>3Q Bibi TRĂNG</x:v>
      </x:c>
      <x:c r="L308" s="59" t="n">
        <x:v>0</x:v>
      </x:c>
      <x:c r="M308" s="75" t="str">
        <x:v>score=0.665; gap=0.005; phương án 2=3Q Bibi TRĂNG</x:v>
      </x:c>
    </x:row>
    <x:row r="309">
      <x:c r="A309" s="72" t="str">
        <x:v>3Q BIBI ĐÀO - THÙNG</x:v>
      </x:c>
      <x:c r="B309" s="44" t="str">
        <x:v>3QBBDO</x:v>
      </x:c>
      <x:c r="C309" s="44" t="str">
        <x:v>3QBBDOT</x:v>
      </x:c>
      <x:c r="D309" s="44" t="n">
        <x:v>6</x:v>
      </x:c>
      <x:c r="E309" s="44" t="str">
        <x:v>CẦN DUYỆT</x:v>
      </x:c>
      <x:c r="F309" s="43" t="str">
        <x:v>3Q Bibi đen</x:v>
      </x:c>
      <x:c r="G309" s="44" t="n">
        <x:v>86</x:v>
      </x:c>
      <x:c r="H309" s="44" t="str">
        <x:v>gói</x:v>
      </x:c>
      <x:c r="I309" s="80" t="n">
        <x:v>52</x:v>
      </x:c>
      <x:c r="J309" s="44" t="n">
        <x:v>0.665</x:v>
      </x:c>
      <x:c r="K309" s="44" t="str">
        <x:v>3Q Bibi TRĂNG</x:v>
      </x:c>
      <x:c r="L309" s="64" t="n">
        <x:v>0</x:v>
      </x:c>
      <x:c r="M309" s="76" t="str">
        <x:v>score=0.665; gap=0.005; phương án 2=3Q Bibi TRĂNG</x:v>
      </x:c>
    </x:row>
  </x:sheetData>
  <x:conditionalFormatting sqref="E2:E309">
    <x:cfRule type="expression" dxfId="4" priority="1">
      <x:formula>E2="CẦN DUYỆT"</x:formula>
    </x:cfRule>
    <x:cfRule type="expression" dxfId="5" priority="2">
      <x:formula>E2="CHƯA CÓ GIÁ LẺ"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c828bc7e08141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28" hidden="0" customWidth="1"/>
  </x:cols>
  <x:sheetData>
    <x:row r="1">
      <x:c r="A1" s="32" t="str">
        <x:v>Dòng Excel gốc</x:v>
      </x:c>
      <x:c r="B1" s="33" t="str">
        <x:v>Tên sản phẩm</x:v>
      </x:c>
      <x:c r="C1" s="33" t="str">
        <x:v>Quy cách</x:v>
      </x:c>
      <x:c r="D1" s="33" t="str">
        <x:v>ĐVT</x:v>
      </x:c>
      <x:c r="E1" s="33" t="str">
        <x:v>KHTT (nghìn)</x:v>
      </x:c>
      <x:c r="F1" s="33" t="str">
        <x:v>KHTV (nghìn)</x:v>
      </x:c>
      <x:c r="G1" s="35" t="str">
        <x:v>Nhóm nguồn</x:v>
      </x:c>
    </x:row>
    <x:row r="2">
      <x:c r="A2" s="39" t="n">
        <x:v>8</x:v>
      </x:c>
      <x:c r="B2" s="30" t="str">
        <x:v>Siro Gold 700ml</x:v>
      </x:c>
      <x:c r="C2" s="30" t="str">
        <x:v>Thùng 12 chai</x:v>
      </x:c>
      <x:c r="D2" s="37" t="str">
        <x:v>Chai</x:v>
      </x:c>
      <x:c r="E2" s="37" t="n">
        <x:v>53</x:v>
      </x:c>
      <x:c r="F2" s="37"/>
      <x:c r="G2" s="38" t="str">
        <x:v>1.Siro</x:v>
      </x:c>
    </x:row>
    <x:row r="3">
      <x:c r="A3" s="39" t="n">
        <x:v>9</x:v>
      </x:c>
      <x:c r="B3" s="30" t="str">
        <x:v>Siro vỏ cam Gold 700ml</x:v>
      </x:c>
      <x:c r="C3" s="30" t="str">
        <x:v>Thùng 12 chai</x:v>
      </x:c>
      <x:c r="D3" s="37" t="str">
        <x:v>Chai</x:v>
      </x:c>
      <x:c r="E3" s="37" t="n">
        <x:v>70</x:v>
      </x:c>
      <x:c r="F3" s="37"/>
      <x:c r="G3" s="38" t="str">
        <x:v>1.Siro</x:v>
      </x:c>
    </x:row>
    <x:row r="4">
      <x:c r="A4" s="39" t="n">
        <x:v>15</x:v>
      </x:c>
      <x:c r="B4" s="30" t="str">
        <x:v>Siro Changthai</x:v>
      </x:c>
      <x:c r="C4" s="30" t="str">
        <x:v>Thùng 12 chai</x:v>
      </x:c>
      <x:c r="D4" s="37" t="str">
        <x:v>Chai</x:v>
      </x:c>
      <x:c r="E4" s="37" t="n">
        <x:v>57</x:v>
      </x:c>
      <x:c r="F4" s="37"/>
      <x:c r="G4" s="38" t="str">
        <x:v>1.Siro</x:v>
      </x:c>
    </x:row>
    <x:row r="5">
      <x:c r="A5" s="39" t="n">
        <x:v>16</x:v>
      </x:c>
      <x:c r="B5" s="30" t="str">
        <x:v>Siro Douxian 2l tròn</x:v>
      </x:c>
      <x:c r="C5" s="30" t="str">
        <x:v>Thùng 6 chai</x:v>
      </x:c>
      <x:c r="D5" s="37" t="str">
        <x:v>Chai</x:v>
      </x:c>
      <x:c r="E5" s="37" t="n">
        <x:v>126</x:v>
      </x:c>
      <x:c r="F5" s="37"/>
      <x:c r="G5" s="38" t="str">
        <x:v>1.Siro</x:v>
      </x:c>
    </x:row>
    <x:row r="6">
      <x:c r="A6" s="39" t="n">
        <x:v>17</x:v>
      </x:c>
      <x:c r="B6" s="30" t="str">
        <x:v>SIRO ĐĐ hoàng kim</x:v>
      </x:c>
      <x:c r="C6" s="30" t="str">
        <x:v>Thùng 6chai</x:v>
      </x:c>
      <x:c r="D6" s="37" t="str">
        <x:v>chai</x:v>
      </x:c>
      <x:c r="E6" s="37" t="n">
        <x:v>126</x:v>
      </x:c>
      <x:c r="F6" s="37"/>
      <x:c r="G6" s="38" t="str">
        <x:v>1.Siro</x:v>
      </x:c>
    </x:row>
    <x:row r="7">
      <x:c r="A7" s="39" t="n">
        <x:v>18</x:v>
      </x:c>
      <x:c r="B7" s="30" t="str">
        <x:v>Siro Douxian 2l hoàng kim</x:v>
      </x:c>
      <x:c r="C7" s="30" t="str">
        <x:v>Thùng 6 chai</x:v>
      </x:c>
      <x:c r="D7" s="37" t="str">
        <x:v>Chai</x:v>
      </x:c>
      <x:c r="E7" s="37" t="n">
        <x:v>85</x:v>
      </x:c>
      <x:c r="F7" s="37"/>
      <x:c r="G7" s="38" t="str">
        <x:v>1.Siro</x:v>
      </x:c>
    </x:row>
    <x:row r="8">
      <x:c r="A8" s="39" t="n">
        <x:v>61</x:v>
      </x:c>
      <x:c r="B8" s="30" t="str">
        <x:v>Đuong den A+</x:v>
      </x:c>
      <x:c r="C8" s="30" t="str">
        <x:v>THÙNG 24 CHAI</x:v>
      </x:c>
      <x:c r="D8" s="37" t="str">
        <x:v>CHAI</x:v>
      </x:c>
      <x:c r="E8" s="37" t="n">
        <x:v>27</x:v>
      </x:c>
      <x:c r="F8" s="37"/>
      <x:c r="G8" s="38" t="str">
        <x:v>6. ĐƯỜNG ĐEN</x:v>
      </x:c>
    </x:row>
    <x:row r="9">
      <x:c r="A9" s="39" t="n">
        <x:v>66</x:v>
      </x:c>
      <x:c r="B9" s="30" t="str">
        <x:v>Đường đen Euro Deli</x:v>
      </x:c>
      <x:c r="C9" s="30" t="str">
        <x:v>Thùng 6 bình</x:v>
      </x:c>
      <x:c r="D9" s="37" t="str">
        <x:v>bình</x:v>
      </x:c>
      <x:c r="E9" s="37" t="n">
        <x:v>280</x:v>
      </x:c>
      <x:c r="F9" s="37"/>
      <x:c r="G9" s="38" t="str">
        <x:v>6. ĐƯỜNG ĐEN</x:v>
      </x:c>
    </x:row>
    <x:row r="10">
      <x:c r="A10" s="39" t="n">
        <x:v>67</x:v>
      </x:c>
      <x:c r="B10" s="30" t="str">
        <x:v>Đường đen Douxian</x:v>
      </x:c>
      <x:c r="C10" s="30" t="str">
        <x:v>Thùng 6 bình</x:v>
      </x:c>
      <x:c r="D10" s="37" t="str">
        <x:v>bình</x:v>
      </x:c>
      <x:c r="E10" s="37" t="n">
        <x:v>126</x:v>
      </x:c>
      <x:c r="F10" s="37"/>
      <x:c r="G10" s="38" t="str">
        <x:v>6. ĐƯỜNG ĐEN</x:v>
      </x:c>
    </x:row>
    <x:row r="11">
      <x:c r="A11" s="39" t="n">
        <x:v>69</x:v>
      </x:c>
      <x:c r="B11" s="30" t="str">
        <x:v>Đường nuoc Deasang</x:v>
      </x:c>
      <x:c r="C11" s="30" t="str">
        <x:v>thung 25kg</x:v>
      </x:c>
      <x:c r="D11" s="37" t="str">
        <x:v>thùng</x:v>
      </x:c>
      <x:c r="E11" s="37" t="n">
        <x:v>570</x:v>
      </x:c>
      <x:c r="F11" s="37"/>
      <x:c r="G11" s="38" t="str">
        <x:v>6. ĐƯỜNG ĐEN</x:v>
      </x:c>
    </x:row>
    <x:row r="12">
      <x:c r="A12" s="39" t="n">
        <x:v>70</x:v>
      </x:c>
      <x:c r="B12" s="30" t="str">
        <x:v>Siro Douxian A+</x:v>
      </x:c>
      <x:c r="C12" s="30" t="str">
        <x:v>Thùng 24 chai</x:v>
      </x:c>
      <x:c r="D12" s="37" t="str">
        <x:v>Chai</x:v>
      </x:c>
      <x:c r="E12" s="37" t="n">
        <x:v>27</x:v>
      </x:c>
      <x:c r="F12" s="37"/>
      <x:c r="G12" s="38" t="str">
        <x:v>6. ĐƯỜNG ĐEN</x:v>
      </x:c>
    </x:row>
    <x:row r="13">
      <x:c r="A13" s="39" t="n">
        <x:v>72</x:v>
      </x:c>
      <x:c r="B13" s="30" t="str">
        <x:v>TC đường đen Duoxian 1kg</x:v>
      </x:c>
      <x:c r="C13" s="30" t="str">
        <x:v>Thùng 18 gói</x:v>
      </x:c>
      <x:c r="D13" s="37" t="str">
        <x:v>bịch</x:v>
      </x:c>
      <x:c r="E13" s="37" t="n">
        <x:v>30</x:v>
      </x:c>
      <x:c r="F13" s="37"/>
      <x:c r="G13" s="38" t="str">
        <x:v>7.  TRÂN CHÂU</x:v>
      </x:c>
    </x:row>
    <x:row r="14">
      <x:c r="A14" s="39" t="n">
        <x:v>73</x:v>
      </x:c>
      <x:c r="B14" s="30" t="str">
        <x:v>TC đường đen Duoxian 2kg</x:v>
      </x:c>
      <x:c r="C14" s="30" t="str">
        <x:v>Thùng 10 gói</x:v>
      </x:c>
      <x:c r="D14" s="37" t="str">
        <x:v>bịch</x:v>
      </x:c>
      <x:c r="E14" s="37" t="n">
        <x:v>54</x:v>
      </x:c>
      <x:c r="F14" s="37"/>
      <x:c r="G14" s="38" t="str">
        <x:v>7.  TRÂN CHÂU</x:v>
      </x:c>
    </x:row>
    <x:row r="15">
      <x:c r="A15" s="39" t="n">
        <x:v>74</x:v>
      </x:c>
      <x:c r="B15" s="30" t="str">
        <x:v>TC đường đen Duoxian 3kg</x:v>
      </x:c>
      <x:c r="C15" s="30" t="str">
        <x:v>Thùng 6 gói</x:v>
      </x:c>
      <x:c r="D15" s="37" t="str">
        <x:v>bịch</x:v>
      </x:c>
      <x:c r="E15" s="37" t="n">
        <x:v>94</x:v>
      </x:c>
      <x:c r="F15" s="37"/>
      <x:c r="G15" s="38" t="str">
        <x:v>7.  TRÂN CHÂU</x:v>
      </x:c>
    </x:row>
    <x:row r="16">
      <x:c r="A16" s="39" t="n">
        <x:v>75</x:v>
      </x:c>
      <x:c r="B16" s="30" t="str">
        <x:v>TC hoàng kim Duoxian 1kg</x:v>
      </x:c>
      <x:c r="C16" s="30" t="str">
        <x:v>Thùng 18 gói</x:v>
      </x:c>
      <x:c r="D16" s="37" t="str">
        <x:v>bịch</x:v>
      </x:c>
      <x:c r="E16" s="37" t="n">
        <x:v>30</x:v>
      </x:c>
      <x:c r="F16" s="37"/>
      <x:c r="G16" s="38" t="str">
        <x:v>7.  TRÂN CHÂU</x:v>
      </x:c>
    </x:row>
    <x:row r="17">
      <x:c r="A17" s="39" t="n">
        <x:v>76</x:v>
      </x:c>
      <x:c r="B17" s="30" t="str">
        <x:v>TC hoàng kim Duoxian 3kg</x:v>
      </x:c>
      <x:c r="C17" s="30" t="str">
        <x:v>Thùng 6 gói</x:v>
      </x:c>
      <x:c r="D17" s="37" t="str">
        <x:v>bịch</x:v>
      </x:c>
      <x:c r="E17" s="37" t="n">
        <x:v>94</x:v>
      </x:c>
      <x:c r="F17" s="37"/>
      <x:c r="G17" s="38" t="str">
        <x:v>7.  TRÂN CHÂU</x:v>
      </x:c>
    </x:row>
    <x:row r="18">
      <x:c r="A18" s="39" t="n">
        <x:v>78</x:v>
      </x:c>
      <x:c r="B18" s="30" t="str">
        <x:v>Tc đường đen Gia Uy</x:v>
      </x:c>
      <x:c r="C18" s="30" t="str">
        <x:v>Thùng 10 gói</x:v>
      </x:c>
      <x:c r="D18" s="37" t="str">
        <x:v>bịch</x:v>
      </x:c>
      <x:c r="E18" s="37" t="n">
        <x:v>57</x:v>
      </x:c>
      <x:c r="F18" s="37"/>
      <x:c r="G18" s="38" t="str">
        <x:v>7.  TRÂN CHÂU</x:v>
      </x:c>
    </x:row>
    <x:row r="19">
      <x:c r="A19" s="39" t="n">
        <x:v>81</x:v>
      </x:c>
      <x:c r="B19" s="30" t="str">
        <x:v>TC MINH HANH 1 KG KUNHAN</x:v>
      </x:c>
      <x:c r="C19" s="30" t="str">
        <x:v>Thùng 20 gói</x:v>
      </x:c>
      <x:c r="D19" s="37" t="str">
        <x:v>bịch</x:v>
      </x:c>
      <x:c r="E19" s="37" t="n">
        <x:v>25</x:v>
      </x:c>
      <x:c r="F19" s="37" t="n">
        <x:v>24</x:v>
      </x:c>
      <x:c r="G19" s="38" t="str">
        <x:v>7.  TRÂN CHÂU</x:v>
      </x:c>
    </x:row>
    <x:row r="20">
      <x:c r="A20" s="39" t="n">
        <x:v>82</x:v>
      </x:c>
      <x:c r="B20" s="30" t="str">
        <x:v>TC đđ Kuhan 2kG</x:v>
      </x:c>
      <x:c r="C20" s="30" t="str">
        <x:v>Thùng 10 hộp</x:v>
      </x:c>
      <x:c r="D20" s="37" t="str">
        <x:v>HỘP</x:v>
      </x:c>
      <x:c r="E20" s="37" t="n">
        <x:v>52</x:v>
      </x:c>
      <x:c r="F20" s="37" t="n">
        <x:v>50</x:v>
      </x:c>
      <x:c r="G20" s="38" t="str">
        <x:v>7.  TRÂN CHÂU</x:v>
      </x:c>
    </x:row>
    <x:row r="21">
      <x:c r="A21" s="39" t="n">
        <x:v>83</x:v>
      </x:c>
      <x:c r="B21" s="30" t="str">
        <x:v>TC đđ kuhan 3KG</x:v>
      </x:c>
      <x:c r="C21" s="30" t="str">
        <x:v>Thùng 20 gói</x:v>
      </x:c>
      <x:c r="D21" s="37" t="str">
        <x:v>HỘP</x:v>
      </x:c>
      <x:c r="E21" s="37" t="n">
        <x:v>78</x:v>
      </x:c>
      <x:c r="F21" s="37" t="n">
        <x:v>76</x:v>
      </x:c>
      <x:c r="G21" s="38" t="str">
        <x:v>7.  TRÂN CHÂU</x:v>
      </x:c>
    </x:row>
    <x:row r="22">
      <x:c r="A22" s="39" t="n">
        <x:v>94</x:v>
      </x:c>
      <x:c r="B22" s="30" t="str">
        <x:v>Thạch Douxian các loại</x:v>
      </x:c>
      <x:c r="C22" s="30" t="str">
        <x:v>Thùng 6 hủ</x:v>
      </x:c>
      <x:c r="D22" s="37" t="str">
        <x:v>hủ</x:v>
      </x:c>
      <x:c r="E22" s="37" t="n">
        <x:v>70</x:v>
      </x:c>
      <x:c r="F22" s="37"/>
      <x:c r="G22" s="38" t="str">
        <x:v>8. 3Q Gion</x:v>
      </x:c>
    </x:row>
    <x:row r="23">
      <x:c r="A23" s="39" t="n">
        <x:v>95</x:v>
      </x:c>
      <x:c r="B23" s="30" t="str">
        <x:v>Thạch Hùng Chương jelly</x:v>
      </x:c>
      <x:c r="C23" s="30" t="str">
        <x:v>Thùng 6 hủ</x:v>
      </x:c>
      <x:c r="D23" s="37" t="str">
        <x:v>hủ</x:v>
      </x:c>
      <x:c r="E23" s="37" t="n">
        <x:v>110</x:v>
      </x:c>
      <x:c r="F23" s="37"/>
      <x:c r="G23" s="38" t="str">
        <x:v>8. 3Q Gion</x:v>
      </x:c>
    </x:row>
    <x:row r="24">
      <x:c r="A24" s="39" t="n">
        <x:v>96</x:v>
      </x:c>
      <x:c r="B24" s="30" t="str">
        <x:v>Thủy Tinh Hùng Chương</x:v>
      </x:c>
      <x:c r="C24" s="30" t="str">
        <x:v>Thùng 4 hủ</x:v>
      </x:c>
      <x:c r="D24" s="37" t="str">
        <x:v>hủ</x:v>
      </x:c>
      <x:c r="E24" s="37" t="n">
        <x:v>200</x:v>
      </x:c>
      <x:c r="F24" s="37"/>
      <x:c r="G24" s="38" t="str">
        <x:v>8. 3Q Gion</x:v>
      </x:c>
    </x:row>
    <x:row r="25">
      <x:c r="A25" s="39" t="n">
        <x:v>98</x:v>
      </x:c>
      <x:c r="B25" s="30" t="str">
        <x:v>Sốt Socola Hershey</x:v>
      </x:c>
      <x:c r="C25" s="30" t="str">
        <x:v>Thùng 12 chai</x:v>
      </x:c>
      <x:c r="D25" s="37" t="str">
        <x:v>Chai</x:v>
      </x:c>
      <x:c r="E25" s="37" t="n">
        <x:v>155</x:v>
      </x:c>
      <x:c r="F25" s="37"/>
      <x:c r="G25" s="38" t="str">
        <x:v>9. Sôt Topping</x:v>
      </x:c>
    </x:row>
    <x:row r="26">
      <x:c r="A26" s="39" t="n">
        <x:v>105</x:v>
      </x:c>
      <x:c r="B26" s="30" t="str">
        <x:v>Đào lon Rhodes giật</x:v>
      </x:c>
      <x:c r="C26" s="30" t="str">
        <x:v>Thùng 12 lon</x:v>
      </x:c>
      <x:c r="D26" s="37" t="str">
        <x:v>lon</x:v>
      </x:c>
      <x:c r="E26" s="37" t="n">
        <x:v>62</x:v>
      </x:c>
      <x:c r="F26" s="37"/>
      <x:c r="G26" s="38" t="str">
        <x:v>10. TRAI CÂY HÔP</x:v>
      </x:c>
    </x:row>
    <x:row r="27">
      <x:c r="A27" s="39" t="n">
        <x:v>107</x:v>
      </x:c>
      <x:c r="B27" s="30" t="str">
        <x:v>Đào contree</x:v>
      </x:c>
      <x:c r="C27" s="30" t="str">
        <x:v>Thùng 12 lon</x:v>
      </x:c>
      <x:c r="D27" s="37" t="str">
        <x:v>lon</x:v>
      </x:c>
      <x:c r="E27" s="37" t="n">
        <x:v>32</x:v>
      </x:c>
      <x:c r="F27" s="37"/>
      <x:c r="G27" s="38" t="str">
        <x:v>10. TRAI CÂY HÔP</x:v>
      </x:c>
    </x:row>
    <x:row r="28">
      <x:c r="A28" s="39" t="n">
        <x:v>108</x:v>
      </x:c>
      <x:c r="B28" s="30" t="str">
        <x:v>VẢI LON MOHCI</x:v>
      </x:c>
      <x:c r="C28" s="30" t="str">
        <x:v>Thùng 12 lon</x:v>
      </x:c>
      <x:c r="D28" s="37" t="str">
        <x:v>lon</x:v>
      </x:c>
      <x:c r="E28" s="37" t="n">
        <x:v>39</x:v>
      </x:c>
      <x:c r="F28" s="37"/>
      <x:c r="G28" s="38" t="str">
        <x:v>10. TRAI CÂY HÔP</x:v>
      </x:c>
    </x:row>
    <x:row r="29">
      <x:c r="A29" s="39" t="n">
        <x:v>110</x:v>
      </x:c>
      <x:c r="B29" s="30" t="str">
        <x:v>SEN NIF</x:v>
      </x:c>
      <x:c r="C29" s="30" t="str">
        <x:v>Thùng 12 lon</x:v>
      </x:c>
      <x:c r="D29" s="37" t="str">
        <x:v>LON</x:v>
      </x:c>
      <x:c r="E29" s="37" t="n">
        <x:v>55</x:v>
      </x:c>
      <x:c r="F29" s="37"/>
      <x:c r="G29" s="38" t="str">
        <x:v>10. TRAI CÂY HÔP</x:v>
      </x:c>
    </x:row>
    <x:row r="30">
      <x:c r="A30" s="39" t="n">
        <x:v>111</x:v>
      </x:c>
      <x:c r="B30" s="30" t="str">
        <x:v>NHÃN thái</x:v>
      </x:c>
      <x:c r="C30" s="30" t="str">
        <x:v>Thùng 24 lon</x:v>
      </x:c>
      <x:c r="D30" s="37" t="str">
        <x:v>LON</x:v>
      </x:c>
      <x:c r="E30" s="37" t="n">
        <x:v>40</x:v>
      </x:c>
      <x:c r="F30" s="37"/>
      <x:c r="G30" s="38" t="str">
        <x:v>10. TRAI CÂY HÔP</x:v>
      </x:c>
    </x:row>
    <x:row r="31">
      <x:c r="A31" s="39" t="n">
        <x:v>119</x:v>
      </x:c>
      <x:c r="B31" s="30" t="str">
        <x:v>Rau câu Thảo Vân</x:v>
      </x:c>
      <x:c r="C31" s="30" t="str">
        <x:v>Thùng 20 gói</x:v>
      </x:c>
      <x:c r="D31" s="37" t="str">
        <x:v>gói</x:v>
      </x:c>
      <x:c r="E31" s="37" t="n">
        <x:v>230</x:v>
      </x:c>
      <x:c r="F31" s="37"/>
      <x:c r="G31" s="38" t="str">
        <x:v>11. RAU CÂU</x:v>
      </x:c>
    </x:row>
    <x:row r="32">
      <x:c r="A32" s="39" t="n">
        <x:v>120</x:v>
      </x:c>
      <x:c r="B32" s="30" t="str">
        <x:v>RAU CÂU GIÒN AGAR</x:v>
      </x:c>
      <x:c r="C32" s="30" t="str">
        <x:v>THÙNG 20 HỘP</x:v>
      </x:c>
      <x:c r="D32" s="37" t="str">
        <x:v>HỘP</x:v>
      </x:c>
      <x:c r="E32" s="37" t="n">
        <x:v>115</x:v>
      </x:c>
      <x:c r="F32" s="37"/>
      <x:c r="G32" s="38" t="str">
        <x:v>11. RAU CÂU</x:v>
      </x:c>
    </x:row>
    <x:row r="33">
      <x:c r="A33" s="39" t="n">
        <x:v>132</x:v>
      </x:c>
      <x:c r="B33" s="30" t="str">
        <x:v>Bột sữa HP</x:v>
      </x:c>
      <x:c r="C33" s="30" t="str"/>
      <x:c r="D33" s="37" t="str">
        <x:v>kg</x:v>
      </x:c>
      <x:c r="E33" s="37" t="n">
        <x:v>75</x:v>
      </x:c>
      <x:c r="F33" s="37"/>
      <x:c r="G33" s="38" t="str">
        <x:v>13. BÔT SUA</x:v>
      </x:c>
    </x:row>
    <x:row r="34">
      <x:c r="A34" s="39" t="n">
        <x:v>133</x:v>
      </x:c>
      <x:c r="B34" s="30" t="str">
        <x:v>Bột sữa B one</x:v>
      </x:c>
      <x:c r="C34" s="30" t="str">
        <x:v>Thùng 12 gói</x:v>
      </x:c>
      <x:c r="D34" s="37" t="str">
        <x:v>gói 1kg</x:v>
      </x:c>
      <x:c r="E34" s="37" t="n">
        <x:v>69</x:v>
      </x:c>
      <x:c r="F34" s="37"/>
      <x:c r="G34" s="38" t="str">
        <x:v>13. BÔT SUA</x:v>
      </x:c>
    </x:row>
    <x:row r="35">
      <x:c r="A35" s="39" t="n">
        <x:v>137</x:v>
      </x:c>
      <x:c r="B35" s="30" t="str">
        <x:v>BỘT MILKFOAM ERDOLI</x:v>
      </x:c>
      <x:c r="C35" s="30" t="str"/>
      <x:c r="D35" s="37" t="str">
        <x:v>gói 1kg</x:v>
      </x:c>
      <x:c r="E35" s="37" t="n">
        <x:v>275</x:v>
      </x:c>
      <x:c r="F35" s="37"/>
      <x:c r="G35" s="38" t="str">
        <x:v>13. BÔT SUA</x:v>
      </x:c>
    </x:row>
    <x:row r="36">
      <x:c r="A36" s="39" t="n">
        <x:v>139</x:v>
      </x:c>
      <x:c r="B36" s="30" t="str">
        <x:v>Bột kem trứng Đài loan</x:v>
      </x:c>
      <x:c r="C36" s="30" t="str"/>
      <x:c r="D36" s="37" t="str">
        <x:v>gói 1kg</x:v>
      </x:c>
      <x:c r="E36" s="37" t="n">
        <x:v>155</x:v>
      </x:c>
      <x:c r="F36" s="37"/>
      <x:c r="G36" s="38" t="str">
        <x:v>13. BÔT SUA</x:v>
      </x:c>
    </x:row>
    <x:row r="37">
      <x:c r="A37" s="39" t="n">
        <x:v>140</x:v>
      </x:c>
      <x:c r="B37" s="30" t="str">
        <x:v>Bot sua Frima</x:v>
      </x:c>
      <x:c r="C37" s="30" t="str">
        <x:v>bao</x:v>
      </x:c>
      <x:c r="D37" s="37" t="str">
        <x:v>bao 25k</x:v>
      </x:c>
      <x:c r="E37" s="37" t="n">
        <x:v>2120</x:v>
      </x:c>
      <x:c r="F37" s="37" t="n">
        <x:v>2110</x:v>
      </x:c>
      <x:c r="G37" s="38" t="str">
        <x:v>13. BÔT SUA</x:v>
      </x:c>
    </x:row>
    <x:row r="38">
      <x:c r="A38" s="39" t="n">
        <x:v>142</x:v>
      </x:c>
      <x:c r="B38" s="30" t="str">
        <x:v>Bot Sữa Thái</x:v>
      </x:c>
      <x:c r="C38" s="30" t="str">
        <x:v>bao</x:v>
      </x:c>
      <x:c r="D38" s="37" t="str">
        <x:v>bao 25k</x:v>
      </x:c>
      <x:c r="E38" s="37" t="n">
        <x:v>1540</x:v>
      </x:c>
      <x:c r="F38" s="37"/>
      <x:c r="G38" s="38" t="str">
        <x:v>13. BÔT SUA</x:v>
      </x:c>
    </x:row>
    <x:row r="39">
      <x:c r="A39" s="39" t="n">
        <x:v>143</x:v>
      </x:c>
      <x:c r="B39" s="30" t="str">
        <x:v>Bot sua Kievit</x:v>
      </x:c>
      <x:c r="C39" s="30" t="str">
        <x:v>bao</x:v>
      </x:c>
      <x:c r="D39" s="37" t="str">
        <x:v>bao 25k</x:v>
      </x:c>
      <x:c r="E39" s="37" t="n">
        <x:v>1840</x:v>
      </x:c>
      <x:c r="F39" s="37"/>
      <x:c r="G39" s="38" t="str">
        <x:v>13. BÔT SUA</x:v>
      </x:c>
    </x:row>
    <x:row r="40">
      <x:c r="A40" s="39" t="n">
        <x:v>144</x:v>
      </x:c>
      <x:c r="B40" s="30" t="str">
        <x:v>Bột indo mafac</x:v>
      </x:c>
      <x:c r="C40" s="30" t="str">
        <x:v>Thùng 10 gói</x:v>
      </x:c>
      <x:c r="D40" s="37" t="str">
        <x:v>gói 1kg</x:v>
      </x:c>
      <x:c r="E40" s="37" t="n">
        <x:v>75</x:v>
      </x:c>
      <x:c r="F40" s="37"/>
      <x:c r="G40" s="38" t="str">
        <x:v>13. BÔT SUA</x:v>
      </x:c>
    </x:row>
    <x:row r="41">
      <x:c r="A41" s="39" t="n">
        <x:v>145</x:v>
      </x:c>
      <x:c r="B41" s="30" t="str">
        <x:v>Bột môn bkb</x:v>
      </x:c>
      <x:c r="C41" s="30" t="str">
        <x:v>Thùng 10 gói</x:v>
      </x:c>
      <x:c r="D41" s="37" t="str">
        <x:v>gói 1kg</x:v>
      </x:c>
      <x:c r="E41" s="37" t="n">
        <x:v>100</x:v>
      </x:c>
      <x:c r="F41" s="37"/>
      <x:c r="G41" s="38" t="str">
        <x:v>13. BÔT SUA</x:v>
      </x:c>
    </x:row>
    <x:row r="42">
      <x:c r="A42" s="39" t="n">
        <x:v>149</x:v>
      </x:c>
      <x:c r="B42" s="30" t="str">
        <x:v>Sữa Đặc Nidoo</x:v>
      </x:c>
      <x:c r="C42" s="30" t="str">
        <x:v>Thùng 24 lon</x:v>
      </x:c>
      <x:c r="D42" s="37" t="str">
        <x:v>lon</x:v>
      </x:c>
      <x:c r="E42" s="37" t="n">
        <x:v>42</x:v>
      </x:c>
      <x:c r="F42" s="37"/>
      <x:c r="G42" s="38" t="str">
        <x:v>14. SỮA ĐẶC</x:v>
      </x:c>
    </x:row>
    <x:row r="43">
      <x:c r="A43" s="39" t="n">
        <x:v>156</x:v>
      </x:c>
      <x:c r="B43" s="30" t="str">
        <x:v>CA CAO DANCE</x:v>
      </x:c>
      <x:c r="C43" s="30" t="str">
        <x:v>Thùng 30 gói</x:v>
      </x:c>
      <x:c r="D43" s="37" t="str">
        <x:v>gói 500g</x:v>
      </x:c>
      <x:c r="E43" s="37" t="n">
        <x:v>145</x:v>
      </x:c>
      <x:c r="F43" s="37"/>
      <x:c r="G43" s="38" t="str">
        <x:v>15.BOT CACAO</x:v>
      </x:c>
    </x:row>
    <x:row r="44">
      <x:c r="A44" s="39" t="n">
        <x:v>157</x:v>
      </x:c>
      <x:c r="B44" s="30" t="str">
        <x:v>Bột Cacao Maly</x:v>
      </x:c>
      <x:c r="C44" s="30" t="str">
        <x:v>Thùng 20 gói</x:v>
      </x:c>
      <x:c r="D44" s="37" t="str">
        <x:v>gói 500g</x:v>
      </x:c>
      <x:c r="E44" s="37" t="n">
        <x:v>70</x:v>
      </x:c>
      <x:c r="F44" s="37"/>
      <x:c r="G44" s="38" t="str">
        <x:v>15.BOT CACAO</x:v>
      </x:c>
    </x:row>
    <x:row r="45">
      <x:c r="A45" s="39" t="n">
        <x:v>161</x:v>
      </x:c>
      <x:c r="B45" s="30" t="str">
        <x:v>Bột sô bảo anh</x:v>
      </x:c>
      <x:c r="C45" s="30" t="str"/>
      <x:c r="D45" s="37" t="str">
        <x:v>gói 500g</x:v>
      </x:c>
      <x:c r="E45" s="37" t="n">
        <x:v>72</x:v>
      </x:c>
      <x:c r="F45" s="37"/>
      <x:c r="G45" s="38" t="str">
        <x:v>15.BOT CACAO</x:v>
      </x:c>
    </x:row>
    <x:row r="46">
      <x:c r="A46" s="39" t="n">
        <x:v>172</x:v>
      </x:c>
      <x:c r="B46" s="30" t="str">
        <x:v>Trà đen HT 9 bóng</x:v>
      </x:c>
      <x:c r="C46" s="30" t="str">
        <x:v>BAO 5O GÓI</x:v>
      </x:c>
      <x:c r="D46" s="37" t="str">
        <x:v>gói 500g</x:v>
      </x:c>
      <x:c r="E46" s="37" t="n">
        <x:v>45</x:v>
      </x:c>
      <x:c r="F46" s="37"/>
      <x:c r="G46" s="38" t="str">
        <x:v>16. TRÀ CÁC LOẠI</x:v>
      </x:c>
    </x:row>
    <x:row r="47">
      <x:c r="A47" s="39" t="n">
        <x:v>173</x:v>
      </x:c>
      <x:c r="B47" s="30" t="str">
        <x:v>Trà đen HT 9 Luave</x:v>
      </x:c>
      <x:c r="C47" s="30" t="str">
        <x:v>Thùng 20 gói</x:v>
      </x:c>
      <x:c r="D47" s="37" t="str">
        <x:v>gói 500g</x:v>
      </x:c>
      <x:c r="E47" s="37" t="n">
        <x:v>68</x:v>
      </x:c>
      <x:c r="F47" s="37"/>
      <x:c r="G47" s="38" t="str">
        <x:v>16. TRÀ CÁC LOẠI</x:v>
      </x:c>
    </x:row>
    <x:row r="48">
      <x:c r="A48" s="39" t="n">
        <x:v>176</x:v>
      </x:c>
      <x:c r="B48" s="30" t="str">
        <x:v>Trà olong tấm HG 500gr</x:v>
      </x:c>
      <x:c r="C48" s="30" t="str">
        <x:v>Thùng 20 gói</x:v>
      </x:c>
      <x:c r="D48" s="37" t="str">
        <x:v>gói 500g</x:v>
      </x:c>
      <x:c r="E48" s="37" t="n">
        <x:v>80</x:v>
      </x:c>
      <x:c r="F48" s="37"/>
      <x:c r="G48" s="38" t="str">
        <x:v>16. TRÀ CÁC LOẠI</x:v>
      </x:c>
    </x:row>
    <x:row r="49">
      <x:c r="A49" s="39" t="n">
        <x:v>177</x:v>
      </x:c>
      <x:c r="B49" s="30" t="str">
        <x:v>Trà dứa sao vàng</x:v>
      </x:c>
      <x:c r="C49" s="30" t="str"/>
      <x:c r="D49" s="37" t="str">
        <x:v>gói</x:v>
      </x:c>
      <x:c r="E49" s="37" t="n">
        <x:v>27</x:v>
      </x:c>
      <x:c r="F49" s="37"/>
      <x:c r="G49" s="38" t="str">
        <x:v>16. TRÀ CÁC LOẠI</x:v>
      </x:c>
    </x:row>
    <x:row r="50">
      <x:c r="A50" s="39" t="n">
        <x:v>195</x:v>
      </x:c>
      <x:c r="B50" s="30" t="str">
        <x:v>TRÀ LÀI CÔ GÁI</x:v>
      </x:c>
      <x:c r="C50" s="30" t="str">
        <x:v>Thùng 20 gói</x:v>
      </x:c>
      <x:c r="D50" s="37" t="str">
        <x:v>gói 500g</x:v>
      </x:c>
      <x:c r="E50" s="37" t="n">
        <x:v>84</x:v>
      </x:c>
      <x:c r="F50" s="37"/>
      <x:c r="G50" s="38" t="str">
        <x:v>16. TRÀ CÁC LOẠI</x:v>
      </x:c>
    </x:row>
    <x:row r="51">
      <x:c r="A51" s="39" t="n">
        <x:v>200</x:v>
      </x:c>
      <x:c r="B51" s="30" t="str">
        <x:v>Trà HP</x:v>
      </x:c>
      <x:c r="C51" s="30" t="str"/>
      <x:c r="D51" s="37" t="str">
        <x:v>kg</x:v>
      </x:c>
      <x:c r="E51" s="37" t="n">
        <x:v>150</x:v>
      </x:c>
      <x:c r="F51" s="37"/>
      <x:c r="G51" s="38" t="str">
        <x:v>16. TRÀ CÁC LOẠI</x:v>
      </x:c>
    </x:row>
    <x:row r="52">
      <x:c r="A52" s="39" t="n">
        <x:v>202</x:v>
      </x:c>
      <x:c r="B52" s="30" t="str">
        <x:v>Mật ong Euro deli</x:v>
      </x:c>
      <x:c r="C52" s="30" t="str">
        <x:v>THÙNG 10 BÌNH</x:v>
      </x:c>
      <x:c r="D52" s="37" t="str">
        <x:v>bình</x:v>
      </x:c>
      <x:c r="E52" s="37" t="n">
        <x:v>210</x:v>
      </x:c>
      <x:c r="F52" s="37"/>
      <x:c r="G52" s="38" t="str">
        <x:v>17 .Đồ LẺ</x:v>
      </x:c>
    </x:row>
    <x:row r="53">
      <x:c r="A53" s="39" t="n">
        <x:v>203</x:v>
      </x:c>
      <x:c r="B53" s="30" t="str">
        <x:v>Lá Rong Biển</x:v>
      </x:c>
      <x:c r="C53" s="30" t="str">
        <x:v>gói 100 lá</x:v>
      </x:c>
      <x:c r="D53" s="37" t="str">
        <x:v>gói</x:v>
      </x:c>
      <x:c r="E53" s="37" t="n">
        <x:v>285</x:v>
      </x:c>
      <x:c r="F53" s="37"/>
      <x:c r="G53" s="38" t="str">
        <x:v>17 .Đồ LẺ</x:v>
      </x:c>
    </x:row>
    <x:row r="54">
      <x:c r="A54" s="39" t="n">
        <x:v>204</x:v>
      </x:c>
      <x:c r="B54" s="30" t="str">
        <x:v>Gas kem Mosa</x:v>
      </x:c>
      <x:c r="C54" s="30" t="str">
        <x:v>Thùng 36 hộp</x:v>
      </x:c>
      <x:c r="D54" s="37" t="str">
        <x:v>hộp</x:v>
      </x:c>
      <x:c r="E54" s="37" t="n">
        <x:v>82</x:v>
      </x:c>
      <x:c r="F54" s="37"/>
      <x:c r="G54" s="38" t="str">
        <x:v>17 .Đồ LẺ</x:v>
      </x:c>
    </x:row>
    <x:row r="55">
      <x:c r="A55" s="39" t="n">
        <x:v>205</x:v>
      </x:c>
      <x:c r="B55" s="30" t="str">
        <x:v>Than tre</x:v>
      </x:c>
      <x:c r="C55" s="30" t="str">
        <x:v>bich</x:v>
      </x:c>
      <x:c r="D55" s="37" t="str">
        <x:v>bich</x:v>
      </x:c>
      <x:c r="E55" s="37" t="n">
        <x:v>102</x:v>
      </x:c>
      <x:c r="F55" s="37"/>
      <x:c r="G55" s="38" t="str">
        <x:v>17 .Đồ LẺ</x:v>
      </x:c>
    </x:row>
    <x:row r="56">
      <x:c r="A56" s="39" t="n">
        <x:v>206</x:v>
      </x:c>
      <x:c r="B56" s="30" t="str">
        <x:v>galatin thuong</x:v>
      </x:c>
      <x:c r="C56" s="30" t="str">
        <x:v>Lẽ 30k  gram</x:v>
      </x:c>
      <x:c r="D56" s="37" t="str">
        <x:v>ky</x:v>
      </x:c>
      <x:c r="E56" s="37" t="n">
        <x:v>290</x:v>
      </x:c>
      <x:c r="F56" s="37"/>
      <x:c r="G56" s="38" t="str">
        <x:v>17 .Đồ LẺ</x:v>
      </x:c>
    </x:row>
    <x:row r="57">
      <x:c r="A57" s="39" t="n">
        <x:v>209</x:v>
      </x:c>
      <x:c r="B57" s="30" t="str">
        <x:v>Bot matcha cozy</x:v>
      </x:c>
      <x:c r="C57" s="30" t="str">
        <x:v>goi</x:v>
      </x:c>
      <x:c r="D57" s="37" t="str">
        <x:v>goi 200g</x:v>
      </x:c>
      <x:c r="E57" s="37" t="n">
        <x:v>143</x:v>
      </x:c>
      <x:c r="F57" s="37"/>
      <x:c r="G57" s="38" t="str">
        <x:v>17 .Đồ LẺ</x:v>
      </x:c>
    </x:row>
    <x:row r="58">
      <x:c r="A58" s="39" t="n">
        <x:v>211</x:v>
      </x:c>
      <x:c r="B58" s="30" t="str">
        <x:v>Bột mặn phô mai ông già</x:v>
      </x:c>
      <x:c r="C58" s="30" t="str">
        <x:v>goi</x:v>
      </x:c>
      <x:c r="D58" s="37" t="str">
        <x:v>gói</x:v>
      </x:c>
      <x:c r="E58" s="37" t="n">
        <x:v>415</x:v>
      </x:c>
      <x:c r="F58" s="37"/>
      <x:c r="G58" s="38" t="str">
        <x:v>17 .Đồ LẺ</x:v>
      </x:c>
    </x:row>
    <x:row r="59">
      <x:c r="A59" s="39" t="n">
        <x:v>214</x:v>
      </x:c>
      <x:c r="B59" s="30" t="str">
        <x:v>Ice hot lùn</x:v>
      </x:c>
      <x:c r="C59" s="30" t="str">
        <x:v>Thùng 24</x:v>
      </x:c>
      <x:c r="D59" s="37" t="str">
        <x:v>hộp</x:v>
      </x:c>
      <x:c r="E59" s="37" t="n">
        <x:v>31</x:v>
      </x:c>
      <x:c r="F59" s="37"/>
      <x:c r="G59" s="38" t="str">
        <x:v>17 .Đồ LẺ</x:v>
      </x:c>
    </x:row>
    <x:row r="60">
      <x:c r="A60" s="39" t="n">
        <x:v>216</x:v>
      </x:c>
      <x:c r="B60" s="30" t="str">
        <x:v>Ice hot on top</x:v>
      </x:c>
      <x:c r="C60" s="30" t="str">
        <x:v>Thùng 12</x:v>
      </x:c>
      <x:c r="D60" s="37" t="str">
        <x:v>hộp</x:v>
      </x:c>
      <x:c r="E60" s="37" t="n">
        <x:v>72</x:v>
      </x:c>
      <x:c r="F60" s="37"/>
      <x:c r="G60" s="38" t="str">
        <x:v>17 .Đồ LẺ</x:v>
      </x:c>
    </x:row>
    <x:row r="61">
      <x:c r="A61" s="39" t="n">
        <x:v>217</x:v>
      </x:c>
      <x:c r="B61" s="30" t="str">
        <x:v>PHÔ MAI BÒ CƯỜI</x:v>
      </x:c>
      <x:c r="C61" s="30" t="str">
        <x:v>Thùng 24 hộp</x:v>
      </x:c>
      <x:c r="D61" s="37" t="str">
        <x:v>hộp</x:v>
      </x:c>
      <x:c r="E61" s="37" t="n">
        <x:v>79</x:v>
      </x:c>
      <x:c r="F61" s="37"/>
      <x:c r="G61" s="38" t="str">
        <x:v>17 .Đồ LẺ</x:v>
      </x:c>
    </x:row>
    <x:row r="62">
      <x:c r="A62" s="39" t="n">
        <x:v>218</x:v>
      </x:c>
      <x:c r="B62" s="30" t="str">
        <x:v>Phô mai khối 2.5kg mozela</x:v>
      </x:c>
      <x:c r="C62" s="30" t="str">
        <x:v>cây</x:v>
      </x:c>
      <x:c r="D62" s="37" t="str">
        <x:v>khối</x:v>
      </x:c>
      <x:c r="E62" s="37" t="n">
        <x:v>430</x:v>
      </x:c>
      <x:c r="F62" s="37"/>
      <x:c r="G62" s="38" t="str">
        <x:v>17 .Đồ LẺ</x:v>
      </x:c>
    </x:row>
    <x:row r="63">
      <x:c r="A63" s="39" t="n">
        <x:v>219</x:v>
      </x:c>
      <x:c r="B63" s="30" t="str">
        <x:v>Phô mai khối 3.6 kg mozela</x:v>
      </x:c>
      <x:c r="C63" s="30" t="str">
        <x:v>cây</x:v>
      </x:c>
      <x:c r="D63" s="37" t="str">
        <x:v>khối</x:v>
      </x:c>
      <x:c r="E63" s="37" t="n">
        <x:v>620</x:v>
      </x:c>
      <x:c r="F63" s="37"/>
      <x:c r="G63" s="38" t="str">
        <x:v>17 .Đồ LẺ</x:v>
      </x:c>
    </x:row>
    <x:row r="64">
      <x:c r="A64" s="39" t="n">
        <x:v>221</x:v>
      </x:c>
      <x:c r="B64" s="30" t="str">
        <x:v>Túi gà rán 500gr</x:v>
      </x:c>
      <x:c r="C64" s="30" t="str"/>
      <x:c r="D64" s="37" t="str">
        <x:v>gói</x:v>
      </x:c>
      <x:c r="E64" s="37" t="n">
        <x:v>23</x:v>
      </x:c>
      <x:c r="F64" s="37"/>
      <x:c r="G64" s="38" t="str">
        <x:v>17 .Đồ LẺ</x:v>
      </x:c>
    </x:row>
    <x:row r="65">
      <x:c r="A65" s="39" t="n">
        <x:v>223</x:v>
      </x:c>
      <x:c r="B65" s="30" t="str">
        <x:v>Lẩu Kim chi</x:v>
      </x:c>
      <x:c r="C65" s="30" t="str">
        <x:v>Thùng 10 lốc</x:v>
      </x:c>
      <x:c r="D65" s="37" t="str">
        <x:v>bịch</x:v>
      </x:c>
      <x:c r="E65" s="37" t="n">
        <x:v>102</x:v>
      </x:c>
      <x:c r="F65" s="37"/>
      <x:c r="G65" s="38" t="str">
        <x:v>17 .Đồ LẺ</x:v>
      </x:c>
    </x:row>
    <x:row r="66">
      <x:c r="A66" s="39" t="n">
        <x:v>234</x:v>
      </x:c>
      <x:c r="B66" s="30" t="str">
        <x:v>Nắp ngang</x:v>
      </x:c>
      <x:c r="C66" s="30" t="str">
        <x:v>Thùng 40 cây</x:v>
      </x:c>
      <x:c r="D66" s="37" t="str">
        <x:v>cây</x:v>
      </x:c>
      <x:c r="E66" s="37" t="n">
        <x:v>7</x:v>
      </x:c>
      <x:c r="F66" s="37"/>
      <x:c r="G66" s="38" t="str">
        <x:v>20.NẮP</x:v>
      </x:c>
    </x:row>
    <x:row r="67">
      <x:c r="A67" s="39" t="n">
        <x:v>237</x:v>
      </x:c>
      <x:c r="B67" s="30" t="str">
        <x:v>Bịch 1ly ngang</x:v>
      </x:c>
      <x:c r="C67" s="30" t="str"/>
      <x:c r="D67" s="37" t="str">
        <x:v>kg</x:v>
      </x:c>
      <x:c r="E67" s="37" t="n">
        <x:v>53</x:v>
      </x:c>
      <x:c r="F67" s="37"/>
      <x:c r="G67" s="38" t="str">
        <x:v>21.BAO LY</x:v>
      </x:c>
    </x:row>
    <x:row r="68">
      <x:c r="A68" s="39" t="n">
        <x:v>238</x:v>
      </x:c>
      <x:c r="B68" s="30" t="str">
        <x:v>Bịch 2ly ngang</x:v>
      </x:c>
      <x:c r="C68" s="30" t="str"/>
      <x:c r="D68" s="37" t="str">
        <x:v>kg</x:v>
      </x:c>
      <x:c r="E68" s="37" t="n">
        <x:v>53</x:v>
      </x:c>
      <x:c r="F68" s="37"/>
      <x:c r="G68" s="38" t="str">
        <x:v>21.BAO LY</x:v>
      </x:c>
    </x:row>
    <x:row r="69">
      <x:c r="A69" s="39" t="n">
        <x:v>239</x:v>
      </x:c>
      <x:c r="B69" s="30" t="str">
        <x:v>Bịch 1ly thường</x:v>
      </x:c>
      <x:c r="C69" s="30" t="str"/>
      <x:c r="D69" s="37" t="str">
        <x:v>kg</x:v>
      </x:c>
      <x:c r="E69" s="37" t="n">
        <x:v>50</x:v>
      </x:c>
      <x:c r="F69" s="37"/>
      <x:c r="G69" s="38" t="str">
        <x:v>21.BAO LY</x:v>
      </x:c>
    </x:row>
    <x:row r="70">
      <x:c r="A70" s="39" t="n">
        <x:v>241</x:v>
      </x:c>
      <x:c r="B70" s="30" t="str">
        <x:v>Bịch 1Lit</x:v>
      </x:c>
      <x:c r="C70" s="30" t="str"/>
      <x:c r="D70" s="37" t="str">
        <x:v>kg</x:v>
      </x:c>
      <x:c r="E70" s="37" t="n">
        <x:v>58</x:v>
      </x:c>
      <x:c r="F70" s="37"/>
      <x:c r="G70" s="38" t="str">
        <x:v>21.BAO LY</x:v>
      </x:c>
    </x:row>
    <x:row r="71">
      <x:c r="A71" s="39" t="n">
        <x:v>245</x:v>
      </x:c>
      <x:c r="B71" s="30" t="str">
        <x:v>Mì lẩu koreno 80 gói</x:v>
      </x:c>
      <x:c r="C71" s="30" t="str">
        <x:v>Thùng 80 gói</x:v>
      </x:c>
      <x:c r="D71" s="37" t="str">
        <x:v>Thùng</x:v>
      </x:c>
      <x:c r="E71" s="37" t="n">
        <x:v>460</x:v>
      </x:c>
      <x:c r="F71" s="37"/>
      <x:c r="G71" s="38" t="str">
        <x:v>22.NGUYÊN LIỆU MỲ CAY</x:v>
      </x:c>
    </x:row>
    <x:row r="72">
      <x:c r="A72" s="39" t="n">
        <x:v>246</x:v>
      </x:c>
      <x:c r="B72" s="30" t="str">
        <x:v>MÌ ACECOOK DELI</x:v>
      </x:c>
      <x:c r="C72" s="30" t="str">
        <x:v>Thùng 80 gói</x:v>
      </x:c>
      <x:c r="D72" s="37" t="str">
        <x:v>Thùng</x:v>
      </x:c>
      <x:c r="E72" s="37" t="n">
        <x:v>420</x:v>
      </x:c>
      <x:c r="F72" s="37"/>
      <x:c r="G72" s="38" t="str">
        <x:v>22.NGUYÊN LIỆU MỲ CAY</x:v>
      </x:c>
    </x:row>
    <x:row r="73">
      <x:c r="A73" s="39" t="n">
        <x:v>247</x:v>
      </x:c>
      <x:c r="B73" s="30" t="str">
        <x:v>Kim chi</x:v>
      </x:c>
      <x:c r="C73" s="30" t="str"/>
      <x:c r="D73" s="37" t="str">
        <x:v>kg</x:v>
      </x:c>
      <x:c r="E73" s="37" t="n">
        <x:v>50</x:v>
      </x:c>
      <x:c r="F73" s="37"/>
      <x:c r="G73" s="38" t="str">
        <x:v>22.NGUYÊN LIỆU MỲ CAY</x:v>
      </x:c>
    </x:row>
    <x:row r="74">
      <x:c r="A74" s="39" t="n">
        <x:v>248</x:v>
      </x:c>
      <x:c r="B74" s="30" t="str">
        <x:v>Bột sup</x:v>
      </x:c>
      <x:c r="C74" s="30" t="str"/>
      <x:c r="D74" s="37" t="str">
        <x:v>kg</x:v>
      </x:c>
      <x:c r="E74" s="37" t="n">
        <x:v>137</x:v>
      </x:c>
      <x:c r="F74" s="37"/>
      <x:c r="G74" s="38" t="str">
        <x:v>22.NGUYÊN LIỆU MỲ CAY</x:v>
      </x:c>
    </x:row>
    <x:row r="75">
      <x:c r="A75" s="39" t="n">
        <x:v>256</x:v>
      </x:c>
      <x:c r="B75" s="30" t="str">
        <x:v>Cá hành ớt</x:v>
      </x:c>
      <x:c r="C75" s="30" t="str"/>
      <x:c r="D75" s="37" t="str">
        <x:v>bịch</x:v>
      </x:c>
      <x:c r="E75" s="37" t="n">
        <x:v>31.5</x:v>
      </x:c>
      <x:c r="F75" s="37"/>
      <x:c r="G75" s="38" t="str">
        <x:v>22.THỰC PHẨM ĐÔNG LẠNH</x:v>
      </x:c>
    </x:row>
    <x:row r="76">
      <x:c r="A76" s="39" t="n">
        <x:v>258</x:v>
      </x:c>
      <x:c r="B76" s="30" t="str">
        <x:v>Cá Sing</x:v>
      </x:c>
      <x:c r="C76" s="30" t="str"/>
      <x:c r="D76" s="37" t="str">
        <x:v>bịch</x:v>
      </x:c>
      <x:c r="E76" s="37" t="n">
        <x:v>62</x:v>
      </x:c>
      <x:c r="F76" s="37"/>
      <x:c r="G76" s="38" t="str">
        <x:v>22.THỰC PHẨM ĐÔNG LẠNH</x:v>
      </x:c>
    </x:row>
    <x:row r="77">
      <x:c r="A77" s="39" t="n">
        <x:v>259</x:v>
      </x:c>
      <x:c r="B77" s="30" t="str">
        <x:v>Cá Cút</x:v>
      </x:c>
      <x:c r="C77" s="30" t="str"/>
      <x:c r="D77" s="37" t="str">
        <x:v>bịch</x:v>
      </x:c>
      <x:c r="E77" s="37" t="n">
        <x:v>32</x:v>
      </x:c>
      <x:c r="F77" s="37"/>
      <x:c r="G77" s="38" t="str">
        <x:v>22.THỰC PHẨM ĐÔNG LẠNH</x:v>
      </x:c>
    </x:row>
    <x:row r="78">
      <x:c r="A78" s="39" t="n">
        <x:v>260</x:v>
      </x:c>
      <x:c r="B78" s="30" t="str">
        <x:v>Đậu hủ cá</x:v>
      </x:c>
      <x:c r="C78" s="30" t="str"/>
      <x:c r="D78" s="37" t="str">
        <x:v>bịch</x:v>
      </x:c>
      <x:c r="E78" s="37" t="n">
        <x:v>100</x:v>
      </x:c>
      <x:c r="F78" s="37"/>
      <x:c r="G78" s="38" t="str">
        <x:v>22.THỰC PHẨM ĐÔNG LẠNH</x:v>
      </x:c>
    </x:row>
    <x:row r="79">
      <x:c r="A79" s="39" t="n">
        <x:v>261</x:v>
      </x:c>
      <x:c r="B79" s="30" t="str">
        <x:v>Đậu hủ Phô mai LC</x:v>
      </x:c>
      <x:c r="C79" s="30" t="str"/>
      <x:c r="D79" s="37" t="str">
        <x:v>bịch</x:v>
      </x:c>
      <x:c r="E79" s="37" t="n">
        <x:v>46</x:v>
      </x:c>
      <x:c r="F79" s="37"/>
      <x:c r="G79" s="38" t="str">
        <x:v>22.THỰC PHẨM ĐÔNG LẠNH</x:v>
      </x:c>
    </x:row>
    <x:row r="80">
      <x:c r="A80" s="39" t="n">
        <x:v>265</x:v>
      </x:c>
      <x:c r="B80" s="30" t="str">
        <x:v>Phô mai que hộp</x:v>
      </x:c>
      <x:c r="C80" s="30" t="str"/>
      <x:c r="D80" s="37" t="str">
        <x:v>hộp</x:v>
      </x:c>
      <x:c r="E80" s="37" t="n">
        <x:v>52</x:v>
      </x:c>
      <x:c r="F80" s="37"/>
      <x:c r="G80" s="38" t="str">
        <x:v>22.THỰC PHẨM ĐÔNG LẠNH</x:v>
      </x:c>
    </x:row>
    <x:row r="81">
      <x:c r="A81" s="39" t="n">
        <x:v>268</x:v>
      </x:c>
      <x:c r="B81" s="30" t="str">
        <x:v>Bò lá lốt</x:v>
      </x:c>
      <x:c r="C81" s="30" t="str"/>
      <x:c r="D81" s="37" t="str">
        <x:v>bịch</x:v>
      </x:c>
      <x:c r="E81" s="37" t="n">
        <x:v>43</x:v>
      </x:c>
      <x:c r="F81" s="37"/>
      <x:c r="G81" s="38" t="str">
        <x:v>22.THỰC PHẨM ĐÔNG LẠNH</x:v>
      </x:c>
    </x:row>
    <x:row r="82">
      <x:c r="A82" s="39" t="n">
        <x:v>269</x:v>
      </x:c>
      <x:c r="B82" s="30" t="str">
        <x:v>Xúc Xích Yummy</x:v>
      </x:c>
      <x:c r="C82" s="30" t="str"/>
      <x:c r="D82" s="37" t="str">
        <x:v>bịch</x:v>
      </x:c>
      <x:c r="E82" s="37" t="n">
        <x:v>40</x:v>
      </x:c>
      <x:c r="F82" s="37"/>
      <x:c r="G82" s="38" t="str">
        <x:v>22.THỰC PHẨM ĐÔNG LẠNH</x:v>
      </x:c>
    </x:row>
    <x:row r="83">
      <x:c r="A83" s="39" t="n">
        <x:v>270</x:v>
      </x:c>
      <x:c r="B83" s="30" t="str">
        <x:v>Xúc Xích Tokyo</x:v>
      </x:c>
      <x:c r="C83" s="30" t="str"/>
      <x:c r="D83" s="37" t="str">
        <x:v>bịch</x:v>
      </x:c>
      <x:c r="E83" s="37" t="n">
        <x:v>38</x:v>
      </x:c>
      <x:c r="F83" s="37"/>
      <x:c r="G83" s="38" t="str">
        <x:v>22.THỰC PHẨM ĐÔNG LẠNH</x:v>
      </x:c>
    </x:row>
    <x:row r="84">
      <x:c r="A84" s="39" t="n">
        <x:v>273</x:v>
      </x:c>
      <x:c r="B84" s="30" t="str">
        <x:v>Viên Thả lẩu</x:v>
      </x:c>
      <x:c r="C84" s="30" t="str"/>
      <x:c r="D84" s="37" t="str">
        <x:v>bịch</x:v>
      </x:c>
      <x:c r="E84" s="37" t="n">
        <x:v>43</x:v>
      </x:c>
      <x:c r="F84" s="37"/>
      <x:c r="G84" s="38" t="str">
        <x:v>22.THỰC PHẨM ĐÔNG LẠNH</x:v>
      </x:c>
    </x:row>
    <x:row r="85">
      <x:c r="A85" s="39" t="n">
        <x:v>274</x:v>
      </x:c>
      <x:c r="B85" s="30" t="str">
        <x:v>Bánh Bao Trứng</x:v>
      </x:c>
      <x:c r="C85" s="30" t="str"/>
      <x:c r="D85" s="37" t="str">
        <x:v>bịch</x:v>
      </x:c>
      <x:c r="E85" s="37" t="n">
        <x:v>45</x:v>
      </x:c>
      <x:c r="F85" s="37"/>
      <x:c r="G85" s="38" t="str">
        <x:v>22.THỰC PHẨM ĐÔNG LẠNH</x:v>
      </x:c>
    </x:row>
    <x:row r="86">
      <x:c r="A86" s="39" t="n">
        <x:v>275</x:v>
      </x:c>
      <x:c r="B86" s="30" t="str">
        <x:v>Chả cá Hấp</x:v>
      </x:c>
      <x:c r="C86" s="30" t="str"/>
      <x:c r="D86" s="37" t="str">
        <x:v>bịch</x:v>
      </x:c>
      <x:c r="E86" s="37" t="n">
        <x:v>30</x:v>
      </x:c>
      <x:c r="F86" s="37"/>
      <x:c r="G86" s="38" t="str">
        <x:v>22.THỰC PHẨM ĐÔNG LẠNH</x:v>
      </x:c>
    </x:row>
    <x:row r="87">
      <x:c r="A87" s="39" t="n">
        <x:v>276</x:v>
      </x:c>
      <x:c r="B87" s="30" t="str">
        <x:v>Chả quế</x:v>
      </x:c>
      <x:c r="C87" s="30" t="str"/>
      <x:c r="D87" s="37" t="str">
        <x:v>bịch</x:v>
      </x:c>
      <x:c r="E87" s="37" t="n">
        <x:v>30</x:v>
      </x:c>
      <x:c r="F87" s="37"/>
      <x:c r="G87" s="38" t="str">
        <x:v>22.THỰC PHẨM ĐÔNG LẠNH</x:v>
      </x:c>
    </x:row>
    <x:row r="88">
      <x:c r="A88" s="39" t="n">
        <x:v>277</x:v>
      </x:c>
      <x:c r="B88" s="30" t="str">
        <x:v>Chả Giò</x:v>
      </x:c>
      <x:c r="C88" s="30" t="str"/>
      <x:c r="D88" s="37" t="str">
        <x:v>bịch</x:v>
      </x:c>
      <x:c r="E88" s="37" t="n">
        <x:v>33</x:v>
      </x:c>
      <x:c r="F88" s="37"/>
      <x:c r="G88" s="38" t="str">
        <x:v>22.THỰC PHẨM ĐÔNG LẠNH</x:v>
      </x:c>
    </x:row>
    <x:row r="89">
      <x:c r="A89" s="39" t="n">
        <x:v>278</x:v>
      </x:c>
      <x:c r="B89" s="30" t="str">
        <x:v>Chả cá Hàn Quốc</x:v>
      </x:c>
      <x:c r="C89" s="30" t="str"/>
      <x:c r="D89" s="37" t="str">
        <x:v>bịch</x:v>
      </x:c>
      <x:c r="E89" s="37" t="n">
        <x:v>37</x:v>
      </x:c>
      <x:c r="F89" s="37"/>
      <x:c r="G89" s="38" t="str">
        <x:v>22.THỰC PHẨM ĐÔNG LẠNH</x:v>
      </x:c>
    </x:row>
    <x:row r="90">
      <x:c r="A90" s="39" t="n">
        <x:v>281</x:v>
      </x:c>
      <x:c r="B90" s="30" t="str">
        <x:v>Cốm hồng Ongon</x:v>
      </x:c>
      <x:c r="C90" s="30" t="str"/>
      <x:c r="D90" s="37" t="str">
        <x:v>vỉ</x:v>
      </x:c>
      <x:c r="E90" s="37" t="n">
        <x:v>52</x:v>
      </x:c>
      <x:c r="F90" s="37"/>
      <x:c r="G90" s="38" t="str">
        <x:v>22.THỰC PHẨM ĐÔNG LẠNH</x:v>
      </x:c>
    </x:row>
    <x:row r="91">
      <x:c r="A91" s="39" t="n">
        <x:v>282</x:v>
      </x:c>
      <x:c r="B91" s="30" t="str">
        <x:v>Cốm hồng Thiên Nhiên</x:v>
      </x:c>
      <x:c r="C91" s="30" t="str"/>
      <x:c r="D91" s="37" t="str">
        <x:v>vỉ</x:v>
      </x:c>
      <x:c r="E91" s="37" t="n">
        <x:v>37</x:v>
      </x:c>
      <x:c r="F91" s="37"/>
      <x:c r="G91" s="38" t="str">
        <x:v>22.THỰC PHẨM ĐÔNG LẠNH</x:v>
      </x:c>
    </x:row>
    <x:row r="92">
      <x:c r="A92" s="39" t="n">
        <x:v>283</x:v>
      </x:c>
      <x:c r="B92" s="30" t="str">
        <x:v>Hotdog phô mai</x:v>
      </x:c>
      <x:c r="C92" s="30" t="str"/>
      <x:c r="D92" s="37" t="str">
        <x:v>vỉ</x:v>
      </x:c>
      <x:c r="E92" s="37" t="n">
        <x:v>38</x:v>
      </x:c>
      <x:c r="F92" s="37"/>
      <x:c r="G92" s="38" t="str">
        <x:v>22.THỰC PHẨM ĐÔNG LẠNH</x:v>
      </x:c>
    </x:row>
    <x:row r="93">
      <x:c r="A93" s="39" t="n">
        <x:v>284</x:v>
      </x:c>
      <x:c r="B93" s="30" t="str">
        <x:v>Tôm viên</x:v>
      </x:c>
      <x:c r="C93" s="30" t="str"/>
      <x:c r="D93" s="37" t="str">
        <x:v>bịch</x:v>
      </x:c>
      <x:c r="E93" s="37" t="n">
        <x:v>31.5</x:v>
      </x:c>
      <x:c r="F93" s="37"/>
      <x:c r="G93" s="38" t="str">
        <x:v>22.THỰC PHẨM ĐÔNG LẠNH</x:v>
      </x:c>
    </x:row>
    <x:row r="94">
      <x:c r="A94" s="39" t="n">
        <x:v>285</x:v>
      </x:c>
      <x:c r="B94" s="30" t="str">
        <x:v>Tôm Con Ongon</x:v>
      </x:c>
      <x:c r="C94" s="30" t="str"/>
      <x:c r="D94" s="37" t="str">
        <x:v>bịch</x:v>
      </x:c>
      <x:c r="E94" s="37" t="n">
        <x:v>42</x:v>
      </x:c>
      <x:c r="F94" s="37"/>
      <x:c r="G94" s="38" t="str">
        <x:v>22.THỰC PHẨM ĐÔNG LẠNH</x:v>
      </x:c>
    </x:row>
    <x:row r="95">
      <x:c r="A95" s="39" t="n">
        <x:v>286</x:v>
      </x:c>
      <x:c r="B95" s="30" t="str">
        <x:v>Chạo sả</x:v>
      </x:c>
      <x:c r="C95" s="30" t="str"/>
      <x:c r="D95" s="37" t="str">
        <x:v>bịch</x:v>
      </x:c>
      <x:c r="E95" s="37" t="n">
        <x:v>30</x:v>
      </x:c>
      <x:c r="F95" s="37"/>
      <x:c r="G95" s="38" t="str">
        <x:v>22.THỰC PHẨM ĐÔNG LẠNH</x:v>
      </x:c>
    </x:row>
    <x:row r="96">
      <x:c r="A96" s="39" t="n">
        <x:v>287</x:v>
      </x:c>
      <x:c r="B96" s="30" t="str">
        <x:v>Túi tiền Hải Sản</x:v>
      </x:c>
      <x:c r="C96" s="30" t="str"/>
      <x:c r="D96" s="37" t="str">
        <x:v>vỉ</x:v>
      </x:c>
      <x:c r="E96" s="37" t="n">
        <x:v>44</x:v>
      </x:c>
      <x:c r="F96" s="37"/>
      <x:c r="G96" s="38" t="str">
        <x:v>22.THỰC PHẨM ĐÔNG LẠNH</x:v>
      </x:c>
    </x:row>
    <x:row r="97">
      <x:c r="A97" s="39" t="n">
        <x:v>288</x:v>
      </x:c>
      <x:c r="B97" s="30" t="str">
        <x:v>Bánh sữa tươi</x:v>
      </x:c>
      <x:c r="C97" s="30" t="str"/>
      <x:c r="D97" s="37" t="str">
        <x:v>hộp</x:v>
      </x:c>
      <x:c r="E97" s="37" t="n">
        <x:v>28</x:v>
      </x:c>
      <x:c r="F97" s="37"/>
      <x:c r="G97" s="38" t="str">
        <x:v>22.THỰC PHẨM ĐÔNG LẠNH</x:v>
      </x:c>
    </x:row>
    <x:row r="98">
      <x:c r="A98" s="39" t="n">
        <x:v>289</x:v>
      </x:c>
      <x:c r="B98" s="30" t="str">
        <x:v>Bánh gạo thỏi</x:v>
      </x:c>
      <x:c r="C98" s="30" t="str"/>
      <x:c r="D98" s="37" t="str">
        <x:v>bịch</x:v>
      </x:c>
      <x:c r="E98" s="37" t="n">
        <x:v>55</x:v>
      </x:c>
      <x:c r="F98" s="37"/>
      <x:c r="G98" s="38" t="str">
        <x:v>22.THỰC PHẨM ĐÔNG LẠNH</x:v>
      </x:c>
    </x:row>
    <x:row r="99">
      <x:c r="A99" s="39" t="n">
        <x:v>290</x:v>
      </x:c>
      <x:c r="B99" s="30" t="str">
        <x:v>Sốt bánh gạo saijang</x:v>
      </x:c>
      <x:c r="C99" s="30" t="str"/>
      <x:c r="D99" s="37" t="str">
        <x:v>túi</x:v>
      </x:c>
      <x:c r="E99" s="37" t="n">
        <x:v>53</x:v>
      </x:c>
      <x:c r="F99" s="37"/>
      <x:c r="G99" s="38" t="str">
        <x:v>22.THỰC PHẨM ĐÔNG LẠNH</x:v>
      </x:c>
    </x:row>
    <x:row r="100">
      <x:c r="A100" s="39" t="n">
        <x:v>291</x:v>
      </x:c>
      <x:c r="B100" s="30" t="str">
        <x:v>sốt bánh gao ky</x:v>
      </x:c>
      <x:c r="C100" s="30" t="str"/>
      <x:c r="D100" s="37" t="str">
        <x:v>ky</x:v>
      </x:c>
      <x:c r="E100" s="37" t="n">
        <x:v>40</x:v>
      </x:c>
      <x:c r="F100" s="37"/>
      <x:c r="G100" s="38" t="str">
        <x:v>22.THỰC PHẨM ĐÔNG LẠNH</x:v>
      </x:c>
    </x:row>
    <x:row r="101">
      <x:c r="A101" s="39" t="n">
        <x:v>293</x:v>
      </x:c>
      <x:c r="B101" s="30" t="str">
        <x:v>hành phi anh tú</x:v>
      </x:c>
      <x:c r="C101" s="30" t="str"/>
      <x:c r="D101" s="37" t="str">
        <x:v>kg</x:v>
      </x:c>
      <x:c r="E101" s="37" t="n">
        <x:v>75</x:v>
      </x:c>
      <x:c r="F101" s="37"/>
      <x:c r="G101" s="38" t="str">
        <x:v>23. NGUYÊN Liệu BÁNH TRÁNG</x:v>
      </x:c>
    </x:row>
    <x:row r="102">
      <x:c r="A102" s="39" t="n">
        <x:v>294</x:v>
      </x:c>
      <x:c r="B102" s="30" t="str">
        <x:v>hành phi thường</x:v>
      </x:c>
      <x:c r="C102" s="30" t="str"/>
      <x:c r="D102" s="37" t="str">
        <x:v>kg</x:v>
      </x:c>
      <x:c r="E102" s="37" t="n">
        <x:v>45</x:v>
      </x:c>
      <x:c r="F102" s="37"/>
      <x:c r="G102" s="38" t="str">
        <x:v>23. NGUYÊN Liệu BÁNH TRÁNG</x:v>
      </x:c>
    </x:row>
    <x:row r="103">
      <x:c r="A103" s="39" t="n">
        <x:v>295</x:v>
      </x:c>
      <x:c r="B103" s="30" t="str">
        <x:v>khô bò</x:v>
      </x:c>
      <x:c r="C103" s="30" t="str"/>
      <x:c r="D103" s="37" t="str">
        <x:v>kg</x:v>
      </x:c>
      <x:c r="E103" s="37" t="n">
        <x:v>112</x:v>
      </x:c>
      <x:c r="F103" s="37"/>
      <x:c r="G103" s="38" t="str">
        <x:v>23. NGUYÊN Liệu BÁNH TRÁNG</x:v>
      </x:c>
    </x:row>
    <x:row r="104">
      <x:c r="A104" s="39" t="n">
        <x:v>296</x:v>
      </x:c>
      <x:c r="B104" s="30" t="str">
        <x:v>khô gà</x:v>
      </x:c>
      <x:c r="C104" s="30" t="str"/>
      <x:c r="D104" s="37" t="str">
        <x:v>kg</x:v>
      </x:c>
      <x:c r="E104" s="37" t="n">
        <x:v>130</x:v>
      </x:c>
      <x:c r="F104" s="37"/>
      <x:c r="G104" s="38" t="str">
        <x:v>23. NGUYÊN Liệu BÁNH TRÁNG</x:v>
      </x:c>
    </x:row>
    <x:row r="105">
      <x:c r="A105" s="39" t="n">
        <x:v>298</x:v>
      </x:c>
      <x:c r="B105" s="30" t="str">
        <x:v>bánh tráng cuốn đỏ</x:v>
      </x:c>
      <x:c r="C105" s="30" t="str"/>
      <x:c r="D105" s="37" t="str">
        <x:v>kg</x:v>
      </x:c>
      <x:c r="E105" s="37" t="n">
        <x:v>45</x:v>
      </x:c>
      <x:c r="F105" s="37"/>
      <x:c r="G105" s="38" t="str">
        <x:v>23. NGUYÊN Liệu BÁNH TRÁNG</x:v>
      </x:c>
    </x:row>
    <x:row r="106">
      <x:c r="A106" s="39" t="n">
        <x:v>302</x:v>
      </x:c>
      <x:c r="B106" s="30" t="str">
        <x:v>bơ trắng+vàng</x:v>
      </x:c>
      <x:c r="C106" s="30" t="str"/>
      <x:c r="D106" s="37" t="str">
        <x:v>bịch</x:v>
      </x:c>
      <x:c r="E106" s="37" t="n">
        <x:v>35</x:v>
      </x:c>
      <x:c r="F106" s="37"/>
      <x:c r="G106" s="38" t="str">
        <x:v>23. NGUYÊN Liệu BÁNH TRÁNG</x:v>
      </x:c>
    </x:row>
    <x:row r="107">
      <x:c r="A107" s="63" t="n">
        <x:v>303</x:v>
      </x:c>
      <x:c r="B107" s="43" t="str">
        <x:v>khô mực</x:v>
      </x:c>
      <x:c r="C107" s="43" t="str"/>
      <x:c r="D107" s="44" t="str">
        <x:v>kg</x:v>
      </x:c>
      <x:c r="E107" s="44" t="n">
        <x:v>225</x:v>
      </x:c>
      <x:c r="F107" s="44"/>
      <x:c r="G107" s="45" t="str">
        <x:v>23. NGUYÊN Liệu BÁNH TRÁNG</x:v>
      </x:c>
    </x:row>
  </x:sheetData>
  <x:pageMargins left="0.7" right="0.7" top="0.75" bottom="0.75" header="0.3" footer="0.3"/>
  <x:tableParts count="1">
    <x:tablePart xmlns:r="http://schemas.openxmlformats.org/officeDocument/2006/relationships" r:id="Raddd3a8a2e0d4f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28" hidden="0" customWidth="1"/>
    <x:col min="8" max="8" width="13" hidden="0" customWidth="1"/>
  </x:cols>
  <x:sheetData>
    <x:row r="1">
      <x:c r="A1" s="32" t="str">
        <x:v>STT</x:v>
      </x:c>
      <x:c r="B1" s="33" t="str">
        <x:v>Tên sản phẩm</x:v>
      </x:c>
      <x:c r="C1" s="33" t="str">
        <x:v>Quy cách</x:v>
      </x:c>
      <x:c r="D1" s="33" t="str">
        <x:v>ĐVT</x:v>
      </x:c>
      <x:c r="E1" s="33" t="str">
        <x:v>KHTT (nghìn)</x:v>
      </x:c>
      <x:c r="F1" s="33" t="str">
        <x:v>KHTV (nghìn)</x:v>
      </x:c>
      <x:c r="G1" s="33" t="str">
        <x:v>Nhóm nguồn</x:v>
      </x:c>
      <x:c r="H1" s="35" t="str">
        <x:v>Dòng Excel gốc</x:v>
      </x:c>
    </x:row>
    <x:row r="2">
      <x:c r="A2" s="39" t="n">
        <x:v>2</x:v>
      </x:c>
      <x:c r="B2" s="30" t="str">
        <x:v>Siro Torani</x:v>
      </x:c>
      <x:c r="C2" s="30" t="str">
        <x:v>Thùng 12 chai</x:v>
      </x:c>
      <x:c r="D2" s="37" t="str">
        <x:v>chai</x:v>
      </x:c>
      <x:c r="E2" s="37" t="n">
        <x:v>180</x:v>
      </x:c>
      <x:c r="F2" s="37"/>
      <x:c r="G2" s="37" t="str">
        <x:v>1.Siro</x:v>
      </x:c>
      <x:c r="H2" s="38" t="n">
        <x:v>4</x:v>
      </x:c>
    </x:row>
    <x:row r="3">
      <x:c r="A3" s="39" t="n">
        <x:v>3</x:v>
      </x:c>
      <x:c r="B3" s="30" t="str">
        <x:v>Siro Thái PIXE</x:v>
      </x:c>
      <x:c r="C3" s="30" t="str">
        <x:v>Thùng 12 chai</x:v>
      </x:c>
      <x:c r="D3" s="37" t="str">
        <x:v>Chai</x:v>
      </x:c>
      <x:c r="E3" s="37" t="n">
        <x:v>62</x:v>
      </x:c>
      <x:c r="F3" s="37"/>
      <x:c r="G3" s="37" t="str">
        <x:v>1.Siro</x:v>
      </x:c>
      <x:c r="H3" s="38" t="n">
        <x:v>5</x:v>
      </x:c>
    </x:row>
    <x:row r="4">
      <x:c r="A4" s="39" t="n">
        <x:v>4</x:v>
      </x:c>
      <x:c r="B4" s="30" t="str">
        <x:v>Siro Thái DINGFONG</x:v>
      </x:c>
      <x:c r="C4" s="30" t="str">
        <x:v>Thùng 12 chai</x:v>
      </x:c>
      <x:c r="D4" s="37" t="str">
        <x:v>Chai</x:v>
      </x:c>
      <x:c r="E4" s="37" t="n">
        <x:v>62</x:v>
      </x:c>
      <x:c r="F4" s="37"/>
      <x:c r="G4" s="37" t="str">
        <x:v>1.Siro</x:v>
      </x:c>
      <x:c r="H4" s="38" t="n">
        <x:v>6</x:v>
      </x:c>
    </x:row>
    <x:row r="5">
      <x:c r="A5" s="39" t="n">
        <x:v>5</x:v>
      </x:c>
      <x:c r="B5" s="30" t="str">
        <x:v>Siro Gold 2l</x:v>
      </x:c>
      <x:c r="C5" s="30" t="str">
        <x:v>Thùng 4 bình</x:v>
      </x:c>
      <x:c r="D5" s="37" t="str">
        <x:v>bình</x:v>
      </x:c>
      <x:c r="E5" s="37" t="n">
        <x:v>140</x:v>
      </x:c>
      <x:c r="F5" s="37"/>
      <x:c r="G5" s="37" t="str">
        <x:v>1.Siro</x:v>
      </x:c>
      <x:c r="H5" s="38" t="n">
        <x:v>7</x:v>
      </x:c>
    </x:row>
    <x:row r="6">
      <x:c r="A6" s="39" t="n">
        <x:v>6</x:v>
      </x:c>
      <x:c r="B6" s="30" t="str">
        <x:v>Siro Gold 700ml</x:v>
      </x:c>
      <x:c r="C6" s="30" t="str">
        <x:v>Thùng 12 chai</x:v>
      </x:c>
      <x:c r="D6" s="37" t="str">
        <x:v>Chai</x:v>
      </x:c>
      <x:c r="E6" s="37" t="n">
        <x:v>53</x:v>
      </x:c>
      <x:c r="F6" s="37"/>
      <x:c r="G6" s="37" t="str">
        <x:v>1.Siro</x:v>
      </x:c>
      <x:c r="H6" s="38" t="n">
        <x:v>8</x:v>
      </x:c>
    </x:row>
    <x:row r="7">
      <x:c r="A7" s="39" t="n">
        <x:v>7</x:v>
      </x:c>
      <x:c r="B7" s="30" t="str">
        <x:v>Siro vỏ cam Gold 700ml</x:v>
      </x:c>
      <x:c r="C7" s="30" t="str">
        <x:v>Thùng 12 chai</x:v>
      </x:c>
      <x:c r="D7" s="37" t="str">
        <x:v>Chai</x:v>
      </x:c>
      <x:c r="E7" s="37" t="n">
        <x:v>70</x:v>
      </x:c>
      <x:c r="F7" s="37"/>
      <x:c r="G7" s="37" t="str">
        <x:v>1.Siro</x:v>
      </x:c>
      <x:c r="H7" s="38" t="n">
        <x:v>9</x:v>
      </x:c>
    </x:row>
    <x:row r="8">
      <x:c r="A8" s="39" t="n">
        <x:v>8</x:v>
      </x:c>
      <x:c r="B8" s="30" t="str">
        <x:v>Siro GTP</x:v>
      </x:c>
      <x:c r="C8" s="30" t="str">
        <x:v>Thùng 6 bình</x:v>
      </x:c>
      <x:c r="D8" s="37" t="str">
        <x:v>Chai</x:v>
      </x:c>
      <x:c r="E8" s="37" t="n">
        <x:v>140</x:v>
      </x:c>
      <x:c r="F8" s="37"/>
      <x:c r="G8" s="37" t="str">
        <x:v>1.Siro</x:v>
      </x:c>
      <x:c r="H8" s="38" t="n">
        <x:v>10</x:v>
      </x:c>
    </x:row>
    <x:row r="9">
      <x:c r="A9" s="39" t="n">
        <x:v>9</x:v>
      </x:c>
      <x:c r="B9" s="30" t="str">
        <x:v>Siro GTP dâu , duong den</x:v>
      </x:c>
      <x:c r="C9" s="30" t="str">
        <x:v>Thùng 6chai</x:v>
      </x:c>
      <x:c r="D9" s="37" t="str">
        <x:v>Chai</x:v>
      </x:c>
      <x:c r="E9" s="37" t="n">
        <x:v>146</x:v>
      </x:c>
      <x:c r="F9" s="37"/>
      <x:c r="G9" s="37" t="str">
        <x:v>1.Siro</x:v>
      </x:c>
      <x:c r="H9" s="38" t="n">
        <x:v>11</x:v>
      </x:c>
    </x:row>
    <x:row r="10">
      <x:c r="A10" s="39" t="n">
        <x:v>10</x:v>
      </x:c>
      <x:c r="B10" s="30" t="str">
        <x:v>Siro Vina</x:v>
      </x:c>
      <x:c r="C10" s="30" t="str">
        <x:v>Thùng 12 chai</x:v>
      </x:c>
      <x:c r="D10" s="37" t="str">
        <x:v>Chai</x:v>
      </x:c>
      <x:c r="E10" s="37" t="n">
        <x:v>40</x:v>
      </x:c>
      <x:c r="F10" s="37"/>
      <x:c r="G10" s="37" t="str">
        <x:v>1.Siro</x:v>
      </x:c>
      <x:c r="H10" s="38" t="n">
        <x:v>12</x:v>
      </x:c>
    </x:row>
    <x:row r="11">
      <x:c r="A11" s="39" t="n">
        <x:v>11</x:v>
      </x:c>
      <x:c r="B11" s="30" t="str">
        <x:v>Siro Sâm Dứa Vina</x:v>
      </x:c>
      <x:c r="C11" s="30" t="str">
        <x:v>Thùng 12 chai</x:v>
      </x:c>
      <x:c r="D11" s="37" t="str">
        <x:v>Chai</x:v>
      </x:c>
      <x:c r="E11" s="37" t="n">
        <x:v>25</x:v>
      </x:c>
      <x:c r="F11" s="37"/>
      <x:c r="G11" s="37" t="str">
        <x:v>1.Siro</x:v>
      </x:c>
      <x:c r="H11" s="38" t="n">
        <x:v>13</x:v>
      </x:c>
    </x:row>
    <x:row r="12">
      <x:c r="A12" s="39" t="n">
        <x:v>12</x:v>
      </x:c>
      <x:c r="B12" s="30" t="str">
        <x:v>Siro Carisa</x:v>
      </x:c>
      <x:c r="C12" s="30" t="str">
        <x:v>Thùng 24 chai</x:v>
      </x:c>
      <x:c r="D12" s="37" t="str">
        <x:v>Chai</x:v>
      </x:c>
      <x:c r="E12" s="37" t="n">
        <x:v>30</x:v>
      </x:c>
      <x:c r="F12" s="37"/>
      <x:c r="G12" s="37" t="str">
        <x:v>1.Siro</x:v>
      </x:c>
      <x:c r="H12" s="38" t="n">
        <x:v>14</x:v>
      </x:c>
    </x:row>
    <x:row r="13">
      <x:c r="A13" s="39" t="n">
        <x:v>13</x:v>
      </x:c>
      <x:c r="B13" s="30" t="str">
        <x:v>Siro Changthai</x:v>
      </x:c>
      <x:c r="C13" s="30" t="str">
        <x:v>Thùng 12 chai</x:v>
      </x:c>
      <x:c r="D13" s="37" t="str">
        <x:v>Chai</x:v>
      </x:c>
      <x:c r="E13" s="37" t="n">
        <x:v>57</x:v>
      </x:c>
      <x:c r="F13" s="37"/>
      <x:c r="G13" s="37" t="str">
        <x:v>1.Siro</x:v>
      </x:c>
      <x:c r="H13" s="38" t="n">
        <x:v>15</x:v>
      </x:c>
    </x:row>
    <x:row r="14">
      <x:c r="A14" s="39" t="n">
        <x:v>14</x:v>
      </x:c>
      <x:c r="B14" s="30" t="str">
        <x:v>Siro Douxian 2l tròn</x:v>
      </x:c>
      <x:c r="C14" s="30" t="str">
        <x:v>Thùng 6 chai</x:v>
      </x:c>
      <x:c r="D14" s="37" t="str">
        <x:v>Chai</x:v>
      </x:c>
      <x:c r="E14" s="37" t="n">
        <x:v>126</x:v>
      </x:c>
      <x:c r="F14" s="37"/>
      <x:c r="G14" s="37" t="str">
        <x:v>1.Siro</x:v>
      </x:c>
      <x:c r="H14" s="38" t="n">
        <x:v>16</x:v>
      </x:c>
    </x:row>
    <x:row r="15">
      <x:c r="A15" s="39" t="n">
        <x:v>15</x:v>
      </x:c>
      <x:c r="B15" s="30" t="str">
        <x:v>SIRO ĐĐ hoàng kim</x:v>
      </x:c>
      <x:c r="C15" s="30" t="str">
        <x:v>Thùng 6chai</x:v>
      </x:c>
      <x:c r="D15" s="37" t="str">
        <x:v>chai</x:v>
      </x:c>
      <x:c r="E15" s="37" t="n">
        <x:v>126</x:v>
      </x:c>
      <x:c r="F15" s="37"/>
      <x:c r="G15" s="37" t="str">
        <x:v>1.Siro</x:v>
      </x:c>
      <x:c r="H15" s="38" t="n">
        <x:v>17</x:v>
      </x:c>
    </x:row>
    <x:row r="16">
      <x:c r="A16" s="39" t="n">
        <x:v>16</x:v>
      </x:c>
      <x:c r="B16" s="30" t="str">
        <x:v>Siro Douxian 2l hoàng kim</x:v>
      </x:c>
      <x:c r="C16" s="30" t="str">
        <x:v>Thùng 6 chai</x:v>
      </x:c>
      <x:c r="D16" s="37" t="str">
        <x:v>Chai</x:v>
      </x:c>
      <x:c r="E16" s="37" t="n">
        <x:v>85</x:v>
      </x:c>
      <x:c r="F16" s="37"/>
      <x:c r="G16" s="37" t="str">
        <x:v>1.Siro</x:v>
      </x:c>
      <x:c r="H16" s="38" t="n">
        <x:v>18</x:v>
      </x:c>
    </x:row>
    <x:row r="17">
      <x:c r="A17" s="39" t="n">
        <x:v>18</x:v>
      </x:c>
      <x:c r="B17" s="30" t="str">
        <x:v>Sinh Tố Berrino Dâu</x:v>
      </x:c>
      <x:c r="C17" s="30" t="str">
        <x:v>Thùng12 chai</x:v>
      </x:c>
      <x:c r="D17" s="37" t="str">
        <x:v>Chai</x:v>
      </x:c>
      <x:c r="E17" s="37" t="n">
        <x:v>89</x:v>
      </x:c>
      <x:c r="F17" s="37"/>
      <x:c r="G17" s="37" t="str">
        <x:v>2.SINH TỐ BERINO</x:v>
      </x:c>
      <x:c r="H17" s="38" t="n">
        <x:v>20</x:v>
      </x:c>
    </x:row>
    <x:row r="18">
      <x:c r="A18" s="39" t="n">
        <x:v>19</x:v>
      </x:c>
      <x:c r="B18" s="30" t="str">
        <x:v>Sinh Tố Berrino Đào</x:v>
      </x:c>
      <x:c r="C18" s="30" t="str">
        <x:v>Thùng12 chai</x:v>
      </x:c>
      <x:c r="D18" s="37" t="str">
        <x:v>Chai</x:v>
      </x:c>
      <x:c r="E18" s="37" t="n">
        <x:v>91</x:v>
      </x:c>
      <x:c r="F18" s="37"/>
      <x:c r="G18" s="37" t="str">
        <x:v>2.SINH TỐ BERINO</x:v>
      </x:c>
      <x:c r="H18" s="38" t="n">
        <x:v>21</x:v>
      </x:c>
    </x:row>
    <x:row r="19">
      <x:c r="A19" s="39" t="n">
        <x:v>20</x:v>
      </x:c>
      <x:c r="B19" s="30" t="str">
        <x:v>Sinh tố Berrino ổi</x:v>
      </x:c>
      <x:c r="C19" s="30" t="str">
        <x:v>Thùng12 chai</x:v>
      </x:c>
      <x:c r="D19" s="37" t="str">
        <x:v>chai</x:v>
      </x:c>
      <x:c r="E19" s="37" t="n">
        <x:v>111</x:v>
      </x:c>
      <x:c r="F19" s="37"/>
      <x:c r="G19" s="37" t="str">
        <x:v>2.SINH TỐ BERINO</x:v>
      </x:c>
      <x:c r="H19" s="38" t="n">
        <x:v>22</x:v>
      </x:c>
    </x:row>
    <x:row r="20">
      <x:c r="A20" s="39" t="n">
        <x:v>21</x:v>
      </x:c>
      <x:c r="B20" s="30" t="str">
        <x:v>Sinh Tố Berrino Việt Quốc</x:v>
      </x:c>
      <x:c r="C20" s="30" t="str">
        <x:v>Thùng12 chai</x:v>
      </x:c>
      <x:c r="D20" s="37" t="str">
        <x:v>Chai</x:v>
      </x:c>
      <x:c r="E20" s="37" t="n">
        <x:v>123</x:v>
      </x:c>
      <x:c r="F20" s="37"/>
      <x:c r="G20" s="37" t="str">
        <x:v>2.SINH TỐ BERINO</x:v>
      </x:c>
      <x:c r="H20" s="38" t="n">
        <x:v>23</x:v>
      </x:c>
    </x:row>
    <x:row r="21">
      <x:c r="A21" s="39" t="n">
        <x:v>22</x:v>
      </x:c>
      <x:c r="B21" s="30" t="str">
        <x:v>Sinh Tố Berrino Chanh Dây</x:v>
      </x:c>
      <x:c r="C21" s="30" t="str">
        <x:v>Thùng12 chai</x:v>
      </x:c>
      <x:c r="D21" s="37" t="str">
        <x:v>Chai</x:v>
      </x:c>
      <x:c r="E21" s="37" t="n">
        <x:v>102</x:v>
      </x:c>
      <x:c r="F21" s="37"/>
      <x:c r="G21" s="37" t="str">
        <x:v>2.SINH TỐ BERINO</x:v>
      </x:c>
      <x:c r="H21" s="38" t="n">
        <x:v>24</x:v>
      </x:c>
    </x:row>
    <x:row r="22">
      <x:c r="A22" s="39" t="n">
        <x:v>23</x:v>
      </x:c>
      <x:c r="B22" s="30" t="str">
        <x:v>Sinh Tố Berrino Vải</x:v>
      </x:c>
      <x:c r="C22" s="30" t="str">
        <x:v>Thùng12 chai</x:v>
      </x:c>
      <x:c r="D22" s="37" t="str">
        <x:v>Chai</x:v>
      </x:c>
      <x:c r="E22" s="37" t="n">
        <x:v>115</x:v>
      </x:c>
      <x:c r="F22" s="37"/>
      <x:c r="G22" s="37" t="str">
        <x:v>2.SINH TỐ BERINO</x:v>
      </x:c>
      <x:c r="H22" s="38" t="n">
        <x:v>25</x:v>
      </x:c>
    </x:row>
    <x:row r="23">
      <x:c r="A23" s="39" t="n">
        <x:v>24</x:v>
      </x:c>
      <x:c r="B23" s="30" t="str">
        <x:v>Sinh Tố Berrino  Kiwi</x:v>
      </x:c>
      <x:c r="C23" s="30" t="str">
        <x:v>Thùng12 chai</x:v>
      </x:c>
      <x:c r="D23" s="37" t="str">
        <x:v>Chai</x:v>
      </x:c>
      <x:c r="E23" s="37" t="n">
        <x:v>108</x:v>
      </x:c>
      <x:c r="F23" s="37"/>
      <x:c r="G23" s="37" t="str">
        <x:v>2.SINH TỐ BERINO</x:v>
      </x:c>
      <x:c r="H23" s="38" t="n">
        <x:v>26</x:v>
      </x:c>
    </x:row>
    <x:row r="24">
      <x:c r="A24" s="39" t="n">
        <x:v>25</x:v>
      </x:c>
      <x:c r="B24" s="30" t="str">
        <x:v>Sinh Tố Berrino Phúc Bồn Tử</x:v>
      </x:c>
      <x:c r="C24" s="30" t="str">
        <x:v>Thùng12 chai</x:v>
      </x:c>
      <x:c r="D24" s="37" t="str">
        <x:v>Chai</x:v>
      </x:c>
      <x:c r="E24" s="37" t="n">
        <x:v>114</x:v>
      </x:c>
      <x:c r="F24" s="37"/>
      <x:c r="G24" s="37" t="str">
        <x:v>2.SINH TỐ BERINO</x:v>
      </x:c>
      <x:c r="H24" s="38" t="n">
        <x:v>27</x:v>
      </x:c>
    </x:row>
    <x:row r="25">
      <x:c r="A25" s="39" t="n">
        <x:v>26</x:v>
      </x:c>
      <x:c r="B25" s="30" t="str">
        <x:v>Sinh Tố Berrino Xoài</x:v>
      </x:c>
      <x:c r="C25" s="30" t="str">
        <x:v>Thùng12 chai</x:v>
      </x:c>
      <x:c r="D25" s="37" t="str">
        <x:v>Chai</x:v>
      </x:c>
      <x:c r="E25" s="37" t="n">
        <x:v>91</x:v>
      </x:c>
      <x:c r="F25" s="37"/>
      <x:c r="G25" s="37" t="str">
        <x:v>2.SINH TỐ BERINO</x:v>
      </x:c>
      <x:c r="H25" s="38" t="n">
        <x:v>28</x:v>
      </x:c>
    </x:row>
    <x:row r="26">
      <x:c r="A26" s="39" t="n">
        <x:v>27</x:v>
      </x:c>
      <x:c r="B26" s="30" t="str">
        <x:v>Sinh Tố Berrino Nho</x:v>
      </x:c>
      <x:c r="C26" s="30" t="str">
        <x:v>Thùng12 chai</x:v>
      </x:c>
      <x:c r="D26" s="37" t="str">
        <x:v>Chai</x:v>
      </x:c>
      <x:c r="E26" s="37" t="n">
        <x:v>108</x:v>
      </x:c>
      <x:c r="F26" s="37"/>
      <x:c r="G26" s="37" t="str">
        <x:v>2.SINH TỐ BERINO</x:v>
      </x:c>
      <x:c r="H26" s="38" t="n">
        <x:v>29</x:v>
      </x:c>
    </x:row>
    <x:row r="27">
      <x:c r="A27" s="39" t="n">
        <x:v>28</x:v>
      </x:c>
      <x:c r="B27" s="30" t="str">
        <x:v>Sinh Tố Berrino dâu tằm</x:v>
      </x:c>
      <x:c r="C27" s="30" t="str">
        <x:v>Thùng 12 chai</x:v>
      </x:c>
      <x:c r="D27" s="37" t="str">
        <x:v>Chai</x:v>
      </x:c>
      <x:c r="E27" s="37" t="n">
        <x:v>103</x:v>
      </x:c>
      <x:c r="F27" s="37"/>
      <x:c r="G27" s="37" t="str">
        <x:v>2.SINH TỐ BERINO</x:v>
      </x:c>
      <x:c r="H27" s="38" t="n">
        <x:v>30</x:v>
      </x:c>
    </x:row>
    <x:row r="28">
      <x:c r="A28" s="39" t="n">
        <x:v>29</x:v>
      </x:c>
      <x:c r="B28" s="30" t="str">
        <x:v>Sinh Tô berino khom</x:v>
      </x:c>
      <x:c r="C28" s="30" t="str">
        <x:v>Thung 12 chai</x:v>
      </x:c>
      <x:c r="D28" s="37" t="str">
        <x:v>chai</x:v>
      </x:c>
      <x:c r="E28" s="37" t="n">
        <x:v>98</x:v>
      </x:c>
      <x:c r="F28" s="37"/>
      <x:c r="G28" s="37" t="str">
        <x:v>2.SINH TỐ BERINO</x:v>
      </x:c>
      <x:c r="H28" s="38" t="n">
        <x:v>31</x:v>
      </x:c>
    </x:row>
    <x:row r="29">
      <x:c r="A29" s="39" t="n">
        <x:v>31</x:v>
      </x:c>
      <x:c r="B29" s="30" t="str">
        <x:v>Sinh Tố Gold Dâu</x:v>
      </x:c>
      <x:c r="C29" s="30" t="str">
        <x:v>Thùng12 chai</x:v>
      </x:c>
      <x:c r="D29" s="37" t="str">
        <x:v>Chai</x:v>
      </x:c>
      <x:c r="E29" s="37" t="n">
        <x:v>90</x:v>
      </x:c>
      <x:c r="F29" s="37"/>
      <x:c r="G29" s="37" t="str">
        <x:v>3. SINH TỐ GLOD</x:v>
      </x:c>
      <x:c r="H29" s="38" t="n">
        <x:v>33</x:v>
      </x:c>
    </x:row>
    <x:row r="30">
      <x:c r="A30" s="39" t="n">
        <x:v>32</x:v>
      </x:c>
      <x:c r="B30" s="30" t="str">
        <x:v>Sinh Tố Gold Đào</x:v>
      </x:c>
      <x:c r="C30" s="30" t="str">
        <x:v>Thùng12 chai</x:v>
      </x:c>
      <x:c r="D30" s="37" t="str">
        <x:v>Chai</x:v>
      </x:c>
      <x:c r="E30" s="37" t="n">
        <x:v>95</x:v>
      </x:c>
      <x:c r="F30" s="37"/>
      <x:c r="G30" s="37" t="str">
        <x:v>3. SINH TỐ GLOD</x:v>
      </x:c>
      <x:c r="H30" s="38" t="n">
        <x:v>34</x:v>
      </x:c>
    </x:row>
    <x:row r="31">
      <x:c r="A31" s="39" t="n">
        <x:v>33</x:v>
      </x:c>
      <x:c r="B31" s="30" t="str">
        <x:v>Sinh Tố Gold Việt Quốc</x:v>
      </x:c>
      <x:c r="C31" s="30" t="str">
        <x:v>Thùng12 chai</x:v>
      </x:c>
      <x:c r="D31" s="37" t="str">
        <x:v>Chai</x:v>
      </x:c>
      <x:c r="E31" s="37" t="n">
        <x:v>125</x:v>
      </x:c>
      <x:c r="F31" s="37"/>
      <x:c r="G31" s="37" t="str">
        <x:v>3. SINH TỐ GLOD</x:v>
      </x:c>
      <x:c r="H31" s="38" t="n">
        <x:v>35</x:v>
      </x:c>
    </x:row>
    <x:row r="32">
      <x:c r="A32" s="39" t="n">
        <x:v>34</x:v>
      </x:c>
      <x:c r="B32" s="30" t="str">
        <x:v>Sinh Tố Gold Chanh Dây</x:v>
      </x:c>
      <x:c r="C32" s="30" t="str">
        <x:v>Thùng12 chai</x:v>
      </x:c>
      <x:c r="D32" s="37" t="str">
        <x:v>Chai</x:v>
      </x:c>
      <x:c r="E32" s="37" t="n">
        <x:v>105</x:v>
      </x:c>
      <x:c r="F32" s="37"/>
      <x:c r="G32" s="37" t="str">
        <x:v>3. SINH TỐ GLOD</x:v>
      </x:c>
      <x:c r="H32" s="38" t="n">
        <x:v>36</x:v>
      </x:c>
    </x:row>
    <x:row r="33">
      <x:c r="A33" s="39" t="n">
        <x:v>35</x:v>
      </x:c>
      <x:c r="B33" s="30" t="str">
        <x:v>Sinh Tố Gold  Kiwi</x:v>
      </x:c>
      <x:c r="C33" s="30" t="str">
        <x:v>Thùng12 chai</x:v>
      </x:c>
      <x:c r="D33" s="37" t="str">
        <x:v>Chai</x:v>
      </x:c>
      <x:c r="E33" s="37" t="n">
        <x:v>100</x:v>
      </x:c>
      <x:c r="F33" s="37"/>
      <x:c r="G33" s="37" t="str">
        <x:v>3. SINH TỐ GLOD</x:v>
      </x:c>
      <x:c r="H33" s="38" t="n">
        <x:v>37</x:v>
      </x:c>
    </x:row>
    <x:row r="34">
      <x:c r="A34" s="39" t="n">
        <x:v>36</x:v>
      </x:c>
      <x:c r="B34" s="30" t="str">
        <x:v>Sinh Tố Gold Phúc Bồn Tử</x:v>
      </x:c>
      <x:c r="C34" s="30" t="str">
        <x:v>Thùng12 chai</x:v>
      </x:c>
      <x:c r="D34" s="37" t="str">
        <x:v>Chai</x:v>
      </x:c>
      <x:c r="E34" s="37" t="n">
        <x:v>120</x:v>
      </x:c>
      <x:c r="F34" s="37"/>
      <x:c r="G34" s="37" t="str">
        <x:v>3. SINH TỐ GLOD</x:v>
      </x:c>
      <x:c r="H34" s="38" t="n">
        <x:v>38</x:v>
      </x:c>
    </x:row>
    <x:row r="35">
      <x:c r="A35" s="39" t="n">
        <x:v>37</x:v>
      </x:c>
      <x:c r="B35" s="30" t="str">
        <x:v>Sinh Tố Gold Xoài</x:v>
      </x:c>
      <x:c r="C35" s="30" t="str">
        <x:v>Thùng12 chai</x:v>
      </x:c>
      <x:c r="D35" s="37" t="str">
        <x:v>Chai</x:v>
      </x:c>
      <x:c r="E35" s="37" t="n">
        <x:v>100</x:v>
      </x:c>
      <x:c r="F35" s="37"/>
      <x:c r="G35" s="37" t="str">
        <x:v>3. SINH TỐ GLOD</x:v>
      </x:c>
      <x:c r="H35" s="38" t="n">
        <x:v>39</x:v>
      </x:c>
    </x:row>
    <x:row r="36">
      <x:c r="A36" s="39" t="n">
        <x:v>38</x:v>
      </x:c>
      <x:c r="B36" s="30" t="str">
        <x:v>Sinh Tố Gold ổi</x:v>
      </x:c>
      <x:c r="C36" s="30" t="str">
        <x:v>Thung 12 chai</x:v>
      </x:c>
      <x:c r="D36" s="37" t="str">
        <x:v>Chai</x:v>
      </x:c>
      <x:c r="E36" s="37" t="n">
        <x:v>105</x:v>
      </x:c>
      <x:c r="F36" s="37"/>
      <x:c r="G36" s="37" t="str">
        <x:v>3. SINH TỐ GLOD</x:v>
      </x:c>
      <x:c r="H36" s="38" t="n">
        <x:v>40</x:v>
      </x:c>
    </x:row>
    <x:row r="37">
      <x:c r="A37" s="39" t="n">
        <x:v>39</x:v>
      </x:c>
      <x:c r="B37" s="30" t="str">
        <x:v>Sinh Tố Gold dâu tằm</x:v>
      </x:c>
      <x:c r="C37" s="30" t="str">
        <x:v>Thung 12 chai</x:v>
      </x:c>
      <x:c r="D37" s="37" t="str">
        <x:v>Chai</x:v>
      </x:c>
      <x:c r="E37" s="37" t="n">
        <x:v>100</x:v>
      </x:c>
      <x:c r="F37" s="37"/>
      <x:c r="G37" s="37" t="str">
        <x:v>3. SINH TỐ GLOD</x:v>
      </x:c>
      <x:c r="H37" s="38" t="n">
        <x:v>41</x:v>
      </x:c>
    </x:row>
    <x:row r="38">
      <x:c r="A38" s="39" t="n">
        <x:v>40</x:v>
      </x:c>
      <x:c r="B38" s="30" t="str">
        <x:v>Sinh  To mang câu glod</x:v>
      </x:c>
      <x:c r="C38" s="30" t="str">
        <x:v>Thung 12 chai</x:v>
      </x:c>
      <x:c r="D38" s="37" t="str">
        <x:v>chai</x:v>
      </x:c>
      <x:c r="E38" s="37" t="n">
        <x:v>117</x:v>
      </x:c>
      <x:c r="F38" s="37"/>
      <x:c r="G38" s="37" t="str">
        <x:v>3. SINH TỐ GLOD</x:v>
      </x:c>
      <x:c r="H38" s="38" t="n">
        <x:v>42</x:v>
      </x:c>
    </x:row>
    <x:row r="39">
      <x:c r="A39" s="39" t="n">
        <x:v>41</x:v>
      </x:c>
      <x:c r="B39" s="30" t="str">
        <x:v>Sinh  To vải glod</x:v>
      </x:c>
      <x:c r="C39" s="30" t="str">
        <x:v>Thung 12 chai</x:v>
      </x:c>
      <x:c r="D39" s="37" t="str">
        <x:v>chai</x:v>
      </x:c>
      <x:c r="E39" s="37" t="n">
        <x:v>122</x:v>
      </x:c>
      <x:c r="F39" s="37"/>
      <x:c r="G39" s="37" t="str">
        <x:v>3. SINH TỐ GLOD</x:v>
      </x:c>
      <x:c r="H39" s="38" t="n">
        <x:v>43</x:v>
      </x:c>
    </x:row>
    <x:row r="40">
      <x:c r="A40" s="39" t="n">
        <x:v>42</x:v>
      </x:c>
      <x:c r="B40" s="30" t="str">
        <x:v>Sinh Tố Gol Nho</x:v>
      </x:c>
      <x:c r="C40" s="30" t="str">
        <x:v>Thùng12 chai</x:v>
      </x:c>
      <x:c r="D40" s="37" t="str">
        <x:v>Chai</x:v>
      </x:c>
      <x:c r="E40" s="37" t="n">
        <x:v>103</x:v>
      </x:c>
      <x:c r="F40" s="37"/>
      <x:c r="G40" s="37" t="str">
        <x:v>3. SINH TỐ GLOD</x:v>
      </x:c>
      <x:c r="H40" s="38" t="n">
        <x:v>44</x:v>
      </x:c>
    </x:row>
    <x:row r="41">
      <x:c r="A41" s="39" t="n">
        <x:v>44</x:v>
      </x:c>
      <x:c r="B41" s="30" t="str">
        <x:v>SINH TỐ VINA VẢI</x:v>
      </x:c>
      <x:c r="C41" s="30" t="str">
        <x:v>THÙNG 12 CHAI</x:v>
      </x:c>
      <x:c r="D41" s="37" t="str">
        <x:v>CHAI</x:v>
      </x:c>
      <x:c r="E41" s="37" t="n">
        <x:v>76</x:v>
      </x:c>
      <x:c r="F41" s="37" t="n">
        <x:v>74</x:v>
      </x:c>
      <x:c r="G41" s="37" t="str">
        <x:v>4.SINH TỐ VINA   1LIT</x:v>
      </x:c>
      <x:c r="H41" s="38" t="n">
        <x:v>46</x:v>
      </x:c>
    </x:row>
    <x:row r="42">
      <x:c r="A42" s="39" t="n">
        <x:v>45</x:v>
      </x:c>
      <x:c r="B42" s="30" t="str">
        <x:v>SINH TỐ VINA VIỆT QUỐC</x:v>
      </x:c>
      <x:c r="C42" s="30" t="str">
        <x:v>THÙNG 12 CHAI</x:v>
      </x:c>
      <x:c r="D42" s="37" t="str">
        <x:v>CHAI</x:v>
      </x:c>
      <x:c r="E42" s="37" t="n">
        <x:v>98</x:v>
      </x:c>
      <x:c r="F42" s="37" t="n">
        <x:v>96</x:v>
      </x:c>
      <x:c r="G42" s="37" t="str">
        <x:v>4.SINH TỐ VINA   1LIT</x:v>
      </x:c>
      <x:c r="H42" s="38" t="n">
        <x:v>47</x:v>
      </x:c>
    </x:row>
    <x:row r="43">
      <x:c r="A43" s="39" t="n">
        <x:v>46</x:v>
      </x:c>
      <x:c r="B43" s="30" t="str">
        <x:v>SINH TỐ VINA DÂU</x:v>
      </x:c>
      <x:c r="C43" s="30" t="str">
        <x:v>THÙNG 12 CHAI</x:v>
      </x:c>
      <x:c r="D43" s="37" t="str">
        <x:v>CHAI</x:v>
      </x:c>
      <x:c r="E43" s="37" t="n">
        <x:v>70</x:v>
      </x:c>
      <x:c r="F43" s="37" t="n">
        <x:v>68</x:v>
      </x:c>
      <x:c r="G43" s="37" t="str">
        <x:v>4.SINH TỐ VINA   1LIT</x:v>
      </x:c>
      <x:c r="H43" s="38" t="n">
        <x:v>48</x:v>
      </x:c>
    </x:row>
    <x:row r="44">
      <x:c r="A44" s="39" t="n">
        <x:v>47</x:v>
      </x:c>
      <x:c r="B44" s="30" t="str">
        <x:v>SINH TỐ VINA MÃNG CẦU</x:v>
      </x:c>
      <x:c r="C44" s="30" t="str">
        <x:v>THÙNG 12 CHAI</x:v>
      </x:c>
      <x:c r="D44" s="37" t="str">
        <x:v>CHAI</x:v>
      </x:c>
      <x:c r="E44" s="37" t="n">
        <x:v>80</x:v>
      </x:c>
      <x:c r="F44" s="37" t="n">
        <x:v>78</x:v>
      </x:c>
      <x:c r="G44" s="37" t="str">
        <x:v>4.SINH TỐ VINA   1LIT</x:v>
      </x:c>
      <x:c r="H44" s="38" t="n">
        <x:v>49</x:v>
      </x:c>
    </x:row>
    <x:row r="45">
      <x:c r="A45" s="39" t="n">
        <x:v>48</x:v>
      </x:c>
      <x:c r="B45" s="30" t="str">
        <x:v>SINH TỐ VINA KIWI</x:v>
      </x:c>
      <x:c r="C45" s="30" t="str">
        <x:v>THÙNG 12 CHAI</x:v>
      </x:c>
      <x:c r="D45" s="37" t="str">
        <x:v>CHAI</x:v>
      </x:c>
      <x:c r="E45" s="37" t="n">
        <x:v>82</x:v>
      </x:c>
      <x:c r="F45" s="37" t="n">
        <x:v>80</x:v>
      </x:c>
      <x:c r="G45" s="37" t="str">
        <x:v>4.SINH TỐ VINA   1LIT</x:v>
      </x:c>
      <x:c r="H45" s="38" t="n">
        <x:v>50</x:v>
      </x:c>
    </x:row>
    <x:row r="46">
      <x:c r="A46" s="39" t="n">
        <x:v>49</x:v>
      </x:c>
      <x:c r="B46" s="30" t="str">
        <x:v>SINH TỐ VINA CHANH DÂY</x:v>
      </x:c>
      <x:c r="C46" s="30" t="str">
        <x:v>THÙNG 12 CHAI</x:v>
      </x:c>
      <x:c r="D46" s="37" t="str">
        <x:v>CHAI</x:v>
      </x:c>
      <x:c r="E46" s="37" t="n">
        <x:v>72</x:v>
      </x:c>
      <x:c r="F46" s="37" t="n">
        <x:v>70</x:v>
      </x:c>
      <x:c r="G46" s="37" t="str">
        <x:v>4.SINH TỐ VINA   1LIT</x:v>
      </x:c>
      <x:c r="H46" s="38" t="n">
        <x:v>51</x:v>
      </x:c>
    </x:row>
    <x:row r="47">
      <x:c r="A47" s="39" t="n">
        <x:v>50</x:v>
      </x:c>
      <x:c r="B47" s="30" t="str">
        <x:v>SINH TỐ VINA ỔI</x:v>
      </x:c>
      <x:c r="C47" s="30" t="str">
        <x:v>THÙNG 12 CHAI</x:v>
      </x:c>
      <x:c r="D47" s="37" t="str">
        <x:v>CHAI</x:v>
      </x:c>
      <x:c r="E47" s="37" t="n">
        <x:v>70</x:v>
      </x:c>
      <x:c r="F47" s="37" t="n">
        <x:v>68</x:v>
      </x:c>
      <x:c r="G47" s="37" t="str">
        <x:v>4.SINH TỐ VINA   1LIT</x:v>
      </x:c>
      <x:c r="H47" s="38" t="n">
        <x:v>52</x:v>
      </x:c>
    </x:row>
    <x:row r="48">
      <x:c r="A48" s="39" t="n">
        <x:v>52</x:v>
      </x:c>
      <x:c r="B48" s="30" t="str">
        <x:v>SINH TỐ VINA ĐÀO</x:v>
      </x:c>
      <x:c r="C48" s="30" t="str">
        <x:v>THÙNG 24 CHAI</x:v>
      </x:c>
      <x:c r="D48" s="37" t="str">
        <x:v>CHAI</x:v>
      </x:c>
      <x:c r="E48" s="37" t="n">
        <x:v>45</x:v>
      </x:c>
      <x:c r="F48" s="37"/>
      <x:c r="G48" s="37" t="str">
        <x:v>5.SINH TỐ VINA   650gram</x:v>
      </x:c>
      <x:c r="H48" s="38" t="n">
        <x:v>54</x:v>
      </x:c>
    </x:row>
    <x:row r="49">
      <x:c r="A49" s="39" t="n">
        <x:v>53</x:v>
      </x:c>
      <x:c r="B49" s="30" t="str">
        <x:v>SINH TỐ VINA VIỆT QUỐC</x:v>
      </x:c>
      <x:c r="C49" s="30" t="str">
        <x:v>THÙNG 24 CHAI</x:v>
      </x:c>
      <x:c r="D49" s="37" t="str">
        <x:v>CHAI</x:v>
      </x:c>
      <x:c r="E49" s="37" t="n">
        <x:v>60</x:v>
      </x:c>
      <x:c r="F49" s="37"/>
      <x:c r="G49" s="37" t="str">
        <x:v>5.SINH TỐ VINA   650gram</x:v>
      </x:c>
      <x:c r="H49" s="38" t="n">
        <x:v>55</x:v>
      </x:c>
    </x:row>
    <x:row r="50">
      <x:c r="A50" s="39" t="n">
        <x:v>54</x:v>
      </x:c>
      <x:c r="B50" s="30" t="str">
        <x:v>SINH TỐ VINA DÂU</x:v>
      </x:c>
      <x:c r="C50" s="30" t="str">
        <x:v>THÙNG 24 CHAI</x:v>
      </x:c>
      <x:c r="D50" s="37" t="str">
        <x:v>CHAI</x:v>
      </x:c>
      <x:c r="E50" s="37" t="n">
        <x:v>45</x:v>
      </x:c>
      <x:c r="F50" s="37"/>
      <x:c r="G50" s="37" t="str">
        <x:v>5.SINH TỐ VINA   650gram</x:v>
      </x:c>
      <x:c r="H50" s="38" t="n">
        <x:v>56</x:v>
      </x:c>
    </x:row>
    <x:row r="51">
      <x:c r="A51" s="39" t="n">
        <x:v>55</x:v>
      </x:c>
      <x:c r="B51" s="30" t="str">
        <x:v>SINH TỐ VINA ỔI</x:v>
      </x:c>
      <x:c r="C51" s="30" t="str">
        <x:v>THÙNG 24 CHAI</x:v>
      </x:c>
      <x:c r="D51" s="37" t="str">
        <x:v>CHAI</x:v>
      </x:c>
      <x:c r="E51" s="37" t="n">
        <x:v>45</x:v>
      </x:c>
      <x:c r="F51" s="37"/>
      <x:c r="G51" s="37" t="str">
        <x:v>5.SINH TỐ VINA   650gram</x:v>
      </x:c>
      <x:c r="H51" s="38" t="n">
        <x:v>57</x:v>
      </x:c>
    </x:row>
    <x:row r="52">
      <x:c r="A52" s="39" t="n">
        <x:v>57</x:v>
      </x:c>
      <x:c r="B52" s="30" t="str">
        <x:v>Đuongden black 1 lit</x:v>
      </x:c>
      <x:c r="C52" s="30" t="str">
        <x:v>THÙNG 12 CHAI</x:v>
      </x:c>
      <x:c r="D52" s="37" t="str">
        <x:v>binh</x:v>
      </x:c>
      <x:c r="E52" s="37" t="n">
        <x:v>76</x:v>
      </x:c>
      <x:c r="F52" s="37"/>
      <x:c r="G52" s="37" t="str">
        <x:v>6. ĐƯỜNG ĐEN</x:v>
      </x:c>
      <x:c r="H52" s="38" t="n">
        <x:v>59</x:v>
      </x:c>
    </x:row>
    <x:row r="53">
      <x:c r="A53" s="39" t="n">
        <x:v>58</x:v>
      </x:c>
      <x:c r="B53" s="30" t="str">
        <x:v>Đuongden black 2 lit</x:v>
      </x:c>
      <x:c r="C53" s="30" t="str">
        <x:v>THÙNG 6 BÌNH</x:v>
      </x:c>
      <x:c r="D53" s="37" t="str">
        <x:v>binh</x:v>
      </x:c>
      <x:c r="E53" s="37" t="n">
        <x:v>142</x:v>
      </x:c>
      <x:c r="F53" s="37"/>
      <x:c r="G53" s="37" t="str">
        <x:v>6. ĐƯỜNG ĐEN</x:v>
      </x:c>
      <x:c r="H53" s="38" t="n">
        <x:v>60</x:v>
      </x:c>
    </x:row>
    <x:row r="54">
      <x:c r="A54" s="39" t="n">
        <x:v>59</x:v>
      </x:c>
      <x:c r="B54" s="30" t="str">
        <x:v>Đuong den A+</x:v>
      </x:c>
      <x:c r="C54" s="30" t="str">
        <x:v>THÙNG 24 CHAI</x:v>
      </x:c>
      <x:c r="D54" s="37" t="str">
        <x:v>CHAI</x:v>
      </x:c>
      <x:c r="E54" s="37" t="n">
        <x:v>27</x:v>
      </x:c>
      <x:c r="F54" s="37"/>
      <x:c r="G54" s="37" t="str">
        <x:v>6. ĐƯỜNG ĐEN</x:v>
      </x:c>
      <x:c r="H54" s="38" t="n">
        <x:v>61</x:v>
      </x:c>
    </x:row>
    <x:row r="55">
      <x:c r="A55" s="39" t="n">
        <x:v>60</x:v>
      </x:c>
      <x:c r="B55" s="30" t="str">
        <x:v>Đường đen MONITA</x:v>
      </x:c>
      <x:c r="C55" s="30" t="str">
        <x:v>bao 16kg</x:v>
      </x:c>
      <x:c r="D55" s="37" t="str">
        <x:v>bịch</x:v>
      </x:c>
      <x:c r="E55" s="37" t="n">
        <x:v>62</x:v>
      </x:c>
      <x:c r="F55" s="37" t="n">
        <x:v>60</x:v>
      </x:c>
      <x:c r="G55" s="37" t="str">
        <x:v>6. ĐƯỜNG ĐEN</x:v>
      </x:c>
      <x:c r="H55" s="38" t="n">
        <x:v>62</x:v>
      </x:c>
    </x:row>
    <x:row r="56">
      <x:c r="A56" s="39" t="n">
        <x:v>61</x:v>
      </x:c>
      <x:c r="B56" s="30" t="str">
        <x:v>Đường NÂU MONITA</x:v>
      </x:c>
      <x:c r="C56" s="30" t="str">
        <x:v>bao 16kg</x:v>
      </x:c>
      <x:c r="D56" s="37" t="str">
        <x:v>bịch</x:v>
      </x:c>
      <x:c r="E56" s="37" t="n">
        <x:v>45</x:v>
      </x:c>
      <x:c r="F56" s="37"/>
      <x:c r="G56" s="37" t="str">
        <x:v>6. ĐƯỜNG ĐEN</x:v>
      </x:c>
      <x:c r="H56" s="38" t="n">
        <x:v>63</x:v>
      </x:c>
    </x:row>
    <x:row r="57">
      <x:c r="A57" s="39" t="n">
        <x:v>62</x:v>
      </x:c>
      <x:c r="B57" s="30" t="str">
        <x:v>Đường đen Đài Loan TÚI BẠC</x:v>
      </x:c>
      <x:c r="C57" s="30" t="str">
        <x:v>Thùng 12kg</x:v>
      </x:c>
      <x:c r="D57" s="37" t="str">
        <x:v>bịch</x:v>
      </x:c>
      <x:c r="E57" s="37" t="n">
        <x:v>53</x:v>
      </x:c>
      <x:c r="F57" s="37"/>
      <x:c r="G57" s="37" t="str">
        <x:v>6. ĐƯỜNG ĐEN</x:v>
      </x:c>
      <x:c r="H57" s="38" t="n">
        <x:v>64</x:v>
      </x:c>
    </x:row>
    <x:row r="58">
      <x:c r="A58" s="39" t="n">
        <x:v>63</x:v>
      </x:c>
      <x:c r="B58" s="30" t="str">
        <x:v>Đường đen mola</x:v>
      </x:c>
      <x:c r="C58" s="30" t="str">
        <x:v>thùng 12 chai</x:v>
      </x:c>
      <x:c r="D58" s="37" t="str">
        <x:v>chai</x:v>
      </x:c>
      <x:c r="E58" s="37" t="n">
        <x:v>82</x:v>
      </x:c>
      <x:c r="F58" s="37"/>
      <x:c r="G58" s="37" t="str">
        <x:v>6. ĐƯỜNG ĐEN</x:v>
      </x:c>
      <x:c r="H58" s="38" t="n">
        <x:v>65</x:v>
      </x:c>
    </x:row>
    <x:row r="59">
      <x:c r="A59" s="39" t="n">
        <x:v>64</x:v>
      </x:c>
      <x:c r="B59" s="30" t="str">
        <x:v>Đường đen Euro Deli</x:v>
      </x:c>
      <x:c r="C59" s="30" t="str">
        <x:v>Thùng 6 bình</x:v>
      </x:c>
      <x:c r="D59" s="37" t="str">
        <x:v>bình</x:v>
      </x:c>
      <x:c r="E59" s="37" t="n">
        <x:v>280</x:v>
      </x:c>
      <x:c r="F59" s="37"/>
      <x:c r="G59" s="37" t="str">
        <x:v>6. ĐƯỜNG ĐEN</x:v>
      </x:c>
      <x:c r="H59" s="38" t="n">
        <x:v>66</x:v>
      </x:c>
    </x:row>
    <x:row r="60">
      <x:c r="A60" s="39" t="n">
        <x:v>65</x:v>
      </x:c>
      <x:c r="B60" s="30" t="str">
        <x:v>Đường đen Douxian</x:v>
      </x:c>
      <x:c r="C60" s="30" t="str">
        <x:v>Thùng 6 bình</x:v>
      </x:c>
      <x:c r="D60" s="37" t="str">
        <x:v>bình</x:v>
      </x:c>
      <x:c r="E60" s="37" t="n">
        <x:v>126</x:v>
      </x:c>
      <x:c r="F60" s="37"/>
      <x:c r="G60" s="37" t="str">
        <x:v>6. ĐƯỜNG ĐEN</x:v>
      </x:c>
      <x:c r="H60" s="38" t="n">
        <x:v>67</x:v>
      </x:c>
    </x:row>
    <x:row r="61">
      <x:c r="A61" s="39" t="n">
        <x:v>66</x:v>
      </x:c>
      <x:c r="B61" s="30" t="str">
        <x:v>Duong den falu</x:v>
      </x:c>
      <x:c r="C61" s="30" t="str">
        <x:v>THÙNG 6 BÌNH</x:v>
      </x:c>
      <x:c r="D61" s="37" t="str">
        <x:v>bình</x:v>
      </x:c>
      <x:c r="E61" s="37" t="n">
        <x:v>193</x:v>
      </x:c>
      <x:c r="F61" s="37"/>
      <x:c r="G61" s="37" t="str">
        <x:v>6. ĐƯỜNG ĐEN</x:v>
      </x:c>
      <x:c r="H61" s="38" t="n">
        <x:v>68</x:v>
      </x:c>
    </x:row>
    <x:row r="62">
      <x:c r="A62" s="39" t="n">
        <x:v>67</x:v>
      </x:c>
      <x:c r="B62" s="30" t="str">
        <x:v>Đường nuoc Deasang</x:v>
      </x:c>
      <x:c r="C62" s="30" t="str">
        <x:v>thung 25kg</x:v>
      </x:c>
      <x:c r="D62" s="37" t="str">
        <x:v>thùng</x:v>
      </x:c>
      <x:c r="E62" s="37" t="n">
        <x:v>570</x:v>
      </x:c>
      <x:c r="F62" s="37"/>
      <x:c r="G62" s="37" t="str">
        <x:v>6. ĐƯỜNG ĐEN</x:v>
      </x:c>
      <x:c r="H62" s="38" t="n">
        <x:v>69</x:v>
      </x:c>
    </x:row>
    <x:row r="63">
      <x:c r="A63" s="39" t="n">
        <x:v>68</x:v>
      </x:c>
      <x:c r="B63" s="30" t="str">
        <x:v>Siro Douxian A+</x:v>
      </x:c>
      <x:c r="C63" s="30" t="str">
        <x:v>Thùng 24 chai</x:v>
      </x:c>
      <x:c r="D63" s="37" t="str">
        <x:v>Chai</x:v>
      </x:c>
      <x:c r="E63" s="37" t="n">
        <x:v>27</x:v>
      </x:c>
      <x:c r="F63" s="37"/>
      <x:c r="G63" s="37" t="str">
        <x:v>6. ĐƯỜNG ĐEN</x:v>
      </x:c>
      <x:c r="H63" s="38" t="n">
        <x:v>70</x:v>
      </x:c>
    </x:row>
    <x:row r="64">
      <x:c r="A64" s="39" t="n">
        <x:v>70</x:v>
      </x:c>
      <x:c r="B64" s="30" t="str">
        <x:v>TC đường đen Duoxian 1kg</x:v>
      </x:c>
      <x:c r="C64" s="30" t="str">
        <x:v>Thùng 18 gói</x:v>
      </x:c>
      <x:c r="D64" s="37" t="str">
        <x:v>bịch</x:v>
      </x:c>
      <x:c r="E64" s="37" t="n">
        <x:v>30</x:v>
      </x:c>
      <x:c r="F64" s="37"/>
      <x:c r="G64" s="37" t="str">
        <x:v>7.  TRÂN CHÂU</x:v>
      </x:c>
      <x:c r="H64" s="38" t="n">
        <x:v>72</x:v>
      </x:c>
    </x:row>
    <x:row r="65">
      <x:c r="A65" s="39" t="n">
        <x:v>71</x:v>
      </x:c>
      <x:c r="B65" s="30" t="str">
        <x:v>TC đường đen Duoxian 2kg</x:v>
      </x:c>
      <x:c r="C65" s="30" t="str">
        <x:v>Thùng 10 gói</x:v>
      </x:c>
      <x:c r="D65" s="37" t="str">
        <x:v>bịch</x:v>
      </x:c>
      <x:c r="E65" s="37" t="n">
        <x:v>54</x:v>
      </x:c>
      <x:c r="F65" s="37"/>
      <x:c r="G65" s="37" t="str">
        <x:v>7.  TRÂN CHÂU</x:v>
      </x:c>
      <x:c r="H65" s="38" t="n">
        <x:v>73</x:v>
      </x:c>
    </x:row>
    <x:row r="66">
      <x:c r="A66" s="39" t="n">
        <x:v>72</x:v>
      </x:c>
      <x:c r="B66" s="30" t="str">
        <x:v>TC đường đen Duoxian 3kg</x:v>
      </x:c>
      <x:c r="C66" s="30" t="str">
        <x:v>Thùng 6 gói</x:v>
      </x:c>
      <x:c r="D66" s="37" t="str">
        <x:v>bịch</x:v>
      </x:c>
      <x:c r="E66" s="37" t="n">
        <x:v>94</x:v>
      </x:c>
      <x:c r="F66" s="37"/>
      <x:c r="G66" s="37" t="str">
        <x:v>7.  TRÂN CHÂU</x:v>
      </x:c>
      <x:c r="H66" s="38" t="n">
        <x:v>74</x:v>
      </x:c>
    </x:row>
    <x:row r="67">
      <x:c r="A67" s="39" t="n">
        <x:v>73</x:v>
      </x:c>
      <x:c r="B67" s="30" t="str">
        <x:v>TC hoàng kim Duoxian 1kg</x:v>
      </x:c>
      <x:c r="C67" s="30" t="str">
        <x:v>Thùng 18 gói</x:v>
      </x:c>
      <x:c r="D67" s="37" t="str">
        <x:v>bịch</x:v>
      </x:c>
      <x:c r="E67" s="37" t="n">
        <x:v>30</x:v>
      </x:c>
      <x:c r="F67" s="37"/>
      <x:c r="G67" s="37" t="str">
        <x:v>7.  TRÂN CHÂU</x:v>
      </x:c>
      <x:c r="H67" s="38" t="n">
        <x:v>75</x:v>
      </x:c>
    </x:row>
    <x:row r="68">
      <x:c r="A68" s="39" t="n">
        <x:v>74</x:v>
      </x:c>
      <x:c r="B68" s="30" t="str">
        <x:v>TC hoàng kim Duoxian 3kg</x:v>
      </x:c>
      <x:c r="C68" s="30" t="str">
        <x:v>Thùng 6 gói</x:v>
      </x:c>
      <x:c r="D68" s="37" t="str">
        <x:v>bịch</x:v>
      </x:c>
      <x:c r="E68" s="37" t="n">
        <x:v>94</x:v>
      </x:c>
      <x:c r="F68" s="37"/>
      <x:c r="G68" s="37" t="str">
        <x:v>7.  TRÂN CHÂU</x:v>
      </x:c>
      <x:c r="H68" s="38" t="n">
        <x:v>76</x:v>
      </x:c>
    </x:row>
    <x:row r="69">
      <x:c r="A69" s="39" t="n">
        <x:v>75</x:v>
      </x:c>
      <x:c r="B69" s="30" t="str">
        <x:v>Tc Cafe Gia Uy mini</x:v>
      </x:c>
      <x:c r="C69" s="30" t="str">
        <x:v>Thùng 10 gói</x:v>
      </x:c>
      <x:c r="D69" s="37" t="str">
        <x:v>bịch</x:v>
      </x:c>
      <x:c r="E69" s="37" t="n">
        <x:v>55</x:v>
      </x:c>
      <x:c r="F69" s="37"/>
      <x:c r="G69" s="37" t="str">
        <x:v>7.  TRÂN CHÂU</x:v>
      </x:c>
      <x:c r="H69" s="38" t="n">
        <x:v>77</x:v>
      </x:c>
    </x:row>
    <x:row r="70">
      <x:c r="A70" s="39" t="n">
        <x:v>76</x:v>
      </x:c>
      <x:c r="B70" s="30" t="str">
        <x:v>Tc đường đen Gia Uy</x:v>
      </x:c>
      <x:c r="C70" s="30" t="str">
        <x:v>Thùng 10 gói</x:v>
      </x:c>
      <x:c r="D70" s="37" t="str">
        <x:v>bịch</x:v>
      </x:c>
      <x:c r="E70" s="37" t="n">
        <x:v>57</x:v>
      </x:c>
      <x:c r="F70" s="37"/>
      <x:c r="G70" s="37" t="str">
        <x:v>7.  TRÂN CHÂU</x:v>
      </x:c>
      <x:c r="H70" s="38" t="n">
        <x:v>78</x:v>
      </x:c>
    </x:row>
    <x:row r="71">
      <x:c r="A71" s="39" t="n">
        <x:v>77</x:v>
      </x:c>
      <x:c r="B71" s="30" t="str">
        <x:v>Tc trắng Gia Uy</x:v>
      </x:c>
      <x:c r="C71" s="30" t="str">
        <x:v>Thùng 10 gói</x:v>
      </x:c>
      <x:c r="D71" s="37" t="str">
        <x:v>bịch</x:v>
      </x:c>
      <x:c r="E71" s="37" t="n">
        <x:v>59</x:v>
      </x:c>
      <x:c r="F71" s="37"/>
      <x:c r="G71" s="37" t="str">
        <x:v>7.  TRÂN CHÂU</x:v>
      </x:c>
      <x:c r="H71" s="38" t="n">
        <x:v>79</x:v>
      </x:c>
    </x:row>
    <x:row r="72">
      <x:c r="A72" s="39" t="n">
        <x:v>78</x:v>
      </x:c>
      <x:c r="B72" s="30" t="str">
        <x:v>Tc Cafe Gia Uy</x:v>
      </x:c>
      <x:c r="C72" s="30" t="str">
        <x:v>Thùng 10 gói</x:v>
      </x:c>
      <x:c r="D72" s="37" t="str">
        <x:v>bịch</x:v>
      </x:c>
      <x:c r="E72" s="37" t="n">
        <x:v>55</x:v>
      </x:c>
      <x:c r="F72" s="37"/>
      <x:c r="G72" s="37" t="str">
        <x:v>7.  TRÂN CHÂU</x:v>
      </x:c>
      <x:c r="H72" s="38" t="n">
        <x:v>80</x:v>
      </x:c>
    </x:row>
    <x:row r="73">
      <x:c r="A73" s="39" t="n">
        <x:v>79</x:v>
      </x:c>
      <x:c r="B73" s="30" t="str">
        <x:v>TC MINH HANH 1 KG KUNHAN</x:v>
      </x:c>
      <x:c r="C73" s="30" t="str">
        <x:v>Thùng 20 gói</x:v>
      </x:c>
      <x:c r="D73" s="37" t="str">
        <x:v>bịch</x:v>
      </x:c>
      <x:c r="E73" s="37" t="n">
        <x:v>25</x:v>
      </x:c>
      <x:c r="F73" s="37" t="n">
        <x:v>24</x:v>
      </x:c>
      <x:c r="G73" s="37" t="str">
        <x:v>7.  TRÂN CHÂU</x:v>
      </x:c>
      <x:c r="H73" s="38" t="n">
        <x:v>81</x:v>
      </x:c>
    </x:row>
    <x:row r="74">
      <x:c r="A74" s="39" t="n">
        <x:v>80</x:v>
      </x:c>
      <x:c r="B74" s="30" t="str">
        <x:v>TC đđ Kuhan 2kG</x:v>
      </x:c>
      <x:c r="C74" s="30" t="str">
        <x:v>Thùng 10 hộp</x:v>
      </x:c>
      <x:c r="D74" s="37" t="str">
        <x:v>HỘP</x:v>
      </x:c>
      <x:c r="E74" s="37" t="n">
        <x:v>52</x:v>
      </x:c>
      <x:c r="F74" s="37" t="n">
        <x:v>50</x:v>
      </x:c>
      <x:c r="G74" s="37" t="str">
        <x:v>7.  TRÂN CHÂU</x:v>
      </x:c>
      <x:c r="H74" s="38" t="n">
        <x:v>82</x:v>
      </x:c>
    </x:row>
    <x:row r="75">
      <x:c r="A75" s="39" t="n">
        <x:v>81</x:v>
      </x:c>
      <x:c r="B75" s="30" t="str">
        <x:v>TC đđ kuhan 3KG</x:v>
      </x:c>
      <x:c r="C75" s="30" t="str">
        <x:v>Thùng 20 gói</x:v>
      </x:c>
      <x:c r="D75" s="37" t="str">
        <x:v>HỘP</x:v>
      </x:c>
      <x:c r="E75" s="37" t="n">
        <x:v>78</x:v>
      </x:c>
      <x:c r="F75" s="37" t="n">
        <x:v>76</x:v>
      </x:c>
      <x:c r="G75" s="37" t="str">
        <x:v>7.  TRÂN CHÂU</x:v>
      </x:c>
      <x:c r="H75" s="38" t="n">
        <x:v>83</x:v>
      </x:c>
    </x:row>
    <x:row r="76">
      <x:c r="A76" s="39" t="n">
        <x:v>83</x:v>
      </x:c>
      <x:c r="B76" s="30" t="str">
        <x:v>3Q Bibi TRĂNG</x:v>
      </x:c>
      <x:c r="C76" s="30" t="str">
        <x:v>Thùng 6 gói</x:v>
      </x:c>
      <x:c r="D76" s="37" t="str">
        <x:v>gói</x:v>
      </x:c>
      <x:c r="E76" s="37" t="n">
        <x:v>50</x:v>
      </x:c>
      <x:c r="F76" s="37"/>
      <x:c r="G76" s="37" t="str">
        <x:v>8. 3Q Gion</x:v>
      </x:c>
      <x:c r="H76" s="38" t="n">
        <x:v>85</x:v>
      </x:c>
    </x:row>
    <x:row r="77">
      <x:c r="A77" s="39" t="n">
        <x:v>84</x:v>
      </x:c>
      <x:c r="B77" s="30" t="str">
        <x:v>3Q Bibi đen</x:v>
      </x:c>
      <x:c r="C77" s="30" t="str">
        <x:v>Thùng 6 gói</x:v>
      </x:c>
      <x:c r="D77" s="37" t="str">
        <x:v>gói</x:v>
      </x:c>
      <x:c r="E77" s="37" t="n">
        <x:v>52</x:v>
      </x:c>
      <x:c r="F77" s="37"/>
      <x:c r="G77" s="37" t="str">
        <x:v>8. 3Q Gion</x:v>
      </x:c>
      <x:c r="H77" s="38" t="n">
        <x:v>86</x:v>
      </x:c>
    </x:row>
    <x:row r="78">
      <x:c r="A78" s="39" t="n">
        <x:v>85</x:v>
      </x:c>
      <x:c r="B78" s="30" t="str">
        <x:v>3Q Sea Trắng</x:v>
      </x:c>
      <x:c r="C78" s="30" t="str">
        <x:v>Thùng 6 gói</x:v>
      </x:c>
      <x:c r="D78" s="37" t="str">
        <x:v>bịch</x:v>
      </x:c>
      <x:c r="E78" s="37" t="n">
        <x:v>48</x:v>
      </x:c>
      <x:c r="F78" s="37" t="n">
        <x:v>47</x:v>
      </x:c>
      <x:c r="G78" s="37" t="str">
        <x:v>8. 3Q Gion</x:v>
      </x:c>
      <x:c r="H78" s="38" t="n">
        <x:v>87</x:v>
      </x:c>
    </x:row>
    <x:row r="79">
      <x:c r="A79" s="39" t="n">
        <x:v>86</x:v>
      </x:c>
      <x:c r="B79" s="30" t="str">
        <x:v>3Q sea đen</x:v>
      </x:c>
      <x:c r="C79" s="30" t="str">
        <x:v>Thùng 6 gói</x:v>
      </x:c>
      <x:c r="D79" s="37" t="str">
        <x:v>bịch</x:v>
      </x:c>
      <x:c r="E79" s="37" t="n">
        <x:v>50</x:v>
      </x:c>
      <x:c r="F79" s="37"/>
      <x:c r="G79" s="37" t="str">
        <x:v>8. 3Q Gion</x:v>
      </x:c>
      <x:c r="H79" s="38" t="n">
        <x:v>88</x:v>
      </x:c>
    </x:row>
    <x:row r="80">
      <x:c r="A80" s="39" t="n">
        <x:v>87</x:v>
      </x:c>
      <x:c r="B80" s="30" t="str">
        <x:v>3Q Zion trang</x:v>
      </x:c>
      <x:c r="C80" s="30" t="str">
        <x:v>Thùng 6 gói</x:v>
      </x:c>
      <x:c r="D80" s="37" t="str">
        <x:v>bịch</x:v>
      </x:c>
      <x:c r="E80" s="37" t="n">
        <x:v>50</x:v>
      </x:c>
      <x:c r="F80" s="37" t="n">
        <x:v>49</x:v>
      </x:c>
      <x:c r="G80" s="37" t="str">
        <x:v>8. 3Q Gion</x:v>
      </x:c>
      <x:c r="H80" s="38" t="n">
        <x:v>89</x:v>
      </x:c>
    </x:row>
    <x:row r="81">
      <x:c r="A81" s="39" t="n">
        <x:v>88</x:v>
      </x:c>
      <x:c r="B81" s="30" t="str">
        <x:v>3Q Zion đen</x:v>
      </x:c>
      <x:c r="C81" s="30" t="str">
        <x:v>Thùng 6 gói</x:v>
      </x:c>
      <x:c r="D81" s="37" t="str">
        <x:v>bịch</x:v>
      </x:c>
      <x:c r="E81" s="37" t="n">
        <x:v>52</x:v>
      </x:c>
      <x:c r="F81" s="37"/>
      <x:c r="G81" s="37" t="str">
        <x:v>8. 3Q Gion</x:v>
      </x:c>
      <x:c r="H81" s="38" t="n">
        <x:v>90</x:v>
      </x:c>
    </x:row>
    <x:row r="82">
      <x:c r="A82" s="39" t="n">
        <x:v>89</x:v>
      </x:c>
      <x:c r="B82" s="30" t="str">
        <x:v>3Q Ok trang</x:v>
      </x:c>
      <x:c r="C82" s="30" t="str">
        <x:v>Thùng 6 gói</x:v>
      </x:c>
      <x:c r="D82" s="37" t="str">
        <x:v>gói</x:v>
      </x:c>
      <x:c r="E82" s="37" t="n">
        <x:v>55</x:v>
      </x:c>
      <x:c r="F82" s="37"/>
      <x:c r="G82" s="37" t="str">
        <x:v>8. 3Q Gion</x:v>
      </x:c>
      <x:c r="H82" s="38" t="n">
        <x:v>91</x:v>
      </x:c>
    </x:row>
    <x:row r="83">
      <x:c r="A83" s="39" t="n">
        <x:v>90</x:v>
      </x:c>
      <x:c r="B83" s="30" t="str">
        <x:v>3Q ok olong</x:v>
      </x:c>
      <x:c r="C83" s="30" t="str">
        <x:v>thung 6 goi</x:v>
      </x:c>
      <x:c r="D83" s="37" t="str">
        <x:v>goi</x:v>
      </x:c>
      <x:c r="E83" s="37" t="n">
        <x:v>63</x:v>
      </x:c>
      <x:c r="F83" s="37"/>
      <x:c r="G83" s="37" t="str">
        <x:v>8. 3Q Gion</x:v>
      </x:c>
      <x:c r="H83" s="38" t="n">
        <x:v>92</x:v>
      </x:c>
    </x:row>
    <x:row r="84">
      <x:c r="A84" s="39" t="n">
        <x:v>91</x:v>
      </x:c>
      <x:c r="B84" s="30" t="str">
        <x:v>3Q Douxian hủ</x:v>
      </x:c>
      <x:c r="C84" s="30" t="str">
        <x:v>Thùng 6 hủ</x:v>
      </x:c>
      <x:c r="D84" s="37" t="str">
        <x:v>hủ</x:v>
      </x:c>
      <x:c r="E84" s="37" t="n">
        <x:v>70</x:v>
      </x:c>
      <x:c r="F84" s="37"/>
      <x:c r="G84" s="37" t="str">
        <x:v>8. 3Q Gion</x:v>
      </x:c>
      <x:c r="H84" s="38" t="n">
        <x:v>93</x:v>
      </x:c>
    </x:row>
    <x:row r="85">
      <x:c r="A85" s="39" t="n">
        <x:v>92</x:v>
      </x:c>
      <x:c r="B85" s="30" t="str">
        <x:v>Thạch Douxian các loại</x:v>
      </x:c>
      <x:c r="C85" s="30" t="str">
        <x:v>Thùng 6 hủ</x:v>
      </x:c>
      <x:c r="D85" s="37" t="str">
        <x:v>hủ</x:v>
      </x:c>
      <x:c r="E85" s="37" t="n">
        <x:v>70</x:v>
      </x:c>
      <x:c r="F85" s="37"/>
      <x:c r="G85" s="37" t="str">
        <x:v>8. 3Q Gion</x:v>
      </x:c>
      <x:c r="H85" s="38" t="n">
        <x:v>94</x:v>
      </x:c>
    </x:row>
    <x:row r="86">
      <x:c r="A86" s="39" t="n">
        <x:v>93</x:v>
      </x:c>
      <x:c r="B86" s="30" t="str">
        <x:v>Thạch Hùng Chương jelly</x:v>
      </x:c>
      <x:c r="C86" s="30" t="str">
        <x:v>Thùng 6 hủ</x:v>
      </x:c>
      <x:c r="D86" s="37" t="str">
        <x:v>hủ</x:v>
      </x:c>
      <x:c r="E86" s="37" t="n">
        <x:v>110</x:v>
      </x:c>
      <x:c r="F86" s="37"/>
      <x:c r="G86" s="37" t="str">
        <x:v>8. 3Q Gion</x:v>
      </x:c>
      <x:c r="H86" s="38" t="n">
        <x:v>95</x:v>
      </x:c>
    </x:row>
    <x:row r="87">
      <x:c r="A87" s="39" t="n">
        <x:v>94</x:v>
      </x:c>
      <x:c r="B87" s="30" t="str">
        <x:v>Thủy Tinh Hùng Chương</x:v>
      </x:c>
      <x:c r="C87" s="30" t="str">
        <x:v>Thùng 4 hủ</x:v>
      </x:c>
      <x:c r="D87" s="37" t="str">
        <x:v>hủ</x:v>
      </x:c>
      <x:c r="E87" s="37" t="n">
        <x:v>200</x:v>
      </x:c>
      <x:c r="F87" s="37"/>
      <x:c r="G87" s="37" t="str">
        <x:v>8. 3Q Gion</x:v>
      </x:c>
      <x:c r="H87" s="38" t="n">
        <x:v>96</x:v>
      </x:c>
    </x:row>
    <x:row r="88">
      <x:c r="A88" s="39" t="n">
        <x:v>96</x:v>
      </x:c>
      <x:c r="B88" s="30" t="str">
        <x:v>Sốt Socola Hershey</x:v>
      </x:c>
      <x:c r="C88" s="30" t="str">
        <x:v>Thùng 12 chai</x:v>
      </x:c>
      <x:c r="D88" s="37" t="str">
        <x:v>Chai</x:v>
      </x:c>
      <x:c r="E88" s="37" t="n">
        <x:v>155</x:v>
      </x:c>
      <x:c r="F88" s="37"/>
      <x:c r="G88" s="37" t="str">
        <x:v>9. Sôt Topping</x:v>
      </x:c>
      <x:c r="H88" s="38" t="n">
        <x:v>98</x:v>
      </x:c>
    </x:row>
    <x:row r="89">
      <x:c r="A89" s="39" t="n">
        <x:v>97</x:v>
      </x:c>
      <x:c r="B89" s="30" t="str">
        <x:v>Sốt Douxian các loại</x:v>
      </x:c>
      <x:c r="C89" s="30" t="str">
        <x:v>Thùng 12 chai</x:v>
      </x:c>
      <x:c r="D89" s="37" t="str">
        <x:v>Chai</x:v>
      </x:c>
      <x:c r="E89" s="37" t="n">
        <x:v>53</x:v>
      </x:c>
      <x:c r="F89" s="37"/>
      <x:c r="G89" s="37" t="str">
        <x:v>9. Sôt Topping</x:v>
      </x:c>
      <x:c r="H89" s="38" t="n">
        <x:v>99</x:v>
      </x:c>
    </x:row>
    <x:row r="90">
      <x:c r="A90" s="39" t="n">
        <x:v>98</x:v>
      </x:c>
      <x:c r="B90" s="30" t="str">
        <x:v>Sốt Gold Matcha</x:v>
      </x:c>
      <x:c r="C90" s="30" t="str">
        <x:v>Thùng 12 chai</x:v>
      </x:c>
      <x:c r="D90" s="37" t="str">
        <x:v>Chai</x:v>
      </x:c>
      <x:c r="E90" s="37" t="n">
        <x:v>74</x:v>
      </x:c>
      <x:c r="F90" s="37"/>
      <x:c r="G90" s="37" t="str">
        <x:v>9. Sôt Topping</x:v>
      </x:c>
      <x:c r="H90" s="38" t="n">
        <x:v>100</x:v>
      </x:c>
    </x:row>
    <x:row r="91">
      <x:c r="A91" s="39" t="n">
        <x:v>99</x:v>
      </x:c>
      <x:c r="B91" s="30" t="str">
        <x:v>Sốt Gold  SÔ</x:v>
      </x:c>
      <x:c r="C91" s="30" t="str">
        <x:v>Thùng 12 chai</x:v>
      </x:c>
      <x:c r="D91" s="37" t="str">
        <x:v>Chai</x:v>
      </x:c>
      <x:c r="E91" s="37" t="n">
        <x:v>71</x:v>
      </x:c>
      <x:c r="F91" s="37"/>
      <x:c r="G91" s="37" t="str">
        <x:v>9. Sôt Topping</x:v>
      </x:c>
      <x:c r="H91" s="38" t="n">
        <x:v>101</x:v>
      </x:c>
    </x:row>
    <x:row r="92">
      <x:c r="A92" s="39" t="n">
        <x:v>100</x:v>
      </x:c>
      <x:c r="B92" s="30" t="str">
        <x:v>Sốt Gold  MÔN</x:v>
      </x:c>
      <x:c r="C92" s="30" t="str">
        <x:v>Thùng 12 chai</x:v>
      </x:c>
      <x:c r="D92" s="37" t="str">
        <x:v>Chai</x:v>
      </x:c>
      <x:c r="E92" s="37" t="n">
        <x:v>66</x:v>
      </x:c>
      <x:c r="F92" s="37"/>
      <x:c r="G92" s="37" t="str">
        <x:v>9. Sôt Topping</x:v>
      </x:c>
      <x:c r="H92" s="38" t="n">
        <x:v>102</x:v>
      </x:c>
    </x:row>
    <x:row r="93">
      <x:c r="A93" s="39" t="n">
        <x:v>101</x:v>
      </x:c>
      <x:c r="B93" s="30" t="str">
        <x:v>Sốt Gold khác</x:v>
      </x:c>
      <x:c r="C93" s="30" t="str">
        <x:v>Thùng 12 chai</x:v>
      </x:c>
      <x:c r="D93" s="37" t="str">
        <x:v>Chai</x:v>
      </x:c>
      <x:c r="E93" s="37" t="n">
        <x:v>62</x:v>
      </x:c>
      <x:c r="F93" s="37"/>
      <x:c r="G93" s="37" t="str">
        <x:v>9. Sôt Topping</x:v>
      </x:c>
      <x:c r="H93" s="38" t="n">
        <x:v>103</x:v>
      </x:c>
    </x:row>
    <x:row r="94">
      <x:c r="A94" s="39" t="n">
        <x:v>103</x:v>
      </x:c>
      <x:c r="B94" s="30" t="str">
        <x:v>Đào lon Rhodes giật</x:v>
      </x:c>
      <x:c r="C94" s="30" t="str">
        <x:v>Thùng 12 lon</x:v>
      </x:c>
      <x:c r="D94" s="37" t="str">
        <x:v>lon</x:v>
      </x:c>
      <x:c r="E94" s="37" t="n">
        <x:v>62</x:v>
      </x:c>
      <x:c r="F94" s="37"/>
      <x:c r="G94" s="37" t="str">
        <x:v>10. TRAI CÂY HÔP</x:v>
      </x:c>
      <x:c r="H94" s="38" t="n">
        <x:v>105</x:v>
      </x:c>
    </x:row>
    <x:row r="95">
      <x:c r="A95" s="39" t="n">
        <x:v>104</x:v>
      </x:c>
      <x:c r="B95" s="30" t="str">
        <x:v>Đào lon Thái</x:v>
      </x:c>
      <x:c r="C95" s="30" t="str">
        <x:v>Thùng 12 lon</x:v>
      </x:c>
      <x:c r="D95" s="37" t="str">
        <x:v>lon</x:v>
      </x:c>
      <x:c r="E95" s="37" t="n">
        <x:v>29</x:v>
      </x:c>
      <x:c r="F95" s="37"/>
      <x:c r="G95" s="37" t="str">
        <x:v>10. TRAI CÂY HÔP</x:v>
      </x:c>
      <x:c r="H95" s="38" t="n">
        <x:v>106</x:v>
      </x:c>
    </x:row>
    <x:row r="96">
      <x:c r="A96" s="39" t="n">
        <x:v>105</x:v>
      </x:c>
      <x:c r="B96" s="30" t="str">
        <x:v>Đào contree</x:v>
      </x:c>
      <x:c r="C96" s="30" t="str">
        <x:v>Thùng 12 lon</x:v>
      </x:c>
      <x:c r="D96" s="37" t="str">
        <x:v>lon</x:v>
      </x:c>
      <x:c r="E96" s="37" t="n">
        <x:v>32</x:v>
      </x:c>
      <x:c r="F96" s="37"/>
      <x:c r="G96" s="37" t="str">
        <x:v>10. TRAI CÂY HÔP</x:v>
      </x:c>
      <x:c r="H96" s="38" t="n">
        <x:v>107</x:v>
      </x:c>
    </x:row>
    <x:row r="97">
      <x:c r="A97" s="39" t="n">
        <x:v>106</x:v>
      </x:c>
      <x:c r="B97" s="30" t="str">
        <x:v>VẢI LON MOHCI</x:v>
      </x:c>
      <x:c r="C97" s="30" t="str">
        <x:v>Thùng 12 lon</x:v>
      </x:c>
      <x:c r="D97" s="37" t="str">
        <x:v>lon</x:v>
      </x:c>
      <x:c r="E97" s="37" t="n">
        <x:v>39</x:v>
      </x:c>
      <x:c r="F97" s="37"/>
      <x:c r="G97" s="37" t="str">
        <x:v>10. TRAI CÂY HÔP</x:v>
      </x:c>
      <x:c r="H97" s="38" t="n">
        <x:v>108</x:v>
      </x:c>
    </x:row>
    <x:row r="98">
      <x:c r="A98" s="39" t="n">
        <x:v>107</x:v>
      </x:c>
      <x:c r="B98" s="30" t="str">
        <x:v>VẢI LON THÁI</x:v>
      </x:c>
      <x:c r="C98" s="30" t="str">
        <x:v>Thùng 24 lon</x:v>
      </x:c>
      <x:c r="D98" s="37" t="str">
        <x:v>lon</x:v>
      </x:c>
      <x:c r="E98" s="37" t="n">
        <x:v>32</x:v>
      </x:c>
      <x:c r="F98" s="37"/>
      <x:c r="G98" s="37" t="str">
        <x:v>10. TRAI CÂY HÔP</x:v>
      </x:c>
      <x:c r="H98" s="38" t="n">
        <x:v>109</x:v>
      </x:c>
    </x:row>
    <x:row r="99">
      <x:c r="A99" s="39" t="n">
        <x:v>108</x:v>
      </x:c>
      <x:c r="B99" s="30" t="str">
        <x:v>SEN NIF</x:v>
      </x:c>
      <x:c r="C99" s="30" t="str">
        <x:v>Thùng 12 lon</x:v>
      </x:c>
      <x:c r="D99" s="37" t="str">
        <x:v>LON</x:v>
      </x:c>
      <x:c r="E99" s="37" t="n">
        <x:v>55</x:v>
      </x:c>
      <x:c r="F99" s="37"/>
      <x:c r="G99" s="37" t="str">
        <x:v>10. TRAI CÂY HÔP</x:v>
      </x:c>
      <x:c r="H99" s="38" t="n">
        <x:v>110</x:v>
      </x:c>
    </x:row>
    <x:row r="100">
      <x:c r="A100" s="39" t="n">
        <x:v>109</x:v>
      </x:c>
      <x:c r="B100" s="30" t="str">
        <x:v>NHÃN thái</x:v>
      </x:c>
      <x:c r="C100" s="30" t="str">
        <x:v>Thùng 24 lon</x:v>
      </x:c>
      <x:c r="D100" s="37" t="str">
        <x:v>LON</x:v>
      </x:c>
      <x:c r="E100" s="37" t="n">
        <x:v>40</x:v>
      </x:c>
      <x:c r="F100" s="37"/>
      <x:c r="G100" s="37" t="str">
        <x:v>10. TRAI CÂY HÔP</x:v>
      </x:c>
      <x:c r="H100" s="38" t="n">
        <x:v>111</x:v>
      </x:c>
    </x:row>
    <x:row r="101">
      <x:c r="A101" s="39" t="n">
        <x:v>110</x:v>
      </x:c>
      <x:c r="B101" s="30" t="str">
        <x:v>ATISO</x:v>
      </x:c>
      <x:c r="C101" s="30" t="str">
        <x:v>Thùng 12lon</x:v>
      </x:c>
      <x:c r="D101" s="37" t="str">
        <x:v>LON</x:v>
      </x:c>
      <x:c r="E101" s="37" t="n">
        <x:v>75</x:v>
      </x:c>
      <x:c r="F101" s="37"/>
      <x:c r="G101" s="37" t="str">
        <x:v>10. TRAI CÂY HÔP</x:v>
      </x:c>
      <x:c r="H101" s="38" t="n">
        <x:v>112</x:v>
      </x:c>
    </x:row>
    <x:row r="102">
      <x:c r="A102" s="39" t="n">
        <x:v>111</x:v>
      </x:c>
      <x:c r="B102" s="30" t="str">
        <x:v>Nha Đam</x:v>
      </x:c>
      <x:c r="C102" s="30" t="str">
        <x:v>Thùng 10 gói</x:v>
      </x:c>
      <x:c r="D102" s="37" t="str">
        <x:v>bịch</x:v>
      </x:c>
      <x:c r="E102" s="37" t="n">
        <x:v>29</x:v>
      </x:c>
      <x:c r="F102" s="37"/>
      <x:c r="G102" s="37" t="str">
        <x:v>10. TRAI CÂY HÔP</x:v>
      </x:c>
      <x:c r="H102" s="38" t="n">
        <x:v>113</x:v>
      </x:c>
    </x:row>
    <x:row r="103">
      <x:c r="A103" s="39" t="n">
        <x:v>112</x:v>
      </x:c>
      <x:c r="B103" s="30" t="str">
        <x:v>Thốt Nốt</x:v>
      </x:c>
      <x:c r="C103" s="30" t="str">
        <x:v>Thùng 10 gói</x:v>
      </x:c>
      <x:c r="D103" s="37" t="str">
        <x:v>bịch</x:v>
      </x:c>
      <x:c r="E103" s="37" t="n">
        <x:v>52</x:v>
      </x:c>
      <x:c r="F103" s="37"/>
      <x:c r="G103" s="37" t="str">
        <x:v>10. TRAI CÂY HÔP</x:v>
      </x:c>
      <x:c r="H103" s="38" t="n">
        <x:v>114</x:v>
      </x:c>
    </x:row>
    <x:row r="104">
      <x:c r="A104" s="39" t="n">
        <x:v>113</x:v>
      </x:c>
      <x:c r="B104" s="30" t="str">
        <x:v>ĐÁ ME TẤN LỘC</x:v>
      </x:c>
      <x:c r="C104" s="30" t="str">
        <x:v>THÙNG 15 HỦ</x:v>
      </x:c>
      <x:c r="D104" s="37" t="str">
        <x:v>HỦ</x:v>
      </x:c>
      <x:c r="E104" s="37" t="n">
        <x:v>80</x:v>
      </x:c>
      <x:c r="F104" s="37"/>
      <x:c r="G104" s="37" t="str">
        <x:v>10. TRAI CÂY HÔP</x:v>
      </x:c>
      <x:c r="H104" s="38" t="n">
        <x:v>115</x:v>
      </x:c>
    </x:row>
    <x:row r="105">
      <x:c r="A105" s="39" t="n">
        <x:v>114</x:v>
      </x:c>
      <x:c r="B105" s="30" t="str">
        <x:v>Nước cốt dừa thai 1 lit</x:v>
      </x:c>
      <x:c r="C105" s="30" t="str">
        <x:v>Thung 12 hop</x:v>
      </x:c>
      <x:c r="D105" s="37" t="str">
        <x:v>hộp</x:v>
      </x:c>
      <x:c r="E105" s="37" t="n">
        <x:v>71</x:v>
      </x:c>
      <x:c r="F105" s="37"/>
      <x:c r="G105" s="37" t="str">
        <x:v>10. TRAI CÂY HÔP</x:v>
      </x:c>
      <x:c r="H105" s="38" t="n">
        <x:v>116</x:v>
      </x:c>
    </x:row>
    <x:row r="106">
      <x:c r="A106" s="39" t="n">
        <x:v>116</x:v>
      </x:c>
      <x:c r="B106" s="30" t="str">
        <x:v>Rau câu Sóc Vàng</x:v>
      </x:c>
      <x:c r="C106" s="30" t="str">
        <x:v>Thùng 10 hộp</x:v>
      </x:c>
      <x:c r="D106" s="37" t="str">
        <x:v>hộp</x:v>
      </x:c>
      <x:c r="E106" s="37" t="n">
        <x:v>52</x:v>
      </x:c>
      <x:c r="F106" s="37" t="n">
        <x:v>50</x:v>
      </x:c>
      <x:c r="G106" s="37" t="str">
        <x:v>11. RAU CÂU</x:v>
      </x:c>
      <x:c r="H106" s="38" t="n">
        <x:v>118</x:v>
      </x:c>
    </x:row>
    <x:row r="107">
      <x:c r="A107" s="39" t="n">
        <x:v>117</x:v>
      </x:c>
      <x:c r="B107" s="30" t="str">
        <x:v>Rau câu Thảo Vân</x:v>
      </x:c>
      <x:c r="C107" s="30" t="str">
        <x:v>Thùng 20 gói</x:v>
      </x:c>
      <x:c r="D107" s="37" t="str">
        <x:v>gói</x:v>
      </x:c>
      <x:c r="E107" s="37" t="n">
        <x:v>230</x:v>
      </x:c>
      <x:c r="F107" s="37"/>
      <x:c r="G107" s="37" t="str">
        <x:v>11. RAU CÂU</x:v>
      </x:c>
      <x:c r="H107" s="38" t="n">
        <x:v>119</x:v>
      </x:c>
    </x:row>
    <x:row r="108">
      <x:c r="A108" s="39" t="n">
        <x:v>118</x:v>
      </x:c>
      <x:c r="B108" s="30" t="str">
        <x:v>RAU CÂU GIÒN AGAR</x:v>
      </x:c>
      <x:c r="C108" s="30" t="str">
        <x:v>THÙNG 20 HỘP</x:v>
      </x:c>
      <x:c r="D108" s="37" t="str">
        <x:v>HỘP</x:v>
      </x:c>
      <x:c r="E108" s="37" t="n">
        <x:v>115</x:v>
      </x:c>
      <x:c r="F108" s="37"/>
      <x:c r="G108" s="37" t="str">
        <x:v>11. RAU CÂU</x:v>
      </x:c>
      <x:c r="H108" s="38" t="n">
        <x:v>120</x:v>
      </x:c>
    </x:row>
    <x:row r="109">
      <x:c r="A109" s="39" t="n">
        <x:v>119</x:v>
      </x:c>
      <x:c r="B109" s="30" t="str">
        <x:v>RAU CÂU CÁ DẺO</x:v>
      </x:c>
      <x:c r="C109" s="30" t="str">
        <x:v>thung 10 hop</x:v>
      </x:c>
      <x:c r="D109" s="37" t="str">
        <x:v>HỘP</x:v>
      </x:c>
      <x:c r="E109" s="37" t="n">
        <x:v>60</x:v>
      </x:c>
      <x:c r="F109" s="37"/>
      <x:c r="G109" s="37" t="str">
        <x:v>11. RAU CÂU</x:v>
      </x:c>
      <x:c r="H109" s="38" t="n">
        <x:v>121</x:v>
      </x:c>
    </x:row>
    <x:row r="110">
      <x:c r="A110" s="39" t="n">
        <x:v>121</x:v>
      </x:c>
      <x:c r="B110" s="30" t="str">
        <x:v>Flan Douxian</x:v>
      </x:c>
      <x:c r="C110" s="30" t="str">
        <x:v>Thùng 12 gói</x:v>
      </x:c>
      <x:c r="D110" s="37" t="str">
        <x:v>gói 1kg</x:v>
      </x:c>
      <x:c r="E110" s="37" t="n">
        <x:v>170</x:v>
      </x:c>
      <x:c r="F110" s="37" t="n">
        <x:v>168</x:v>
      </x:c>
      <x:c r="G110" s="37" t="str">
        <x:v>12.FLAN</x:v>
      </x:c>
      <x:c r="H110" s="38" t="n">
        <x:v>123</x:v>
      </x:c>
    </x:row>
    <x:row r="111">
      <x:c r="A111" s="39" t="n">
        <x:v>122</x:v>
      </x:c>
      <x:c r="B111" s="30" t="str">
        <x:v>Flan  mota</x:v>
      </x:c>
      <x:c r="C111" s="30" t="str">
        <x:v>Thung 12 goi</x:v>
      </x:c>
      <x:c r="D111" s="37" t="str">
        <x:v>gói 1kg</x:v>
      </x:c>
      <x:c r="E111" s="37" t="n">
        <x:v>163</x:v>
      </x:c>
      <x:c r="F111" s="37" t="n">
        <x:v>161</x:v>
      </x:c>
      <x:c r="G111" s="37" t="str">
        <x:v>12.FLAN</x:v>
      </x:c>
      <x:c r="H111" s="38" t="n">
        <x:v>124</x:v>
      </x:c>
    </x:row>
    <x:row r="112">
      <x:c r="A112" s="39" t="n">
        <x:v>123</x:v>
      </x:c>
      <x:c r="B112" s="30" t="str">
        <x:v>Flan  mota sô</x:v>
      </x:c>
      <x:c r="C112" s="30" t="str">
        <x:v>Thung 12 goi</x:v>
      </x:c>
      <x:c r="D112" s="37" t="str">
        <x:v>gói 1kg</x:v>
      </x:c>
      <x:c r="E112" s="37" t="n">
        <x:v>155</x:v>
      </x:c>
      <x:c r="F112" s="37"/>
      <x:c r="G112" s="37" t="str">
        <x:v>12.FLAN</x:v>
      </x:c>
      <x:c r="H112" s="38" t="n">
        <x:v>125</x:v>
      </x:c>
    </x:row>
    <x:row r="113">
      <x:c r="A113" s="39" t="n">
        <x:v>124</x:v>
      </x:c>
      <x:c r="B113" s="30" t="str">
        <x:v>Flan Mole trứng</x:v>
      </x:c>
      <x:c r="C113" s="30" t="str">
        <x:v>Thùng 20 gói</x:v>
      </x:c>
      <x:c r="D113" s="37" t="str">
        <x:v>gói 1kg</x:v>
      </x:c>
      <x:c r="E113" s="37" t="n">
        <x:v>235</x:v>
      </x:c>
      <x:c r="F113" s="37"/>
      <x:c r="G113" s="37" t="str">
        <x:v>12.FLAN</x:v>
      </x:c>
      <x:c r="H113" s="38" t="n">
        <x:v>126</x:v>
      </x:c>
    </x:row>
    <x:row r="114">
      <x:c r="A114" s="39" t="n">
        <x:v>125</x:v>
      </x:c>
      <x:c r="B114" s="30" t="str">
        <x:v>Flan Mole SÔ</x:v>
      </x:c>
      <x:c r="C114" s="30" t="str">
        <x:v>Thùng 20 gói</x:v>
      </x:c>
      <x:c r="D114" s="37" t="str">
        <x:v>gói 1kg</x:v>
      </x:c>
      <x:c r="E114" s="37" t="n">
        <x:v>257</x:v>
      </x:c>
      <x:c r="F114" s="37"/>
      <x:c r="G114" s="37" t="str">
        <x:v>12.FLAN</x:v>
      </x:c>
      <x:c r="H114" s="38" t="n">
        <x:v>127</x:v>
      </x:c>
    </x:row>
    <x:row r="115">
      <x:c r="A115" s="39" t="n">
        <x:v>126</x:v>
      </x:c>
      <x:c r="B115" s="30" t="str">
        <x:v>Flan Mole MÔN</x:v>
      </x:c>
      <x:c r="C115" s="30" t="str">
        <x:v>Thùng 20 gói</x:v>
      </x:c>
      <x:c r="D115" s="37" t="str">
        <x:v>gói 1kg</x:v>
      </x:c>
      <x:c r="E115" s="37" t="n">
        <x:v>215</x:v>
      </x:c>
      <x:c r="F115" s="37"/>
      <x:c r="G115" s="37" t="str">
        <x:v>12.FLAN</x:v>
      </x:c>
      <x:c r="H115" s="38" t="n">
        <x:v>128</x:v>
      </x:c>
    </x:row>
    <x:row r="116">
      <x:c r="A116" s="39" t="n">
        <x:v>127</x:v>
      </x:c>
      <x:c r="B116" s="30" t="str">
        <x:v>Flan Mole DÂU</x:v>
      </x:c>
      <x:c r="C116" s="30" t="str">
        <x:v>Thùng 20 gói</x:v>
      </x:c>
      <x:c r="D116" s="37" t="str">
        <x:v>gói 1kg</x:v>
      </x:c>
      <x:c r="E116" s="37" t="n">
        <x:v>203</x:v>
      </x:c>
      <x:c r="F116" s="37"/>
      <x:c r="G116" s="37" t="str">
        <x:v>12.FLAN</x:v>
      </x:c>
      <x:c r="H116" s="38" t="n">
        <x:v>129</x:v>
      </x:c>
    </x:row>
    <x:row r="117">
      <x:c r="A117" s="39" t="n">
        <x:v>128</x:v>
      </x:c>
      <x:c r="B117" s="30" t="str">
        <x:v>PLAN MOLE DƯA</x:v>
      </x:c>
      <x:c r="C117" s="30" t="str">
        <x:v>Thùng 20 gói</x:v>
      </x:c>
      <x:c r="D117" s="37" t="str">
        <x:v>gói 1kg</x:v>
      </x:c>
      <x:c r="E117" s="37" t="n">
        <x:v>203</x:v>
      </x:c>
      <x:c r="F117" s="37"/>
      <x:c r="G117" s="37" t="str">
        <x:v>12.FLAN</x:v>
      </x:c>
      <x:c r="H117" s="38" t="n">
        <x:v>130</x:v>
      </x:c>
    </x:row>
    <x:row r="118">
      <x:c r="A118" s="39" t="n">
        <x:v>130</x:v>
      </x:c>
      <x:c r="B118" s="30" t="str">
        <x:v>Bột sữa HP</x:v>
      </x:c>
      <x:c r="C118" s="30" t="str"/>
      <x:c r="D118" s="37" t="str">
        <x:v>kg</x:v>
      </x:c>
      <x:c r="E118" s="37" t="n">
        <x:v>75</x:v>
      </x:c>
      <x:c r="F118" s="37"/>
      <x:c r="G118" s="37" t="str">
        <x:v>13. BÔT SUA</x:v>
      </x:c>
      <x:c r="H118" s="38" t="n">
        <x:v>132</x:v>
      </x:c>
    </x:row>
    <x:row r="119">
      <x:c r="A119" s="39" t="n">
        <x:v>131</x:v>
      </x:c>
      <x:c r="B119" s="30" t="str">
        <x:v>Bột sữa B one</x:v>
      </x:c>
      <x:c r="C119" s="30" t="str">
        <x:v>Thùng 12 gói</x:v>
      </x:c>
      <x:c r="D119" s="37" t="str">
        <x:v>gói 1kg</x:v>
      </x:c>
      <x:c r="E119" s="37" t="n">
        <x:v>69</x:v>
      </x:c>
      <x:c r="F119" s="37"/>
      <x:c r="G119" s="37" t="str">
        <x:v>13. BÔT SUA</x:v>
      </x:c>
      <x:c r="H119" s="38" t="n">
        <x:v>133</x:v>
      </x:c>
    </x:row>
    <x:row r="120">
      <x:c r="A120" s="39" t="n">
        <x:v>132</x:v>
      </x:c>
      <x:c r="B120" s="30" t="str">
        <x:v>Bột sữa MT35</x:v>
      </x:c>
      <x:c r="C120" s="30" t="str">
        <x:v>Thùng 10 gói</x:v>
      </x:c>
      <x:c r="D120" s="37" t="str">
        <x:v>gói 1kg</x:v>
      </x:c>
      <x:c r="E120" s="37" t="n">
        <x:v>118</x:v>
      </x:c>
      <x:c r="F120" s="37"/>
      <x:c r="G120" s="37" t="str">
        <x:v>13. BÔT SUA</x:v>
      </x:c>
      <x:c r="H120" s="38" t="n">
        <x:v>134</x:v>
      </x:c>
    </x:row>
    <x:row r="121">
      <x:c r="A121" s="39" t="n">
        <x:v>133</x:v>
      </x:c>
      <x:c r="B121" s="30" t="str">
        <x:v>Bột milkfoarm Luave</x:v>
      </x:c>
      <x:c r="C121" s="30" t="str">
        <x:v>thùng 20g</x:v>
      </x:c>
      <x:c r="D121" s="37" t="str">
        <x:v>gói 1kg</x:v>
      </x:c>
      <x:c r="E121" s="37" t="n">
        <x:v>128</x:v>
      </x:c>
      <x:c r="F121" s="37"/>
      <x:c r="G121" s="37" t="str">
        <x:v>13. BÔT SUA</x:v>
      </x:c>
      <x:c r="H121" s="38" t="n">
        <x:v>135</x:v>
      </x:c>
    </x:row>
    <x:row r="122">
      <x:c r="A122" s="39" t="n">
        <x:v>134</x:v>
      </x:c>
      <x:c r="B122" s="30" t="str">
        <x:v>Bột frappe luave</x:v>
      </x:c>
      <x:c r="C122" s="30" t="str">
        <x:v>Thùng 10 gói</x:v>
      </x:c>
      <x:c r="D122" s="37" t="str">
        <x:v>gói 1kg</x:v>
      </x:c>
      <x:c r="E122" s="37" t="n">
        <x:v>138</x:v>
      </x:c>
      <x:c r="F122" s="37"/>
      <x:c r="G122" s="37" t="str">
        <x:v>13. BÔT SUA</x:v>
      </x:c>
      <x:c r="H122" s="38" t="n">
        <x:v>136</x:v>
      </x:c>
    </x:row>
    <x:row r="123">
      <x:c r="A123" s="39" t="n">
        <x:v>135</x:v>
      </x:c>
      <x:c r="B123" s="30" t="str">
        <x:v>BỘT MILKFOAM ERDOLI</x:v>
      </x:c>
      <x:c r="C123" s="30" t="str"/>
      <x:c r="D123" s="37" t="str">
        <x:v>gói 1kg</x:v>
      </x:c>
      <x:c r="E123" s="37" t="n">
        <x:v>275</x:v>
      </x:c>
      <x:c r="F123" s="37"/>
      <x:c r="G123" s="37" t="str">
        <x:v>13. BÔT SUA</x:v>
      </x:c>
      <x:c r="H123" s="38" t="n">
        <x:v>137</x:v>
      </x:c>
    </x:row>
    <x:row r="124">
      <x:c r="A124" s="39" t="n">
        <x:v>136</x:v>
      </x:c>
      <x:c r="B124" s="30" t="str">
        <x:v>Bột milkfoam muối biển</x:v>
      </x:c>
      <x:c r="C124" s="30" t="str"/>
      <x:c r="D124" s="37" t="str">
        <x:v>gói 1kg</x:v>
      </x:c>
      <x:c r="E124" s="37" t="n">
        <x:v>92</x:v>
      </x:c>
      <x:c r="F124" s="37"/>
      <x:c r="G124" s="37" t="str">
        <x:v>13. BÔT SUA</x:v>
      </x:c>
      <x:c r="H124" s="38" t="n">
        <x:v>138</x:v>
      </x:c>
    </x:row>
    <x:row r="125">
      <x:c r="A125" s="39" t="n">
        <x:v>137</x:v>
      </x:c>
      <x:c r="B125" s="30" t="str">
        <x:v>Bột kem trứng Đài loan</x:v>
      </x:c>
      <x:c r="C125" s="30" t="str"/>
      <x:c r="D125" s="37" t="str">
        <x:v>gói 1kg</x:v>
      </x:c>
      <x:c r="E125" s="37" t="n">
        <x:v>155</x:v>
      </x:c>
      <x:c r="F125" s="37"/>
      <x:c r="G125" s="37" t="str">
        <x:v>13. BÔT SUA</x:v>
      </x:c>
      <x:c r="H125" s="38" t="n">
        <x:v>139</x:v>
      </x:c>
    </x:row>
    <x:row r="126">
      <x:c r="A126" s="39" t="n">
        <x:v>138</x:v>
      </x:c>
      <x:c r="B126" s="30" t="str">
        <x:v>Bot sua Frima</x:v>
      </x:c>
      <x:c r="C126" s="30" t="str">
        <x:v>bao</x:v>
      </x:c>
      <x:c r="D126" s="37" t="str">
        <x:v>bao 25k</x:v>
      </x:c>
      <x:c r="E126" s="37" t="n">
        <x:v>2120</x:v>
      </x:c>
      <x:c r="F126" s="37" t="n">
        <x:v>2110</x:v>
      </x:c>
      <x:c r="G126" s="37" t="str">
        <x:v>13. BÔT SUA</x:v>
      </x:c>
      <x:c r="H126" s="38" t="n">
        <x:v>140</x:v>
      </x:c>
    </x:row>
    <x:row r="127">
      <x:c r="A127" s="39" t="n">
        <x:v>139</x:v>
      </x:c>
      <x:c r="B127" s="30" t="str">
        <x:v>Bot sua Frima 1KG</x:v>
      </x:c>
      <x:c r="C127" s="30" t="str">
        <x:v>Thùng 12 gói</x:v>
      </x:c>
      <x:c r="D127" s="37" t="str">
        <x:v>gói 1kg</x:v>
      </x:c>
      <x:c r="E127" s="37" t="n">
        <x:v>93</x:v>
      </x:c>
      <x:c r="F127" s="37"/>
      <x:c r="G127" s="37" t="str">
        <x:v>13. BÔT SUA</x:v>
      </x:c>
      <x:c r="H127" s="38" t="n">
        <x:v>141</x:v>
      </x:c>
    </x:row>
    <x:row r="128">
      <x:c r="A128" s="39" t="n">
        <x:v>140</x:v>
      </x:c>
      <x:c r="B128" s="30" t="str">
        <x:v>Bot Sữa Thái</x:v>
      </x:c>
      <x:c r="C128" s="30" t="str">
        <x:v>bao</x:v>
      </x:c>
      <x:c r="D128" s="37" t="str">
        <x:v>bao 25k</x:v>
      </x:c>
      <x:c r="E128" s="37" t="n">
        <x:v>1540</x:v>
      </x:c>
      <x:c r="F128" s="37"/>
      <x:c r="G128" s="37" t="str">
        <x:v>13. BÔT SUA</x:v>
      </x:c>
      <x:c r="H128" s="38" t="n">
        <x:v>142</x:v>
      </x:c>
    </x:row>
    <x:row r="129">
      <x:c r="A129" s="39" t="n">
        <x:v>141</x:v>
      </x:c>
      <x:c r="B129" s="30" t="str">
        <x:v>Bot sua Kievit</x:v>
      </x:c>
      <x:c r="C129" s="30" t="str">
        <x:v>bao</x:v>
      </x:c>
      <x:c r="D129" s="37" t="str">
        <x:v>bao 25k</x:v>
      </x:c>
      <x:c r="E129" s="37" t="n">
        <x:v>1840</x:v>
      </x:c>
      <x:c r="F129" s="37"/>
      <x:c r="G129" s="37" t="str">
        <x:v>13. BÔT SUA</x:v>
      </x:c>
      <x:c r="H129" s="38" t="n">
        <x:v>143</x:v>
      </x:c>
    </x:row>
    <x:row r="130">
      <x:c r="A130" s="39" t="n">
        <x:v>142</x:v>
      </x:c>
      <x:c r="B130" s="30" t="str">
        <x:v>Bột indo mafac</x:v>
      </x:c>
      <x:c r="C130" s="30" t="str">
        <x:v>Thùng 10 gói</x:v>
      </x:c>
      <x:c r="D130" s="37" t="str">
        <x:v>gói 1kg</x:v>
      </x:c>
      <x:c r="E130" s="37" t="n">
        <x:v>75</x:v>
      </x:c>
      <x:c r="F130" s="37"/>
      <x:c r="G130" s="37" t="str">
        <x:v>13. BÔT SUA</x:v>
      </x:c>
      <x:c r="H130" s="38" t="n">
        <x:v>144</x:v>
      </x:c>
    </x:row>
    <x:row r="131">
      <x:c r="A131" s="39" t="n">
        <x:v>143</x:v>
      </x:c>
      <x:c r="B131" s="30" t="str">
        <x:v>Bột môn bkb</x:v>
      </x:c>
      <x:c r="C131" s="30" t="str">
        <x:v>Thùng 10 gói</x:v>
      </x:c>
      <x:c r="D131" s="37" t="str">
        <x:v>gói 1kg</x:v>
      </x:c>
      <x:c r="E131" s="37" t="n">
        <x:v>100</x:v>
      </x:c>
      <x:c r="F131" s="37"/>
      <x:c r="G131" s="37" t="str">
        <x:v>13. BÔT SUA</x:v>
      </x:c>
      <x:c r="H131" s="38" t="n">
        <x:v>145</x:v>
      </x:c>
    </x:row>
    <x:row r="132">
      <x:c r="A132" s="39" t="n">
        <x:v>144</x:v>
      </x:c>
      <x:c r="B132" s="30" t="str">
        <x:v>Sữa tươi TATTE</x:v>
      </x:c>
      <x:c r="C132" s="30" t="str">
        <x:v>Thùng 12 hộp</x:v>
      </x:c>
      <x:c r="D132" s="37" t="str">
        <x:v>hộp</x:v>
      </x:c>
      <x:c r="E132" s="37" t="n">
        <x:v>30</x:v>
      </x:c>
      <x:c r="F132" s="37" t="n">
        <x:v>29</x:v>
      </x:c>
      <x:c r="G132" s="37" t="str">
        <x:v>13. BÔT SUA</x:v>
      </x:c>
      <x:c r="H132" s="38" t="n">
        <x:v>146</x:v>
      </x:c>
    </x:row>
    <x:row r="133">
      <x:c r="A133" s="39" t="n">
        <x:v>145</x:v>
      </x:c>
      <x:c r="B133" s="30" t="str">
        <x:v>Sữa tươi Blan</x:v>
      </x:c>
      <x:c r="C133" s="30" t="str">
        <x:v>Thùng 12 hộp</x:v>
      </x:c>
      <x:c r="D133" s="37" t="str">
        <x:v>hộp</x:v>
      </x:c>
      <x:c r="E133" s="37" t="n">
        <x:v>30</x:v>
      </x:c>
      <x:c r="F133" s="37" t="n">
        <x:v>29</x:v>
      </x:c>
      <x:c r="G133" s="37" t="str">
        <x:v>13. BÔT SUA</x:v>
      </x:c>
      <x:c r="H133" s="38" t="n">
        <x:v>147</x:v>
      </x:c>
    </x:row>
    <x:row r="134">
      <x:c r="A134" s="39" t="n">
        <x:v>147</x:v>
      </x:c>
      <x:c r="B134" s="30" t="str">
        <x:v>Sữa Đặc Nidoo</x:v>
      </x:c>
      <x:c r="C134" s="30" t="str">
        <x:v>Thùng 24 lon</x:v>
      </x:c>
      <x:c r="D134" s="37" t="str">
        <x:v>lon</x:v>
      </x:c>
      <x:c r="E134" s="37" t="n">
        <x:v>42</x:v>
      </x:c>
      <x:c r="F134" s="37"/>
      <x:c r="G134" s="37" t="str">
        <x:v>14. SỮA ĐẶC</x:v>
      </x:c>
      <x:c r="H134" s="38" t="n">
        <x:v>149</x:v>
      </x:c>
    </x:row>
    <x:row r="135">
      <x:c r="A135" s="39" t="n">
        <x:v>148</x:v>
      </x:c>
      <x:c r="B135" s="30" t="str">
        <x:v>Sua dac larose nap dut</x:v>
      </x:c>
      <x:c r="C135" s="30" t="str">
        <x:v>Thung 24 lon</x:v>
      </x:c>
      <x:c r="D135" s="37" t="str">
        <x:v>lon</x:v>
      </x:c>
      <x:c r="E135" s="37" t="n">
        <x:v>42</x:v>
      </x:c>
      <x:c r="F135" s="37"/>
      <x:c r="G135" s="37" t="str">
        <x:v>14. SỮA ĐẶC</x:v>
      </x:c>
      <x:c r="H135" s="38" t="n">
        <x:v>150</x:v>
      </x:c>
    </x:row>
    <x:row r="136">
      <x:c r="A136" s="39" t="n">
        <x:v>149</x:v>
      </x:c>
      <x:c r="B136" s="30" t="str">
        <x:v>Sữa Đặc larose thuong</x:v>
      </x:c>
      <x:c r="C136" s="30" t="str">
        <x:v>Thùng 24 lon</x:v>
      </x:c>
      <x:c r="D136" s="37" t="str">
        <x:v>lon</x:v>
      </x:c>
      <x:c r="E136" s="37" t="n">
        <x:v>41</x:v>
      </x:c>
      <x:c r="F136" s="37"/>
      <x:c r="G136" s="37" t="str">
        <x:v>14. SỮA ĐẶC</x:v>
      </x:c>
      <x:c r="H136" s="38" t="n">
        <x:v>151</x:v>
      </x:c>
    </x:row>
    <x:row r="137">
      <x:c r="A137" s="39" t="n">
        <x:v>150</x:v>
      </x:c>
      <x:c r="B137" s="30" t="str">
        <x:v>SỮA ELLA</x:v>
      </x:c>
      <x:c r="C137" s="30" t="str">
        <x:v>THÙNG 24 LON</x:v>
      </x:c>
      <x:c r="D137" s="37" t="str">
        <x:v>lon</x:v>
      </x:c>
      <x:c r="E137" s="37" t="n">
        <x:v>40</x:v>
      </x:c>
      <x:c r="F137" s="37"/>
      <x:c r="G137" s="37" t="str">
        <x:v>14. SỮA ĐẶC</x:v>
      </x:c>
      <x:c r="H137" s="38" t="n">
        <x:v>152</x:v>
      </x:c>
    </x:row>
    <x:row r="138">
      <x:c r="A138" s="39" t="n">
        <x:v>152</x:v>
      </x:c>
      <x:c r="B138" s="30" t="str">
        <x:v>Bột Milo</x:v>
      </x:c>
      <x:c r="C138" s="30" t="str">
        <x:v>thùng 10 kg</x:v>
      </x:c>
      <x:c r="D138" s="37" t="str">
        <x:v>gói 1kg</x:v>
      </x:c>
      <x:c r="E138" s="37" t="n">
        <x:v>170</x:v>
      </x:c>
      <x:c r="F138" s="37"/>
      <x:c r="G138" s="37" t="str">
        <x:v>15.BOT CACAO</x:v>
      </x:c>
      <x:c r="H138" s="38" t="n">
        <x:v>154</x:v>
      </x:c>
    </x:row>
    <x:row r="139">
      <x:c r="A139" s="39" t="n">
        <x:v>153</x:v>
      </x:c>
      <x:c r="B139" s="30" t="str">
        <x:v>Bột Cacao Luave</x:v>
      </x:c>
      <x:c r="C139" s="30" t="str">
        <x:v>Thùng 20 gói</x:v>
      </x:c>
      <x:c r="D139" s="37" t="str">
        <x:v>gói 500g</x:v>
      </x:c>
      <x:c r="E139" s="37" t="n">
        <x:v>155</x:v>
      </x:c>
      <x:c r="F139" s="37"/>
      <x:c r="G139" s="37" t="str">
        <x:v>15.BOT CACAO</x:v>
      </x:c>
      <x:c r="H139" s="38" t="n">
        <x:v>155</x:v>
      </x:c>
    </x:row>
    <x:row r="140">
      <x:c r="A140" s="39" t="n">
        <x:v>154</x:v>
      </x:c>
      <x:c r="B140" s="30" t="str">
        <x:v>CA CAO DANCE</x:v>
      </x:c>
      <x:c r="C140" s="30" t="str">
        <x:v>Thùng 30 gói</x:v>
      </x:c>
      <x:c r="D140" s="37" t="str">
        <x:v>gói 500g</x:v>
      </x:c>
      <x:c r="E140" s="37" t="n">
        <x:v>145</x:v>
      </x:c>
      <x:c r="F140" s="37"/>
      <x:c r="G140" s="37" t="str">
        <x:v>15.BOT CACAO</x:v>
      </x:c>
      <x:c r="H140" s="38" t="n">
        <x:v>156</x:v>
      </x:c>
    </x:row>
    <x:row r="141">
      <x:c r="A141" s="39" t="n">
        <x:v>155</x:v>
      </x:c>
      <x:c r="B141" s="30" t="str">
        <x:v>Bột Cacao Maly</x:v>
      </x:c>
      <x:c r="C141" s="30" t="str">
        <x:v>Thùng 20 gói</x:v>
      </x:c>
      <x:c r="D141" s="37" t="str">
        <x:v>gói 500g</x:v>
      </x:c>
      <x:c r="E141" s="37" t="n">
        <x:v>70</x:v>
      </x:c>
      <x:c r="F141" s="37"/>
      <x:c r="G141" s="37" t="str">
        <x:v>15.BOT CACAO</x:v>
      </x:c>
      <x:c r="H141" s="38" t="n">
        <x:v>157</x:v>
      </x:c>
    </x:row>
    <x:row r="142">
      <x:c r="A142" s="39" t="n">
        <x:v>156</x:v>
      </x:c>
      <x:c r="B142" s="30" t="str">
        <x:v>Bột môn King</x:v>
      </x:c>
      <x:c r="C142" s="30" t="str">
        <x:v>Thùng 20 gói</x:v>
      </x:c>
      <x:c r="D142" s="37" t="str">
        <x:v>gói 1kg</x:v>
      </x:c>
      <x:c r="E142" s="37" t="n">
        <x:v>152</x:v>
      </x:c>
      <x:c r="F142" s="37"/>
      <x:c r="G142" s="37" t="str">
        <x:v>15.BOT CACAO</x:v>
      </x:c>
      <x:c r="H142" s="38" t="n">
        <x:v>158</x:v>
      </x:c>
    </x:row>
    <x:row r="143">
      <x:c r="A143" s="39" t="n">
        <x:v>157</x:v>
      </x:c>
      <x:c r="B143" s="30" t="str">
        <x:v>Bột sô King</x:v>
      </x:c>
      <x:c r="C143" s="30" t="str">
        <x:v>Thùng 20 gói</x:v>
      </x:c>
      <x:c r="D143" s="37" t="str">
        <x:v>gói 1kg</x:v>
      </x:c>
      <x:c r="E143" s="37" t="n">
        <x:v>192</x:v>
      </x:c>
      <x:c r="F143" s="37"/>
      <x:c r="G143" s="37" t="str">
        <x:v>15.BOT CACAO</x:v>
      </x:c>
      <x:c r="H143" s="38" t="n">
        <x:v>159</x:v>
      </x:c>
    </x:row>
    <x:row r="144">
      <x:c r="A144" s="39" t="n">
        <x:v>158</x:v>
      </x:c>
      <x:c r="B144" s="30" t="str">
        <x:v>BỘT SÔ GTP</x:v>
      </x:c>
      <x:c r="C144" s="30" t="str">
        <x:v>Thùng 20 gói</x:v>
      </x:c>
      <x:c r="D144" s="37" t="str">
        <x:v>gói 1kg</x:v>
      </x:c>
      <x:c r="E144" s="37" t="n">
        <x:v>185</x:v>
      </x:c>
      <x:c r="F144" s="37"/>
      <x:c r="G144" s="37" t="str">
        <x:v>15.BOT CACAO</x:v>
      </x:c>
      <x:c r="H144" s="38" t="n">
        <x:v>160</x:v>
      </x:c>
    </x:row>
    <x:row r="145">
      <x:c r="A145" s="39" t="n">
        <x:v>159</x:v>
      </x:c>
      <x:c r="B145" s="30" t="str">
        <x:v>Bột sô bảo anh</x:v>
      </x:c>
      <x:c r="C145" s="30" t="str"/>
      <x:c r="D145" s="37" t="str">
        <x:v>gói 500g</x:v>
      </x:c>
      <x:c r="E145" s="37" t="n">
        <x:v>72</x:v>
      </x:c>
      <x:c r="F145" s="37"/>
      <x:c r="G145" s="37" t="str">
        <x:v>15.BOT CACAO</x:v>
      </x:c>
      <x:c r="H145" s="38" t="n">
        <x:v>161</x:v>
      </x:c>
    </x:row>
    <x:row r="146">
      <x:c r="A146" s="39" t="n">
        <x:v>160</x:v>
      </x:c>
      <x:c r="B146" s="30" t="str">
        <x:v>Bột môn GTP</x:v>
      </x:c>
      <x:c r="C146" s="30" t="str">
        <x:v>Thùng 20 gói</x:v>
      </x:c>
      <x:c r="D146" s="37" t="str">
        <x:v>gói 1kg</x:v>
      </x:c>
      <x:c r="E146" s="37" t="n">
        <x:v>174</x:v>
      </x:c>
      <x:c r="F146" s="37"/>
      <x:c r="G146" s="37" t="str">
        <x:v>15.BOT CACAO</x:v>
      </x:c>
      <x:c r="H146" s="38" t="n">
        <x:v>162</x:v>
      </x:c>
    </x:row>
    <x:row r="147">
      <x:c r="A147" s="39" t="n">
        <x:v>162</x:v>
      </x:c>
      <x:c r="B147" s="30" t="str">
        <x:v>Hồng Trà GTP 1kg</x:v>
      </x:c>
      <x:c r="C147" s="30" t="str"/>
      <x:c r="D147" s="37" t="str">
        <x:v>gói 1kg</x:v>
      </x:c>
      <x:c r="E147" s="37" t="n">
        <x:v>140</x:v>
      </x:c>
      <x:c r="F147" s="37"/>
      <x:c r="G147" s="37" t="str">
        <x:v>16. TRÀ CÁC LOẠI</x:v>
      </x:c>
      <x:c r="H147" s="38" t="n">
        <x:v>164</x:v>
      </x:c>
    </x:row>
    <x:row r="148">
      <x:c r="A148" s="39" t="n">
        <x:v>163</x:v>
      </x:c>
      <x:c r="B148" s="30" t="str">
        <x:v>Hồng Trà King</x:v>
      </x:c>
      <x:c r="C148" s="30" t="str"/>
      <x:c r="D148" s="37" t="str">
        <x:v>gói 1kg</x:v>
      </x:c>
      <x:c r="E148" s="37" t="n">
        <x:v>118</x:v>
      </x:c>
      <x:c r="F148" s="37"/>
      <x:c r="G148" s="37" t="str">
        <x:v>16. TRÀ CÁC LOẠI</x:v>
      </x:c>
      <x:c r="H148" s="38" t="n">
        <x:v>165</x:v>
      </x:c>
    </x:row>
    <x:row r="149">
      <x:c r="A149" s="39" t="n">
        <x:v>164</x:v>
      </x:c>
      <x:c r="B149" s="30" t="str">
        <x:v>Trà lài King</x:v>
      </x:c>
      <x:c r="C149" s="30" t="str"/>
      <x:c r="D149" s="37" t="str">
        <x:v>gói 1kg</x:v>
      </x:c>
      <x:c r="E149" s="37" t="n">
        <x:v>155</x:v>
      </x:c>
      <x:c r="F149" s="37"/>
      <x:c r="G149" s="37" t="str">
        <x:v>16. TRÀ CÁC LOẠI</x:v>
      </x:c>
      <x:c r="H149" s="38" t="n">
        <x:v>166</x:v>
      </x:c>
    </x:row>
    <x:row r="150">
      <x:c r="A150" s="39" t="n">
        <x:v>165</x:v>
      </x:c>
      <x:c r="B150" s="30" t="str">
        <x:v>Tra olong kinh</x:v>
      </x:c>
      <x:c r="C150" s="30" t="str"/>
      <x:c r="D150" s="37" t="str">
        <x:v>gói 1kg</x:v>
      </x:c>
      <x:c r="E150" s="37" t="n">
        <x:v>160</x:v>
      </x:c>
      <x:c r="F150" s="37"/>
      <x:c r="G150" s="37" t="str">
        <x:v>16. TRÀ CÁC LOẠI</x:v>
      </x:c>
      <x:c r="H150" s="38" t="n">
        <x:v>167</x:v>
      </x:c>
    </x:row>
    <x:row r="151">
      <x:c r="A151" s="39" t="n">
        <x:v>166</x:v>
      </x:c>
      <x:c r="B151" s="30" t="str">
        <x:v>Trà lài Lộc Phát</x:v>
      </x:c>
      <x:c r="C151" s="30" t="str">
        <x:v>Thùng 12 gói</x:v>
      </x:c>
      <x:c r="D151" s="37" t="str">
        <x:v>gói 1kg</x:v>
      </x:c>
      <x:c r="E151" s="37" t="n">
        <x:v>155</x:v>
      </x:c>
      <x:c r="F151" s="37"/>
      <x:c r="G151" s="37" t="str">
        <x:v>16. TRÀ CÁC LOẠI</x:v>
      </x:c>
      <x:c r="H151" s="38" t="n">
        <x:v>168</x:v>
      </x:c>
    </x:row>
    <x:row r="152">
      <x:c r="A152" s="39" t="n">
        <x:v>167</x:v>
      </x:c>
      <x:c r="B152" s="30" t="str">
        <x:v>Trà đen Lộc Phát</x:v>
      </x:c>
      <x:c r="C152" s="30" t="str">
        <x:v>Thùng 12 gói</x:v>
      </x:c>
      <x:c r="D152" s="37" t="str">
        <x:v>gói 1kg</x:v>
      </x:c>
      <x:c r="E152" s="37" t="n">
        <x:v>155</x:v>
      </x:c>
      <x:c r="F152" s="37"/>
      <x:c r="G152" s="37" t="str">
        <x:v>16. TRÀ CÁC LOẠI</x:v>
      </x:c>
      <x:c r="H152" s="38" t="n">
        <x:v>169</x:v>
      </x:c>
    </x:row>
    <x:row r="153">
      <x:c r="A153" s="39" t="n">
        <x:v>168</x:v>
      </x:c>
      <x:c r="B153" s="30" t="str">
        <x:v>Trà olong Lộc phát</x:v>
      </x:c>
      <x:c r="C153" s="30" t="str">
        <x:v>Thùng 12 gói</x:v>
      </x:c>
      <x:c r="D153" s="37" t="str">
        <x:v>gói 1kg</x:v>
      </x:c>
      <x:c r="E153" s="37" t="n">
        <x:v>306</x:v>
      </x:c>
      <x:c r="F153" s="37"/>
      <x:c r="G153" s="37" t="str">
        <x:v>16. TRÀ CÁC LOẠI</x:v>
      </x:c>
      <x:c r="H153" s="38" t="n">
        <x:v>170</x:v>
      </x:c>
    </x:row>
    <x:row r="154">
      <x:c r="A154" s="39" t="n">
        <x:v>169</x:v>
      </x:c>
      <x:c r="B154" s="30" t="str">
        <x:v>Trà đen 9 Douxian</x:v>
      </x:c>
      <x:c r="C154" s="30" t="str">
        <x:v>Thùng 10 gói</x:v>
      </x:c>
      <x:c r="D154" s="37" t="str">
        <x:v>gói 500g</x:v>
      </x:c>
      <x:c r="E154" s="37" t="n">
        <x:v>43</x:v>
      </x:c>
      <x:c r="F154" s="37"/>
      <x:c r="G154" s="37" t="str">
        <x:v>16. TRÀ CÁC LOẠI</x:v>
      </x:c>
      <x:c r="H154" s="38" t="n">
        <x:v>171</x:v>
      </x:c>
    </x:row>
    <x:row r="155">
      <x:c r="A155" s="39" t="n">
        <x:v>170</x:v>
      </x:c>
      <x:c r="B155" s="30" t="str">
        <x:v>Trà đen HT 9 bóng</x:v>
      </x:c>
      <x:c r="C155" s="30" t="str">
        <x:v>BAO 5O GÓI</x:v>
      </x:c>
      <x:c r="D155" s="37" t="str">
        <x:v>gói 500g</x:v>
      </x:c>
      <x:c r="E155" s="37" t="n">
        <x:v>45</x:v>
      </x:c>
      <x:c r="F155" s="37"/>
      <x:c r="G155" s="37" t="str">
        <x:v>16. TRÀ CÁC LOẠI</x:v>
      </x:c>
      <x:c r="H155" s="38" t="n">
        <x:v>172</x:v>
      </x:c>
    </x:row>
    <x:row r="156">
      <x:c r="A156" s="39" t="n">
        <x:v>171</x:v>
      </x:c>
      <x:c r="B156" s="30" t="str">
        <x:v>Trà đen HT 9 Luave</x:v>
      </x:c>
      <x:c r="C156" s="30" t="str">
        <x:v>Thùng 20 gói</x:v>
      </x:c>
      <x:c r="D156" s="37" t="str">
        <x:v>gói 500g</x:v>
      </x:c>
      <x:c r="E156" s="37" t="n">
        <x:v>68</x:v>
      </x:c>
      <x:c r="F156" s="37"/>
      <x:c r="G156" s="37" t="str">
        <x:v>16. TRÀ CÁC LOẠI</x:v>
      </x:c>
      <x:c r="H156" s="38" t="n">
        <x:v>173</x:v>
      </x:c>
    </x:row>
    <x:row r="157">
      <x:c r="A157" s="39" t="n">
        <x:v>172</x:v>
      </x:c>
      <x:c r="B157" s="30" t="str">
        <x:v>Trà đen Hoàng Gia</x:v>
      </x:c>
      <x:c r="C157" s="30" t="str">
        <x:v>Thùng 20 gói</x:v>
      </x:c>
      <x:c r="D157" s="37" t="str">
        <x:v>gói 500g</x:v>
      </x:c>
      <x:c r="E157" s="37" t="n">
        <x:v>57</x:v>
      </x:c>
      <x:c r="F157" s="37" t="n">
        <x:v>55</x:v>
      </x:c>
      <x:c r="G157" s="37" t="str">
        <x:v>16. TRÀ CÁC LOẠI</x:v>
      </x:c>
      <x:c r="H157" s="38" t="n">
        <x:v>174</x:v>
      </x:c>
    </x:row>
    <x:row r="158">
      <x:c r="A158" s="39" t="n">
        <x:v>173</x:v>
      </x:c>
      <x:c r="B158" s="30" t="str">
        <x:v>Trà lài Hoàng Gia</x:v>
      </x:c>
      <x:c r="C158" s="30" t="str">
        <x:v>Thùng 20 gói</x:v>
      </x:c>
      <x:c r="D158" s="37" t="str">
        <x:v>gói 500g</x:v>
      </x:c>
      <x:c r="E158" s="37" t="n">
        <x:v>80</x:v>
      </x:c>
      <x:c r="F158" s="37" t="n">
        <x:v>78</x:v>
      </x:c>
      <x:c r="G158" s="37" t="str">
        <x:v>16. TRÀ CÁC LOẠI</x:v>
      </x:c>
      <x:c r="H158" s="38" t="n">
        <x:v>175</x:v>
      </x:c>
    </x:row>
    <x:row r="159">
      <x:c r="A159" s="39" t="n">
        <x:v>174</x:v>
      </x:c>
      <x:c r="B159" s="30" t="str">
        <x:v>Trà olong tấm HG 500gr</x:v>
      </x:c>
      <x:c r="C159" s="30" t="str">
        <x:v>Thùng 20 gói</x:v>
      </x:c>
      <x:c r="D159" s="37" t="str">
        <x:v>gói 500g</x:v>
      </x:c>
      <x:c r="E159" s="37" t="n">
        <x:v>80</x:v>
      </x:c>
      <x:c r="F159" s="37"/>
      <x:c r="G159" s="37" t="str">
        <x:v>16. TRÀ CÁC LOẠI</x:v>
      </x:c>
      <x:c r="H159" s="38" t="n">
        <x:v>176</x:v>
      </x:c>
    </x:row>
    <x:row r="160">
      <x:c r="A160" s="39" t="n">
        <x:v>175</x:v>
      </x:c>
      <x:c r="B160" s="30" t="str">
        <x:v>Trà dứa sao vàng</x:v>
      </x:c>
      <x:c r="C160" s="30" t="str"/>
      <x:c r="D160" s="37" t="str">
        <x:v>gói</x:v>
      </x:c>
      <x:c r="E160" s="37" t="n">
        <x:v>27</x:v>
      </x:c>
      <x:c r="F160" s="37"/>
      <x:c r="G160" s="37" t="str">
        <x:v>16. TRÀ CÁC LOẠI</x:v>
      </x:c>
      <x:c r="H160" s="38" t="n">
        <x:v>177</x:v>
      </x:c>
    </x:row>
    <x:row r="161">
      <x:c r="A161" s="39" t="n">
        <x:v>176</x:v>
      </x:c>
      <x:c r="B161" s="30" t="str">
        <x:v>Hồng trà túi lọc TNB</x:v>
      </x:c>
      <x:c r="C161" s="30" t="str">
        <x:v>Thùng 50 gói</x:v>
      </x:c>
      <x:c r="D161" s="37" t="str">
        <x:v>gói</x:v>
      </x:c>
      <x:c r="E161" s="37" t="n">
        <x:v>30</x:v>
      </x:c>
      <x:c r="F161" s="37"/>
      <x:c r="G161" s="37" t="str">
        <x:v>16. TRÀ CÁC LOẠI</x:v>
      </x:c>
      <x:c r="H161" s="38" t="n">
        <x:v>178</x:v>
      </x:c>
    </x:row>
    <x:row r="162">
      <x:c r="A162" s="39" t="n">
        <x:v>177</x:v>
      </x:c>
      <x:c r="B162" s="30" t="str">
        <x:v>Trà đào túi lọc TNB</x:v>
      </x:c>
      <x:c r="C162" s="30" t="str">
        <x:v>Thùng 30 gói</x:v>
      </x:c>
      <x:c r="D162" s="37" t="str">
        <x:v>gói</x:v>
      </x:c>
      <x:c r="E162" s="37" t="n">
        <x:v>42</x:v>
      </x:c>
      <x:c r="F162" s="37"/>
      <x:c r="G162" s="37" t="str">
        <x:v>16. TRÀ CÁC LOẠI</x:v>
      </x:c>
      <x:c r="H162" s="38" t="n">
        <x:v>179</x:v>
      </x:c>
    </x:row>
    <x:row r="163">
      <x:c r="A163" s="39" t="n">
        <x:v>178</x:v>
      </x:c>
      <x:c r="B163" s="30" t="str">
        <x:v>Trà lài túi lọc TNB</x:v>
      </x:c>
      <x:c r="C163" s="30" t="str">
        <x:v>Thùng 50 gói</x:v>
      </x:c>
      <x:c r="D163" s="37" t="str">
        <x:v>gói</x:v>
      </x:c>
      <x:c r="E163" s="37" t="n">
        <x:v>29</x:v>
      </x:c>
      <x:c r="F163" s="37"/>
      <x:c r="G163" s="37" t="str">
        <x:v>16. TRÀ CÁC LOẠI</x:v>
      </x:c>
      <x:c r="H163" s="38" t="n">
        <x:v>180</x:v>
      </x:c>
    </x:row>
    <x:row r="164">
      <x:c r="A164" s="39" t="n">
        <x:v>179</x:v>
      </x:c>
      <x:c r="B164" s="30" t="str">
        <x:v>Tra den phuc long</x:v>
      </x:c>
      <x:c r="C164" s="30" t="str">
        <x:v>Thung 20goi</x:v>
      </x:c>
      <x:c r="D164" s="37" t="str">
        <x:v>gói 500g</x:v>
      </x:c>
      <x:c r="E164" s="37" t="n">
        <x:v>107</x:v>
      </x:c>
      <x:c r="F164" s="37"/>
      <x:c r="G164" s="37" t="str">
        <x:v>16. TRÀ CÁC LOẠI</x:v>
      </x:c>
      <x:c r="H164" s="38" t="n">
        <x:v>181</x:v>
      </x:c>
    </x:row>
    <x:row r="165">
      <x:c r="A165" s="39" t="n">
        <x:v>180</x:v>
      </x:c>
      <x:c r="B165" s="30" t="str">
        <x:v>Trà sen/LÀI Phúc Long</x:v>
      </x:c>
      <x:c r="C165" s="30" t="str">
        <x:v>Thùng 20 hộp</x:v>
      </x:c>
      <x:c r="D165" s="37" t="str">
        <x:v>hộp</x:v>
      </x:c>
      <x:c r="E165" s="37" t="n">
        <x:v>38</x:v>
      </x:c>
      <x:c r="F165" s="37"/>
      <x:c r="G165" s="37" t="str">
        <x:v>16. TRÀ CÁC LOẠI</x:v>
      </x:c>
      <x:c r="H165" s="38" t="n">
        <x:v>182</x:v>
      </x:c>
    </x:row>
    <x:row r="166">
      <x:c r="A166" s="39" t="n">
        <x:v>181</x:v>
      </x:c>
      <x:c r="B166" s="30" t="str">
        <x:v>tra olong phuc long</x:v>
      </x:c>
      <x:c r="C166" s="30" t="str">
        <x:v>Thung 20 hop</x:v>
      </x:c>
      <x:c r="D166" s="37" t="str">
        <x:v>hộp</x:v>
      </x:c>
      <x:c r="E166" s="37" t="n">
        <x:v>40</x:v>
      </x:c>
      <x:c r="F166" s="37"/>
      <x:c r="G166" s="37" t="str">
        <x:v>16. TRÀ CÁC LOẠI</x:v>
      </x:c>
      <x:c r="H166" s="38" t="n">
        <x:v>183</x:v>
      </x:c>
    </x:row>
    <x:row r="167">
      <x:c r="A167" s="39" t="n">
        <x:v>182</x:v>
      </x:c>
      <x:c r="B167" s="30" t="str">
        <x:v>Trà sen/LÀI Thái Nguyên</x:v>
      </x:c>
      <x:c r="C167" s="30" t="str">
        <x:v>Thùng 25 gói</x:v>
      </x:c>
      <x:c r="D167" s="37" t="str">
        <x:v>gói</x:v>
      </x:c>
      <x:c r="E167" s="37" t="n">
        <x:v>40</x:v>
      </x:c>
      <x:c r="F167" s="37"/>
      <x:c r="G167" s="37" t="str">
        <x:v>16. TRÀ CÁC LOẠI</x:v>
      </x:c>
      <x:c r="H167" s="38" t="n">
        <x:v>184</x:v>
      </x:c>
    </x:row>
    <x:row r="168">
      <x:c r="A168" s="39" t="n">
        <x:v>183</x:v>
      </x:c>
      <x:c r="B168" s="30" t="str">
        <x:v>Lipton COZY</x:v>
      </x:c>
      <x:c r="C168" s="30" t="str">
        <x:v>Thùng 36 hộp</x:v>
      </x:c>
      <x:c r="D168" s="37" t="str">
        <x:v>hộp</x:v>
      </x:c>
      <x:c r="E168" s="37" t="n">
        <x:v>79</x:v>
      </x:c>
      <x:c r="F168" s="37"/>
      <x:c r="G168" s="37" t="str">
        <x:v>16. TRÀ CÁC LOẠI</x:v>
      </x:c>
      <x:c r="H168" s="38" t="n">
        <x:v>185</x:v>
      </x:c>
    </x:row>
    <x:row r="169">
      <x:c r="A169" s="39" t="n">
        <x:v>184</x:v>
      </x:c>
      <x:c r="B169" s="30" t="str">
        <x:v>Trà Cozy Hòa tan</x:v>
      </x:c>
      <x:c r="C169" s="30" t="str">
        <x:v>Thùng 30 gói</x:v>
      </x:c>
      <x:c r="D169" s="37" t="str">
        <x:v>hộp</x:v>
      </x:c>
      <x:c r="E169" s="37" t="n">
        <x:v>36</x:v>
      </x:c>
      <x:c r="F169" s="37"/>
      <x:c r="G169" s="37" t="str">
        <x:v>16. TRÀ CÁC LOẠI</x:v>
      </x:c>
      <x:c r="H169" s="38" t="n">
        <x:v>186</x:v>
      </x:c>
    </x:row>
    <x:row r="170">
      <x:c r="A170" s="39" t="n">
        <x:v>185</x:v>
      </x:c>
      <x:c r="B170" s="30" t="str">
        <x:v>Trà Cozy túi lọc</x:v>
      </x:c>
      <x:c r="C170" s="30" t="str">
        <x:v>Thùng 36 hộp</x:v>
      </x:c>
      <x:c r="D170" s="37" t="str">
        <x:v>hộp</x:v>
      </x:c>
      <x:c r="E170" s="37" t="n">
        <x:v>38</x:v>
      </x:c>
      <x:c r="F170" s="37"/>
      <x:c r="G170" s="37" t="str">
        <x:v>16. TRÀ CÁC LOẠI</x:v>
      </x:c>
      <x:c r="H170" s="38" t="n">
        <x:v>187</x:v>
      </x:c>
    </x:row>
    <x:row r="171">
      <x:c r="A171" s="39" t="n">
        <x:v>186</x:v>
      </x:c>
      <x:c r="B171" s="30" t="str">
        <x:v>Trà Thái xanh/đỏ Cty</x:v>
      </x:c>
      <x:c r="C171" s="30" t="str">
        <x:v>Thùng 12 gói</x:v>
      </x:c>
      <x:c r="D171" s="37" t="str">
        <x:v>gói</x:v>
      </x:c>
      <x:c r="E171" s="37" t="n">
        <x:v>70</x:v>
      </x:c>
      <x:c r="F171" s="37"/>
      <x:c r="G171" s="37" t="str">
        <x:v>16. TRÀ CÁC LOẠI</x:v>
      </x:c>
      <x:c r="H171" s="38" t="n">
        <x:v>188</x:v>
      </x:c>
    </x:row>
    <x:row r="172">
      <x:c r="A172" s="39" t="n">
        <x:v>187</x:v>
      </x:c>
      <x:c r="B172" s="30" t="str">
        <x:v>Trà Thái xanh thường</x:v>
      </x:c>
      <x:c r="C172" s="30" t="str">
        <x:v>Thùng 12 gói</x:v>
      </x:c>
      <x:c r="D172" s="37" t="str">
        <x:v>gói</x:v>
      </x:c>
      <x:c r="E172" s="37" t="n">
        <x:v>65</x:v>
      </x:c>
      <x:c r="F172" s="37"/>
      <x:c r="G172" s="37" t="str">
        <x:v>16. TRÀ CÁC LOẠI</x:v>
      </x:c>
      <x:c r="H172" s="38" t="n">
        <x:v>189</x:v>
      </x:c>
    </x:row>
    <x:row r="173">
      <x:c r="A173" s="39" t="n">
        <x:v>188</x:v>
      </x:c>
      <x:c r="B173" s="30" t="str">
        <x:v>Trà gạo novia</x:v>
      </x:c>
      <x:c r="C173" s="30" t="str">
        <x:v>Thùng 20 gói</x:v>
      </x:c>
      <x:c r="D173" s="37" t="str">
        <x:v>gói 500g</x:v>
      </x:c>
      <x:c r="E173" s="37" t="n">
        <x:v>125</x:v>
      </x:c>
      <x:c r="F173" s="37"/>
      <x:c r="G173" s="37" t="str">
        <x:v>16. TRÀ CÁC LOẠI</x:v>
      </x:c>
      <x:c r="H173" s="38" t="n">
        <x:v>190</x:v>
      </x:c>
    </x:row>
    <x:row r="174">
      <x:c r="A174" s="39" t="n">
        <x:v>189</x:v>
      </x:c>
      <x:c r="B174" s="30" t="str">
        <x:v>Trà đen novia</x:v>
      </x:c>
      <x:c r="C174" s="30" t="str">
        <x:v>Thùng 20 gói</x:v>
      </x:c>
      <x:c r="D174" s="37" t="str">
        <x:v>gói 500g</x:v>
      </x:c>
      <x:c r="E174" s="37" t="n">
        <x:v>82</x:v>
      </x:c>
      <x:c r="F174" s="37" t="n">
        <x:v>80</x:v>
      </x:c>
      <x:c r="G174" s="37" t="str">
        <x:v>16. TRÀ CÁC LOẠI</x:v>
      </x:c>
      <x:c r="H174" s="38" t="n">
        <x:v>191</x:v>
      </x:c>
    </x:row>
    <x:row r="175">
      <x:c r="A175" s="39" t="n">
        <x:v>190</x:v>
      </x:c>
      <x:c r="B175" s="30" t="str">
        <x:v>Trà  lài novia</x:v>
      </x:c>
      <x:c r="C175" s="30" t="str">
        <x:v>Thùng 20 gói</x:v>
      </x:c>
      <x:c r="D175" s="37" t="str">
        <x:v>gói 500g</x:v>
      </x:c>
      <x:c r="E175" s="37" t="n">
        <x:v>80</x:v>
      </x:c>
      <x:c r="F175" s="37" t="n">
        <x:v>78</x:v>
      </x:c>
      <x:c r="G175" s="37" t="str">
        <x:v>16. TRÀ CÁC LOẠI</x:v>
      </x:c>
      <x:c r="H175" s="38" t="n">
        <x:v>192</x:v>
      </x:c>
    </x:row>
    <x:row r="176">
      <x:c r="A176" s="39" t="n">
        <x:v>191</x:v>
      </x:c>
      <x:c r="B176" s="30" t="str">
        <x:v>HỒNG TRÀ CÔ GÁI</x:v>
      </x:c>
      <x:c r="C176" s="30" t="str">
        <x:v>Thùng 20 gói</x:v>
      </x:c>
      <x:c r="D176" s="37" t="str">
        <x:v>gói 500g</x:v>
      </x:c>
      <x:c r="E176" s="37" t="n">
        <x:v>110</x:v>
      </x:c>
      <x:c r="F176" s="37"/>
      <x:c r="G176" s="37" t="str">
        <x:v>16. TRÀ CÁC LOẠI</x:v>
      </x:c>
      <x:c r="H176" s="38" t="n">
        <x:v>193</x:v>
      </x:c>
    </x:row>
    <x:row r="177">
      <x:c r="A177" s="39" t="n">
        <x:v>192</x:v>
      </x:c>
      <x:c r="B177" s="30" t="str">
        <x:v>TRÀ ĐEN CÔ GÁI</x:v>
      </x:c>
      <x:c r="C177" s="30" t="str">
        <x:v>Thùng 20 gói</x:v>
      </x:c>
      <x:c r="D177" s="37" t="str">
        <x:v>gói 500g</x:v>
      </x:c>
      <x:c r="E177" s="37" t="n">
        <x:v>84</x:v>
      </x:c>
      <x:c r="F177" s="37"/>
      <x:c r="G177" s="37" t="str">
        <x:v>16. TRÀ CÁC LOẠI</x:v>
      </x:c>
      <x:c r="H177" s="38" t="n">
        <x:v>194</x:v>
      </x:c>
    </x:row>
    <x:row r="178">
      <x:c r="A178" s="39" t="n">
        <x:v>193</x:v>
      </x:c>
      <x:c r="B178" s="30" t="str">
        <x:v>TRÀ LÀI CÔ GÁI</x:v>
      </x:c>
      <x:c r="C178" s="30" t="str">
        <x:v>Thùng 20 gói</x:v>
      </x:c>
      <x:c r="D178" s="37" t="str">
        <x:v>gói 500g</x:v>
      </x:c>
      <x:c r="E178" s="37" t="n">
        <x:v>84</x:v>
      </x:c>
      <x:c r="F178" s="37"/>
      <x:c r="G178" s="37" t="str">
        <x:v>16. TRÀ CÁC LOẠI</x:v>
      </x:c>
      <x:c r="H178" s="38" t="n">
        <x:v>195</x:v>
      </x:c>
    </x:row>
    <x:row r="179">
      <x:c r="A179" s="39" t="n">
        <x:v>194</x:v>
      </x:c>
      <x:c r="B179" s="30" t="str">
        <x:v>TRÀ LÀI NHƯ Ý</x:v>
      </x:c>
      <x:c r="C179" s="30" t="str">
        <x:v>Thùng 20 gói</x:v>
      </x:c>
      <x:c r="D179" s="37" t="str">
        <x:v>gói 500g</x:v>
      </x:c>
      <x:c r="E179" s="37" t="n">
        <x:v>80</x:v>
      </x:c>
      <x:c r="F179" s="37"/>
      <x:c r="G179" s="37" t="str">
        <x:v>16. TRÀ CÁC LOẠI</x:v>
      </x:c>
      <x:c r="H179" s="38" t="n">
        <x:v>196</x:v>
      </x:c>
    </x:row>
    <x:row r="180">
      <x:c r="A180" s="39" t="n">
        <x:v>195</x:v>
      </x:c>
      <x:c r="B180" s="30" t="str">
        <x:v>TRÀ GẠO RANG ONA</x:v>
      </x:c>
      <x:c r="C180" s="30" t="str">
        <x:v>Thùng 20 gói</x:v>
      </x:c>
      <x:c r="D180" s="37" t="str">
        <x:v>gói 500g</x:v>
      </x:c>
      <x:c r="E180" s="37" t="n">
        <x:v>127</x:v>
      </x:c>
      <x:c r="F180" s="37"/>
      <x:c r="G180" s="37" t="str">
        <x:v>16. TRÀ CÁC LOẠI</x:v>
      </x:c>
      <x:c r="H180" s="38" t="n">
        <x:v>197</x:v>
      </x:c>
    </x:row>
    <x:row r="181">
      <x:c r="A181" s="39" t="n">
        <x:v>196</x:v>
      </x:c>
      <x:c r="B181" s="30" t="str">
        <x:v>TRÀ OLONG TỨ QUÝ</x:v>
      </x:c>
      <x:c r="C181" s="30" t="str">
        <x:v>Thùng 20 gói</x:v>
      </x:c>
      <x:c r="D181" s="37" t="str">
        <x:v>gói 500g</x:v>
      </x:c>
      <x:c r="E181" s="37" t="n">
        <x:v>153</x:v>
      </x:c>
      <x:c r="F181" s="37"/>
      <x:c r="G181" s="37" t="str">
        <x:v>16. TRÀ CÁC LOẠI</x:v>
      </x:c>
      <x:c r="H181" s="38" t="n">
        <x:v>198</x:v>
      </x:c>
    </x:row>
    <x:row r="182">
      <x:c r="A182" s="39" t="n">
        <x:v>197</x:v>
      </x:c>
      <x:c r="B182" s="30" t="str">
        <x:v>TRÀ QUẢ MỌNG</x:v>
      </x:c>
      <x:c r="C182" s="30" t="str">
        <x:v>Thùng 20 gói</x:v>
      </x:c>
      <x:c r="D182" s="37" t="str">
        <x:v>gói 500g</x:v>
      </x:c>
      <x:c r="E182" s="37" t="n">
        <x:v>225</x:v>
      </x:c>
      <x:c r="F182" s="37"/>
      <x:c r="G182" s="37" t="str">
        <x:v>16. TRÀ CÁC LOẠI</x:v>
      </x:c>
      <x:c r="H182" s="38" t="n">
        <x:v>199</x:v>
      </x:c>
    </x:row>
    <x:row r="183">
      <x:c r="A183" s="39" t="n">
        <x:v>198</x:v>
      </x:c>
      <x:c r="B183" s="30" t="str">
        <x:v>Trà HP</x:v>
      </x:c>
      <x:c r="C183" s="30" t="str"/>
      <x:c r="D183" s="37" t="str">
        <x:v>kg</x:v>
      </x:c>
      <x:c r="E183" s="37" t="n">
        <x:v>150</x:v>
      </x:c>
      <x:c r="F183" s="37"/>
      <x:c r="G183" s="37" t="str">
        <x:v>16. TRÀ CÁC LOẠI</x:v>
      </x:c>
      <x:c r="H183" s="38" t="n">
        <x:v>200</x:v>
      </x:c>
    </x:row>
    <x:row r="184">
      <x:c r="A184" s="39" t="n">
        <x:v>200</x:v>
      </x:c>
      <x:c r="B184" s="30" t="str">
        <x:v>Mật ong Euro deli</x:v>
      </x:c>
      <x:c r="C184" s="30" t="str">
        <x:v>THÙNG 10 BÌNH</x:v>
      </x:c>
      <x:c r="D184" s="37" t="str">
        <x:v>bình</x:v>
      </x:c>
      <x:c r="E184" s="37" t="n">
        <x:v>210</x:v>
      </x:c>
      <x:c r="F184" s="37"/>
      <x:c r="G184" s="37" t="str">
        <x:v>17 .Đồ LẺ</x:v>
      </x:c>
      <x:c r="H184" s="38" t="n">
        <x:v>202</x:v>
      </x:c>
    </x:row>
    <x:row r="185">
      <x:c r="A185" s="39" t="n">
        <x:v>201</x:v>
      </x:c>
      <x:c r="B185" s="30" t="str">
        <x:v>Lá Rong Biển</x:v>
      </x:c>
      <x:c r="C185" s="30" t="str">
        <x:v>gói 100 lá</x:v>
      </x:c>
      <x:c r="D185" s="37" t="str">
        <x:v>gói</x:v>
      </x:c>
      <x:c r="E185" s="37" t="n">
        <x:v>285</x:v>
      </x:c>
      <x:c r="F185" s="37"/>
      <x:c r="G185" s="37" t="str">
        <x:v>17 .Đồ LẺ</x:v>
      </x:c>
      <x:c r="H185" s="38" t="n">
        <x:v>203</x:v>
      </x:c>
    </x:row>
    <x:row r="186">
      <x:c r="A186" s="39" t="n">
        <x:v>202</x:v>
      </x:c>
      <x:c r="B186" s="30" t="str">
        <x:v>Gas kem Mosa</x:v>
      </x:c>
      <x:c r="C186" s="30" t="str">
        <x:v>Thùng 36 hộp</x:v>
      </x:c>
      <x:c r="D186" s="37" t="str">
        <x:v>hộp</x:v>
      </x:c>
      <x:c r="E186" s="37" t="n">
        <x:v>82</x:v>
      </x:c>
      <x:c r="F186" s="37"/>
      <x:c r="G186" s="37" t="str">
        <x:v>17 .Đồ LẺ</x:v>
      </x:c>
      <x:c r="H186" s="38" t="n">
        <x:v>204</x:v>
      </x:c>
    </x:row>
    <x:row r="187">
      <x:c r="A187" s="39" t="n">
        <x:v>203</x:v>
      </x:c>
      <x:c r="B187" s="30" t="str">
        <x:v>Than tre</x:v>
      </x:c>
      <x:c r="C187" s="30" t="str">
        <x:v>bich</x:v>
      </x:c>
      <x:c r="D187" s="37" t="str">
        <x:v>bich</x:v>
      </x:c>
      <x:c r="E187" s="37" t="n">
        <x:v>102</x:v>
      </x:c>
      <x:c r="F187" s="37"/>
      <x:c r="G187" s="37" t="str">
        <x:v>17 .Đồ LẺ</x:v>
      </x:c>
      <x:c r="H187" s="38" t="n">
        <x:v>205</x:v>
      </x:c>
    </x:row>
    <x:row r="188">
      <x:c r="A188" s="39" t="n">
        <x:v>204</x:v>
      </x:c>
      <x:c r="B188" s="30" t="str">
        <x:v>galatin thuong</x:v>
      </x:c>
      <x:c r="C188" s="30" t="str">
        <x:v>Lẽ 30k  gram</x:v>
      </x:c>
      <x:c r="D188" s="37" t="str">
        <x:v>ky</x:v>
      </x:c>
      <x:c r="E188" s="37" t="n">
        <x:v>290</x:v>
      </x:c>
      <x:c r="F188" s="37"/>
      <x:c r="G188" s="37" t="str">
        <x:v>17 .Đồ LẺ</x:v>
      </x:c>
      <x:c r="H188" s="38" t="n">
        <x:v>206</x:v>
      </x:c>
    </x:row>
    <x:row r="189">
      <x:c r="A189" s="39" t="n">
        <x:v>205</x:v>
      </x:c>
      <x:c r="B189" s="30" t="str">
        <x:v>Hạt Chia</x:v>
      </x:c>
      <x:c r="C189" s="30" t="str">
        <x:v>Thùng 6  gói</x:v>
      </x:c>
      <x:c r="D189" s="37" t="str">
        <x:v>kg</x:v>
      </x:c>
      <x:c r="E189" s="37" t="n">
        <x:v>110</x:v>
      </x:c>
      <x:c r="F189" s="37"/>
      <x:c r="G189" s="37" t="str">
        <x:v>17 .Đồ LẺ</x:v>
      </x:c>
      <x:c r="H189" s="38" t="n">
        <x:v>207</x:v>
      </x:c>
    </x:row>
    <x:row r="190">
      <x:c r="A190" s="39" t="n">
        <x:v>206</x:v>
      </x:c>
      <x:c r="B190" s="30" t="str">
        <x:v>Bột Matcha đai loan</x:v>
      </x:c>
      <x:c r="C190" s="30" t="str">
        <x:v>Thùng 10 gói</x:v>
      </x:c>
      <x:c r="D190" s="37" t="str">
        <x:v>gói</x:v>
      </x:c>
      <x:c r="E190" s="37" t="n">
        <x:v>360</x:v>
      </x:c>
      <x:c r="F190" s="37"/>
      <x:c r="G190" s="37" t="str">
        <x:v>17 .Đồ LẺ</x:v>
      </x:c>
      <x:c r="H190" s="38" t="n">
        <x:v>208</x:v>
      </x:c>
    </x:row>
    <x:row r="191">
      <x:c r="A191" s="39" t="n">
        <x:v>207</x:v>
      </x:c>
      <x:c r="B191" s="30" t="str">
        <x:v>Bot matcha cozy</x:v>
      </x:c>
      <x:c r="C191" s="30" t="str">
        <x:v>goi</x:v>
      </x:c>
      <x:c r="D191" s="37" t="str">
        <x:v>goi 200g</x:v>
      </x:c>
      <x:c r="E191" s="37" t="n">
        <x:v>143</x:v>
      </x:c>
      <x:c r="F191" s="37"/>
      <x:c r="G191" s="37" t="str">
        <x:v>17 .Đồ LẺ</x:v>
      </x:c>
      <x:c r="H191" s="38" t="n">
        <x:v>209</x:v>
      </x:c>
    </x:row>
    <x:row r="192">
      <x:c r="A192" s="39" t="n">
        <x:v>208</x:v>
      </x:c>
      <x:c r="B192" s="30" t="str">
        <x:v>Bot matcha SEOUL</x:v>
      </x:c>
      <x:c r="C192" s="30" t="str">
        <x:v>goi</x:v>
      </x:c>
      <x:c r="D192" s="37" t="str">
        <x:v>goi 200g</x:v>
      </x:c>
      <x:c r="E192" s="37" t="n">
        <x:v>129</x:v>
      </x:c>
      <x:c r="F192" s="37"/>
      <x:c r="G192" s="37" t="str">
        <x:v>17 .Đồ LẺ</x:v>
      </x:c>
      <x:c r="H192" s="38" t="n">
        <x:v>210</x:v>
      </x:c>
    </x:row>
    <x:row r="193">
      <x:c r="A193" s="39" t="n">
        <x:v>209</x:v>
      </x:c>
      <x:c r="B193" s="30" t="str">
        <x:v>Bột mặn phô mai ông già</x:v>
      </x:c>
      <x:c r="C193" s="30" t="str">
        <x:v>goi</x:v>
      </x:c>
      <x:c r="D193" s="37" t="str">
        <x:v>gói</x:v>
      </x:c>
      <x:c r="E193" s="37" t="n">
        <x:v>415</x:v>
      </x:c>
      <x:c r="F193" s="37"/>
      <x:c r="G193" s="37" t="str">
        <x:v>17 .Đồ LẺ</x:v>
      </x:c>
      <x:c r="H193" s="38" t="n">
        <x:v>211</x:v>
      </x:c>
    </x:row>
    <x:row r="194">
      <x:c r="A194" s="39" t="n">
        <x:v>210</x:v>
      </x:c>
      <x:c r="B194" s="30" t="str">
        <x:v>Sương Sáo trắng/đen</x:v>
      </x:c>
      <x:c r="C194" s="30" t="str">
        <x:v>Thùng 100 gói</x:v>
      </x:c>
      <x:c r="D194" s="37" t="str">
        <x:v>gói</x:v>
      </x:c>
      <x:c r="E194" s="37" t="n">
        <x:v>16</x:v>
      </x:c>
      <x:c r="F194" s="37"/>
      <x:c r="G194" s="37" t="str">
        <x:v>17 .Đồ LẺ</x:v>
      </x:c>
      <x:c r="H194" s="38" t="n">
        <x:v>212</x:v>
      </x:c>
    </x:row>
    <x:row r="195">
      <x:c r="A195" s="39" t="n">
        <x:v>211</x:v>
      </x:c>
      <x:c r="B195" s="30" t="str">
        <x:v>Sương sáo đen mota</x:v>
      </x:c>
      <x:c r="C195" s="30" t="str">
        <x:v>Thùng 100 gói</x:v>
      </x:c>
      <x:c r="D195" s="37" t="str">
        <x:v>gói</x:v>
      </x:c>
      <x:c r="E195" s="37" t="n">
        <x:v>13</x:v>
      </x:c>
      <x:c r="F195" s="37"/>
      <x:c r="G195" s="37" t="str">
        <x:v>17 .Đồ LẺ</x:v>
      </x:c>
      <x:c r="H195" s="38" t="n">
        <x:v>213</x:v>
      </x:c>
    </x:row>
    <x:row r="196">
      <x:c r="A196" s="39" t="n">
        <x:v>212</x:v>
      </x:c>
      <x:c r="B196" s="30" t="str">
        <x:v>Ice hot lùn</x:v>
      </x:c>
      <x:c r="C196" s="30" t="str">
        <x:v>Thùng 24</x:v>
      </x:c>
      <x:c r="D196" s="37" t="str">
        <x:v>hộp</x:v>
      </x:c>
      <x:c r="E196" s="37" t="n">
        <x:v>31</x:v>
      </x:c>
      <x:c r="F196" s="37"/>
      <x:c r="G196" s="37" t="str">
        <x:v>17 .Đồ LẺ</x:v>
      </x:c>
      <x:c r="H196" s="38" t="n">
        <x:v>214</x:v>
      </x:c>
    </x:row>
    <x:row r="197">
      <x:c r="A197" s="39" t="n">
        <x:v>213</x:v>
      </x:c>
      <x:c r="B197" s="30" t="str">
        <x:v>Rich lun</x:v>
      </x:c>
      <x:c r="C197" s="30" t="str">
        <x:v>Thùng 24</x:v>
      </x:c>
      <x:c r="D197" s="37" t="str">
        <x:v>hộp</x:v>
      </x:c>
      <x:c r="E197" s="37" t="n">
        <x:v>32</x:v>
      </x:c>
      <x:c r="F197" s="37"/>
      <x:c r="G197" s="37" t="str">
        <x:v>17 .Đồ LẺ</x:v>
      </x:c>
      <x:c r="H197" s="38" t="n">
        <x:v>215</x:v>
      </x:c>
    </x:row>
    <x:row r="198">
      <x:c r="A198" s="39" t="n">
        <x:v>214</x:v>
      </x:c>
      <x:c r="B198" s="30" t="str">
        <x:v>Ice hot on top</x:v>
      </x:c>
      <x:c r="C198" s="30" t="str">
        <x:v>Thùng 12</x:v>
      </x:c>
      <x:c r="D198" s="37" t="str">
        <x:v>hộp</x:v>
      </x:c>
      <x:c r="E198" s="37" t="n">
        <x:v>72</x:v>
      </x:c>
      <x:c r="F198" s="37"/>
      <x:c r="G198" s="37" t="str">
        <x:v>17 .Đồ LẺ</x:v>
      </x:c>
      <x:c r="H198" s="38" t="n">
        <x:v>216</x:v>
      </x:c>
    </x:row>
    <x:row r="199">
      <x:c r="A199" s="39" t="n">
        <x:v>215</x:v>
      </x:c>
      <x:c r="B199" s="30" t="str">
        <x:v>PHÔ MAI BÒ CƯỜI</x:v>
      </x:c>
      <x:c r="C199" s="30" t="str">
        <x:v>Thùng 24 hộp</x:v>
      </x:c>
      <x:c r="D199" s="37" t="str">
        <x:v>hộp</x:v>
      </x:c>
      <x:c r="E199" s="37" t="n">
        <x:v>79</x:v>
      </x:c>
      <x:c r="F199" s="37"/>
      <x:c r="G199" s="37" t="str">
        <x:v>17 .Đồ LẺ</x:v>
      </x:c>
      <x:c r="H199" s="38" t="n">
        <x:v>217</x:v>
      </x:c>
    </x:row>
    <x:row r="200">
      <x:c r="A200" s="39" t="n">
        <x:v>216</x:v>
      </x:c>
      <x:c r="B200" s="30" t="str">
        <x:v>Phô mai khối 2.5kg mozela</x:v>
      </x:c>
      <x:c r="C200" s="30" t="str">
        <x:v>cây</x:v>
      </x:c>
      <x:c r="D200" s="37" t="str">
        <x:v>khối</x:v>
      </x:c>
      <x:c r="E200" s="37" t="n">
        <x:v>430</x:v>
      </x:c>
      <x:c r="F200" s="37"/>
      <x:c r="G200" s="37" t="str">
        <x:v>17 .Đồ LẺ</x:v>
      </x:c>
      <x:c r="H200" s="38" t="n">
        <x:v>218</x:v>
      </x:c>
    </x:row>
    <x:row r="201">
      <x:c r="A201" s="39" t="n">
        <x:v>217</x:v>
      </x:c>
      <x:c r="B201" s="30" t="str">
        <x:v>Phô mai khối 3.6 kg mozela</x:v>
      </x:c>
      <x:c r="C201" s="30" t="str">
        <x:v>cây</x:v>
      </x:c>
      <x:c r="D201" s="37" t="str">
        <x:v>khối</x:v>
      </x:c>
      <x:c r="E201" s="37" t="n">
        <x:v>620</x:v>
      </x:c>
      <x:c r="F201" s="37"/>
      <x:c r="G201" s="37" t="str">
        <x:v>17 .Đồ LẺ</x:v>
      </x:c>
      <x:c r="H201" s="38" t="n">
        <x:v>219</x:v>
      </x:c>
    </x:row>
    <x:row r="202">
      <x:c r="A202" s="39" t="n">
        <x:v>218</x:v>
      </x:c>
      <x:c r="B202" s="30" t="str">
        <x:v>Giấm Táo</x:v>
      </x:c>
      <x:c r="C202" s="30" t="str">
        <x:v>Thùng 6 bình</x:v>
      </x:c>
      <x:c r="D202" s="37" t="str">
        <x:v>bình</x:v>
      </x:c>
      <x:c r="E202" s="37" t="n">
        <x:v>75</x:v>
      </x:c>
      <x:c r="F202" s="37"/>
      <x:c r="G202" s="37" t="str">
        <x:v>17 .Đồ LẺ</x:v>
      </x:c>
      <x:c r="H202" s="38" t="n">
        <x:v>220</x:v>
      </x:c>
    </x:row>
    <x:row r="203">
      <x:c r="A203" s="39" t="n">
        <x:v>219</x:v>
      </x:c>
      <x:c r="B203" s="30" t="str">
        <x:v>Túi gà rán 500gr</x:v>
      </x:c>
      <x:c r="C203" s="30" t="str"/>
      <x:c r="D203" s="37" t="str">
        <x:v>gói</x:v>
      </x:c>
      <x:c r="E203" s="37" t="n">
        <x:v>23</x:v>
      </x:c>
      <x:c r="F203" s="37"/>
      <x:c r="G203" s="37" t="str">
        <x:v>17 .Đồ LẺ</x:v>
      </x:c>
      <x:c r="H203" s="38" t="n">
        <x:v>221</x:v>
      </x:c>
    </x:row>
    <x:row r="204">
      <x:c r="A204" s="39" t="n">
        <x:v>220</x:v>
      </x:c>
      <x:c r="B204" s="30" t="str">
        <x:v>CỐT bí đao wonderfull</x:v>
      </x:c>
      <x:c r="C204" s="30" t="str">
        <x:v>thùng 30 GÓI</x:v>
      </x:c>
      <x:c r="D204" s="37" t="str">
        <x:v>gói</x:v>
      </x:c>
      <x:c r="E204" s="37" t="n">
        <x:v>47</x:v>
      </x:c>
      <x:c r="F204" s="37"/>
      <x:c r="G204" s="37" t="str">
        <x:v>17 .Đồ LẺ</x:v>
      </x:c>
      <x:c r="H204" s="38" t="n">
        <x:v>222</x:v>
      </x:c>
    </x:row>
    <x:row r="205">
      <x:c r="A205" s="39" t="n">
        <x:v>221</x:v>
      </x:c>
      <x:c r="B205" s="30" t="str">
        <x:v>Lẩu Kim chi</x:v>
      </x:c>
      <x:c r="C205" s="30" t="str">
        <x:v>Thùng 10 lốc</x:v>
      </x:c>
      <x:c r="D205" s="37" t="str">
        <x:v>bịch</x:v>
      </x:c>
      <x:c r="E205" s="37" t="n">
        <x:v>102</x:v>
      </x:c>
      <x:c r="F205" s="37"/>
      <x:c r="G205" s="37" t="str">
        <x:v>17 .Đồ LẺ</x:v>
      </x:c>
      <x:c r="H205" s="38" t="n">
        <x:v>223</x:v>
      </x:c>
    </x:row>
    <x:row r="206">
      <x:c r="A206" s="39" t="n">
        <x:v>223</x:v>
      </x:c>
      <x:c r="B206" s="30" t="str">
        <x:v>Ống hút ts trang</x:v>
      </x:c>
      <x:c r="C206" s="30" t="str">
        <x:v>cay 10 bich</x:v>
      </x:c>
      <x:c r="D206" s="37" t="str">
        <x:v>bịch</x:v>
      </x:c>
      <x:c r="E206" s="37" t="n">
        <x:v>28</x:v>
      </x:c>
      <x:c r="F206" s="37"/>
      <x:c r="G206" s="37" t="str">
        <x:v>18 . Ông hút</x:v>
      </x:c>
      <x:c r="H206" s="38" t="n">
        <x:v>225</x:v>
      </x:c>
    </x:row>
    <x:row r="207">
      <x:c r="A207" s="39" t="n">
        <x:v>224</x:v>
      </x:c>
      <x:c r="B207" s="30" t="str">
        <x:v>ông hut ts trang boc mang</x:v>
      </x:c>
      <x:c r="C207" s="30" t="str">
        <x:v>cay 10 bich</x:v>
      </x:c>
      <x:c r="D207" s="37" t="str">
        <x:v>bich</x:v>
      </x:c>
      <x:c r="E207" s="37" t="n">
        <x:v>30</x:v>
      </x:c>
      <x:c r="F207" s="37"/>
      <x:c r="G207" s="37" t="str">
        <x:v>18 . Ông hút</x:v>
      </x:c>
      <x:c r="H207" s="38" t="n">
        <x:v>226</x:v>
      </x:c>
    </x:row>
    <x:row r="208">
      <x:c r="A208" s="39" t="n">
        <x:v>225</x:v>
      </x:c>
      <x:c r="B208" s="30" t="str">
        <x:v>ong hut trang phi 6/8</x:v>
      </x:c>
      <x:c r="C208" s="30" t="str">
        <x:v>cay 10 bich</x:v>
      </x:c>
      <x:c r="D208" s="37" t="str">
        <x:v>bich</x:v>
      </x:c>
      <x:c r="E208" s="37" t="n">
        <x:v>28</x:v>
      </x:c>
      <x:c r="F208" s="37"/>
      <x:c r="G208" s="37" t="str">
        <x:v>18 . Ông hút</x:v>
      </x:c>
      <x:c r="H208" s="38" t="n">
        <x:v>227</x:v>
      </x:c>
    </x:row>
    <x:row r="209">
      <x:c r="A209" s="39" t="n">
        <x:v>226</x:v>
      </x:c>
      <x:c r="B209" s="30" t="str">
        <x:v>ong hut ts đen phi 6/8</x:v>
      </x:c>
      <x:c r="C209" s="30" t="str">
        <x:v>cay 10 bich</x:v>
      </x:c>
      <x:c r="D209" s="37" t="str">
        <x:v>bich</x:v>
      </x:c>
      <x:c r="E209" s="37" t="n">
        <x:v>25</x:v>
      </x:c>
      <x:c r="F209" s="37"/>
      <x:c r="G209" s="37" t="str">
        <x:v>18 . Ông hút</x:v>
      </x:c>
      <x:c r="H209" s="38" t="n">
        <x:v>228</x:v>
      </x:c>
    </x:row>
    <x:row r="210">
      <x:c r="A210" s="39" t="n">
        <x:v>228</x:v>
      </x:c>
      <x:c r="B210" s="30" t="str">
        <x:v>Muỗng UKP</x:v>
      </x:c>
      <x:c r="C210" s="30" t="str">
        <x:v>Thùng 5000 cái</x:v>
      </x:c>
      <x:c r="D210" s="37" t="str">
        <x:v>bich</x:v>
      </x:c>
      <x:c r="E210" s="37" t="n">
        <x:v>6</x:v>
      </x:c>
      <x:c r="F210" s="37"/>
      <x:c r="G210" s="37" t="str">
        <x:v>19.Muỗng</x:v>
      </x:c>
      <x:c r="H210" s="38" t="n">
        <x:v>230</x:v>
      </x:c>
    </x:row>
    <x:row r="211">
      <x:c r="A211" s="39" t="n">
        <x:v>229</x:v>
      </x:c>
      <x:c r="B211" s="30" t="str">
        <x:v>Muỗng Thường ngắn</x:v>
      </x:c>
      <x:c r="C211" s="30" t="str">
        <x:v>Thùng 5000 cái</x:v>
      </x:c>
      <x:c r="D211" s="37" t="str">
        <x:v>bich</x:v>
      </x:c>
      <x:c r="E211" s="37" t="n">
        <x:v>6</x:v>
      </x:c>
      <x:c r="F211" s="37"/>
      <x:c r="G211" s="37" t="str">
        <x:v>19.Muỗng</x:v>
      </x:c>
      <x:c r="H211" s="38" t="n">
        <x:v>231</x:v>
      </x:c>
    </x:row>
    <x:row r="212">
      <x:c r="A212" s="39" t="n">
        <x:v>230</x:v>
      </x:c>
      <x:c r="B212" s="30" t="str">
        <x:v>Muỗng dài</x:v>
      </x:c>
      <x:c r="C212" s="30" t="str">
        <x:v>Thung 2500 cai</x:v>
      </x:c>
      <x:c r="D212" s="37" t="str">
        <x:v>bich</x:v>
      </x:c>
      <x:c r="E212" s="37" t="n">
        <x:v>11</x:v>
      </x:c>
      <x:c r="F212" s="37"/>
      <x:c r="G212" s="37" t="str">
        <x:v>19.Muỗng</x:v>
      </x:c>
      <x:c r="H212" s="38" t="n">
        <x:v>232</x:v>
      </x:c>
    </x:row>
    <x:row r="213">
      <x:c r="A213" s="39" t="n">
        <x:v>232</x:v>
      </x:c>
      <x:c r="B213" s="30" t="str">
        <x:v>Nắp ngang</x:v>
      </x:c>
      <x:c r="C213" s="30" t="str">
        <x:v>Thùng 40 cây</x:v>
      </x:c>
      <x:c r="D213" s="37" t="str">
        <x:v>cây</x:v>
      </x:c>
      <x:c r="E213" s="37" t="n">
        <x:v>7</x:v>
      </x:c>
      <x:c r="F213" s="37"/>
      <x:c r="G213" s="37" t="str">
        <x:v>20.NẮP</x:v>
      </x:c>
      <x:c r="H213" s="38" t="n">
        <x:v>234</x:v>
      </x:c>
    </x:row>
    <x:row r="214">
      <x:c r="A214" s="39" t="n">
        <x:v>233</x:v>
      </x:c>
      <x:c r="B214" s="30" t="str">
        <x:v>Nắp cầu/ vuông</x:v>
      </x:c>
      <x:c r="C214" s="30" t="str">
        <x:v>Thùng 40 cây</x:v>
      </x:c>
      <x:c r="D214" s="37" t="str">
        <x:v>cây</x:v>
      </x:c>
      <x:c r="E214" s="37" t="n">
        <x:v>11</x:v>
      </x:c>
      <x:c r="F214" s="37"/>
      <x:c r="G214" s="37" t="str">
        <x:v>20.NẮP</x:v>
      </x:c>
      <x:c r="H214" s="38" t="n">
        <x:v>235</x:v>
      </x:c>
    </x:row>
    <x:row r="215">
      <x:c r="A215" s="39" t="n">
        <x:v>235</x:v>
      </x:c>
      <x:c r="B215" s="30" t="str">
        <x:v>Bịch 1ly ngang</x:v>
      </x:c>
      <x:c r="C215" s="30" t="str"/>
      <x:c r="D215" s="37" t="str">
        <x:v>kg</x:v>
      </x:c>
      <x:c r="E215" s="37" t="n">
        <x:v>53</x:v>
      </x:c>
      <x:c r="F215" s="37"/>
      <x:c r="G215" s="37" t="str">
        <x:v>21.BAO LY</x:v>
      </x:c>
      <x:c r="H215" s="38" t="n">
        <x:v>237</x:v>
      </x:c>
    </x:row>
    <x:row r="216">
      <x:c r="A216" s="39" t="n">
        <x:v>236</x:v>
      </x:c>
      <x:c r="B216" s="30" t="str">
        <x:v>Bịch 2ly ngang</x:v>
      </x:c>
      <x:c r="C216" s="30" t="str"/>
      <x:c r="D216" s="37" t="str">
        <x:v>kg</x:v>
      </x:c>
      <x:c r="E216" s="37" t="n">
        <x:v>53</x:v>
      </x:c>
      <x:c r="F216" s="37"/>
      <x:c r="G216" s="37" t="str">
        <x:v>21.BAO LY</x:v>
      </x:c>
      <x:c r="H216" s="38" t="n">
        <x:v>238</x:v>
      </x:c>
    </x:row>
    <x:row r="217">
      <x:c r="A217" s="39" t="n">
        <x:v>237</x:v>
      </x:c>
      <x:c r="B217" s="30" t="str">
        <x:v>Bịch 1ly thường</x:v>
      </x:c>
      <x:c r="C217" s="30" t="str"/>
      <x:c r="D217" s="37" t="str">
        <x:v>kg</x:v>
      </x:c>
      <x:c r="E217" s="37" t="n">
        <x:v>50</x:v>
      </x:c>
      <x:c r="F217" s="37"/>
      <x:c r="G217" s="37" t="str">
        <x:v>21.BAO LY</x:v>
      </x:c>
      <x:c r="H217" s="38" t="n">
        <x:v>239</x:v>
      </x:c>
    </x:row>
    <x:row r="218">
      <x:c r="A218" s="39" t="n">
        <x:v>238</x:v>
      </x:c>
      <x:c r="B218" s="30" t="str">
        <x:v>Bịch chữ T</x:v>
      </x:c>
      <x:c r="C218" s="30" t="str"/>
      <x:c r="D218" s="37" t="str">
        <x:v>kg</x:v>
      </x:c>
      <x:c r="E218" s="37" t="n">
        <x:v>58</x:v>
      </x:c>
      <x:c r="F218" s="37"/>
      <x:c r="G218" s="37" t="str">
        <x:v>21.BAO LY</x:v>
      </x:c>
      <x:c r="H218" s="38" t="n">
        <x:v>240</x:v>
      </x:c>
    </x:row>
    <x:row r="219">
      <x:c r="A219" s="39" t="n">
        <x:v>239</x:v>
      </x:c>
      <x:c r="B219" s="30" t="str">
        <x:v>Bịch 1Lit</x:v>
      </x:c>
      <x:c r="C219" s="30" t="str"/>
      <x:c r="D219" s="37" t="str">
        <x:v>kg</x:v>
      </x:c>
      <x:c r="E219" s="37" t="n">
        <x:v>58</x:v>
      </x:c>
      <x:c r="F219" s="37"/>
      <x:c r="G219" s="37" t="str">
        <x:v>21.BAO LY</x:v>
      </x:c>
      <x:c r="H219" s="38" t="n">
        <x:v>241</x:v>
      </x:c>
    </x:row>
    <x:row r="220">
      <x:c r="A220" s="39" t="n">
        <x:v>240</x:v>
      </x:c>
      <x:c r="B220" s="30" t="str">
        <x:v>Cuộn ép</x:v>
      </x:c>
      <x:c r="C220" s="30" t="str"/>
      <x:c r="D220" s="37" t="str">
        <x:v>cuộn</x:v>
      </x:c>
      <x:c r="E220" s="37" t="n">
        <x:v>110</x:v>
      </x:c>
      <x:c r="F220" s="37"/>
      <x:c r="G220" s="37" t="str">
        <x:v>21.BAO LY</x:v>
      </x:c>
      <x:c r="H220" s="38" t="n">
        <x:v>242</x:v>
      </x:c>
    </x:row>
    <x:row r="221">
      <x:c r="A221" s="39" t="n">
        <x:v>242</x:v>
      </x:c>
      <x:c r="B221" s="30" t="str">
        <x:v>Mì Koreno 100 gói</x:v>
      </x:c>
      <x:c r="C221" s="30" t="str">
        <x:v>Thùng 100 gói</x:v>
      </x:c>
      <x:c r="D221" s="37" t="str">
        <x:v>Thùng</x:v>
      </x:c>
      <x:c r="E221" s="37" t="n">
        <x:v>680</x:v>
      </x:c>
      <x:c r="F221" s="37"/>
      <x:c r="G221" s="37" t="str">
        <x:v>22.NGUYÊN LIỆU MỲ CAY</x:v>
      </x:c>
      <x:c r="H221" s="38" t="n">
        <x:v>244</x:v>
      </x:c>
    </x:row>
    <x:row r="222">
      <x:c r="A222" s="39" t="n">
        <x:v>243</x:v>
      </x:c>
      <x:c r="B222" s="30" t="str">
        <x:v>Mì lẩu koreno 80 gói</x:v>
      </x:c>
      <x:c r="C222" s="30" t="str">
        <x:v>Thùng 80 gói</x:v>
      </x:c>
      <x:c r="D222" s="37" t="str">
        <x:v>Thùng</x:v>
      </x:c>
      <x:c r="E222" s="37" t="n">
        <x:v>460</x:v>
      </x:c>
      <x:c r="F222" s="37"/>
      <x:c r="G222" s="37" t="str">
        <x:v>22.NGUYÊN LIỆU MỲ CAY</x:v>
      </x:c>
      <x:c r="H222" s="38" t="n">
        <x:v>245</x:v>
      </x:c>
    </x:row>
    <x:row r="223">
      <x:c r="A223" s="39" t="n">
        <x:v>244</x:v>
      </x:c>
      <x:c r="B223" s="30" t="str">
        <x:v>MÌ ACECOOK DELI</x:v>
      </x:c>
      <x:c r="C223" s="30" t="str">
        <x:v>Thùng 80 gói</x:v>
      </x:c>
      <x:c r="D223" s="37" t="str">
        <x:v>Thùng</x:v>
      </x:c>
      <x:c r="E223" s="37" t="n">
        <x:v>420</x:v>
      </x:c>
      <x:c r="F223" s="37"/>
      <x:c r="G223" s="37" t="str">
        <x:v>22.NGUYÊN LIỆU MỲ CAY</x:v>
      </x:c>
      <x:c r="H223" s="38" t="n">
        <x:v>246</x:v>
      </x:c>
    </x:row>
    <x:row r="224">
      <x:c r="A224" s="39" t="n">
        <x:v>245</x:v>
      </x:c>
      <x:c r="B224" s="30" t="str">
        <x:v>Kim chi</x:v>
      </x:c>
      <x:c r="C224" s="30" t="str"/>
      <x:c r="D224" s="37" t="str">
        <x:v>kg</x:v>
      </x:c>
      <x:c r="E224" s="37" t="n">
        <x:v>50</x:v>
      </x:c>
      <x:c r="F224" s="37"/>
      <x:c r="G224" s="37" t="str">
        <x:v>22.NGUYÊN LIỆU MỲ CAY</x:v>
      </x:c>
      <x:c r="H224" s="38" t="n">
        <x:v>247</x:v>
      </x:c>
    </x:row>
    <x:row r="225">
      <x:c r="A225" s="39" t="n">
        <x:v>246</x:v>
      </x:c>
      <x:c r="B225" s="30" t="str">
        <x:v>Bột sup</x:v>
      </x:c>
      <x:c r="C225" s="30" t="str"/>
      <x:c r="D225" s="37" t="str">
        <x:v>kg</x:v>
      </x:c>
      <x:c r="E225" s="37" t="n">
        <x:v>137</x:v>
      </x:c>
      <x:c r="F225" s="37"/>
      <x:c r="G225" s="37" t="str">
        <x:v>22.NGUYÊN LIỆU MỲ CAY</x:v>
      </x:c>
      <x:c r="H225" s="38" t="n">
        <x:v>248</x:v>
      </x:c>
    </x:row>
    <x:row r="226">
      <x:c r="A226" s="39" t="n">
        <x:v>247</x:v>
      </x:c>
      <x:c r="B226" s="30" t="str">
        <x:v>Bột ớt</x:v>
      </x:c>
      <x:c r="C226" s="30" t="str">
        <x:v>Thùng 10 gói</x:v>
      </x:c>
      <x:c r="D226" s="37" t="str">
        <x:v>bịch</x:v>
      </x:c>
      <x:c r="E226" s="37" t="n">
        <x:v>130</x:v>
      </x:c>
      <x:c r="F226" s="37"/>
      <x:c r="G226" s="37" t="str">
        <x:v>22.NGUYÊN LIỆU MỲ CAY</x:v>
      </x:c>
      <x:c r="H226" s="38" t="n">
        <x:v>249</x:v>
      </x:c>
    </x:row>
    <x:row r="227">
      <x:c r="A227" s="39" t="n">
        <x:v>248</x:v>
      </x:c>
      <x:c r="B227" s="30" t="str">
        <x:v>Tinh dầu ớt</x:v>
      </x:c>
      <x:c r="C227" s="30" t="str"/>
      <x:c r="D227" s="37" t="str">
        <x:v>chai</x:v>
      </x:c>
      <x:c r="E227" s="37" t="n">
        <x:v>155</x:v>
      </x:c>
      <x:c r="F227" s="37"/>
      <x:c r="G227" s="37" t="str">
        <x:v>22.NGUYÊN LIỆU MỲ CAY</x:v>
      </x:c>
      <x:c r="H227" s="38" t="n">
        <x:v>250</x:v>
      </x:c>
    </x:row>
    <x:row r="228">
      <x:c r="A228" s="39" t="n">
        <x:v>253</x:v>
      </x:c>
      <x:c r="B228" s="30" t="str">
        <x:v>Cá hành tiêu</x:v>
      </x:c>
      <x:c r="C228" s="30" t="str"/>
      <x:c r="D228" s="37" t="str">
        <x:v>kg</x:v>
      </x:c>
      <x:c r="E228" s="37" t="n">
        <x:v>60</x:v>
      </x:c>
      <x:c r="F228" s="37"/>
      <x:c r="G228" s="37" t="str">
        <x:v>22.THỰC PHẨM ĐÔNG LẠNH</x:v>
      </x:c>
      <x:c r="H228" s="38" t="n">
        <x:v>255</x:v>
      </x:c>
    </x:row>
    <x:row r="229">
      <x:c r="A229" s="39" t="n">
        <x:v>254</x:v>
      </x:c>
      <x:c r="B229" s="30" t="str">
        <x:v>Cá hành ớt</x:v>
      </x:c>
      <x:c r="C229" s="30" t="str"/>
      <x:c r="D229" s="37" t="str">
        <x:v>bịch</x:v>
      </x:c>
      <x:c r="E229" s="37" t="n">
        <x:v>31.5</x:v>
      </x:c>
      <x:c r="F229" s="37"/>
      <x:c r="G229" s="37" t="str">
        <x:v>22.THỰC PHẨM ĐÔNG LẠNH</x:v>
      </x:c>
      <x:c r="H229" s="38" t="n">
        <x:v>256</x:v>
      </x:c>
    </x:row>
    <x:row r="230">
      <x:c r="A230" s="39" t="n">
        <x:v>255</x:v>
      </x:c>
      <x:c r="B230" s="30" t="str">
        <x:v>Cá viên trắng Beco</x:v>
      </x:c>
      <x:c r="C230" s="30" t="str"/>
      <x:c r="D230" s="37" t="str">
        <x:v>bịch</x:v>
      </x:c>
      <x:c r="E230" s="37" t="n">
        <x:v>60</x:v>
      </x:c>
      <x:c r="F230" s="37"/>
      <x:c r="G230" s="37" t="str">
        <x:v>22.THỰC PHẨM ĐÔNG LẠNH</x:v>
      </x:c>
      <x:c r="H230" s="38" t="n">
        <x:v>257</x:v>
      </x:c>
    </x:row>
    <x:row r="231">
      <x:c r="A231" s="39" t="n">
        <x:v>256</x:v>
      </x:c>
      <x:c r="B231" s="30" t="str">
        <x:v>Cá Sing</x:v>
      </x:c>
      <x:c r="C231" s="30" t="str"/>
      <x:c r="D231" s="37" t="str">
        <x:v>bịch</x:v>
      </x:c>
      <x:c r="E231" s="37" t="n">
        <x:v>62</x:v>
      </x:c>
      <x:c r="F231" s="37"/>
      <x:c r="G231" s="37" t="str">
        <x:v>22.THỰC PHẨM ĐÔNG LẠNH</x:v>
      </x:c>
      <x:c r="H231" s="38" t="n">
        <x:v>258</x:v>
      </x:c>
    </x:row>
    <x:row r="232">
      <x:c r="A232" s="39" t="n">
        <x:v>257</x:v>
      </x:c>
      <x:c r="B232" s="30" t="str">
        <x:v>Cá Cút</x:v>
      </x:c>
      <x:c r="C232" s="30" t="str"/>
      <x:c r="D232" s="37" t="str">
        <x:v>bịch</x:v>
      </x:c>
      <x:c r="E232" s="37" t="n">
        <x:v>32</x:v>
      </x:c>
      <x:c r="F232" s="37"/>
      <x:c r="G232" s="37" t="str">
        <x:v>22.THỰC PHẨM ĐÔNG LẠNH</x:v>
      </x:c>
      <x:c r="H232" s="38" t="n">
        <x:v>259</x:v>
      </x:c>
    </x:row>
    <x:row r="233">
      <x:c r="A233" s="39" t="n">
        <x:v>258</x:v>
      </x:c>
      <x:c r="B233" s="30" t="str">
        <x:v>Đậu hủ cá</x:v>
      </x:c>
      <x:c r="C233" s="30" t="str"/>
      <x:c r="D233" s="37" t="str">
        <x:v>bịch</x:v>
      </x:c>
      <x:c r="E233" s="37" t="n">
        <x:v>100</x:v>
      </x:c>
      <x:c r="F233" s="37"/>
      <x:c r="G233" s="37" t="str">
        <x:v>22.THỰC PHẨM ĐÔNG LẠNH</x:v>
      </x:c>
      <x:c r="H233" s="38" t="n">
        <x:v>260</x:v>
      </x:c>
    </x:row>
    <x:row r="234">
      <x:c r="A234" s="39" t="n">
        <x:v>259</x:v>
      </x:c>
      <x:c r="B234" s="30" t="str">
        <x:v>Đậu hủ Phô mai LC</x:v>
      </x:c>
      <x:c r="C234" s="30" t="str"/>
      <x:c r="D234" s="37" t="str">
        <x:v>bịch</x:v>
      </x:c>
      <x:c r="E234" s="37" t="n">
        <x:v>46</x:v>
      </x:c>
      <x:c r="F234" s="37"/>
      <x:c r="G234" s="37" t="str">
        <x:v>22.THỰC PHẨM ĐÔNG LẠNH</x:v>
      </x:c>
      <x:c r="H234" s="38" t="n">
        <x:v>261</x:v>
      </x:c>
    </x:row>
    <x:row r="235">
      <x:c r="A235" s="39" t="n">
        <x:v>260</x:v>
      </x:c>
      <x:c r="B235" s="30" t="str">
        <x:v>Đậu hủ phomai ngon</x:v>
      </x:c>
      <x:c r="C235" s="30" t="str"/>
      <x:c r="D235" s="37" t="str">
        <x:v>bịch</x:v>
      </x:c>
      <x:c r="E235" s="37" t="n">
        <x:v>48</x:v>
      </x:c>
      <x:c r="F235" s="37"/>
      <x:c r="G235" s="37" t="str">
        <x:v>22.THỰC PHẨM ĐÔNG LẠNH</x:v>
      </x:c>
      <x:c r="H235" s="38" t="n">
        <x:v>262</x:v>
      </x:c>
    </x:row>
    <x:row r="236">
      <x:c r="A236" s="39" t="n">
        <x:v>261</x:v>
      </x:c>
      <x:c r="B236" s="30" t="str">
        <x:v>Khoai tây 2kg</x:v>
      </x:c>
      <x:c r="C236" s="30" t="str"/>
      <x:c r="D236" s="37" t="str">
        <x:v>bịch</x:v>
      </x:c>
      <x:c r="E236" s="37" t="n">
        <x:v>130</x:v>
      </x:c>
      <x:c r="F236" s="37"/>
      <x:c r="G236" s="37" t="str">
        <x:v>22.THỰC PHẨM ĐÔNG LẠNH</x:v>
      </x:c>
      <x:c r="H236" s="38" t="n">
        <x:v>263</x:v>
      </x:c>
    </x:row>
    <x:row r="237">
      <x:c r="A237" s="39" t="n">
        <x:v>262</x:v>
      </x:c>
      <x:c r="B237" s="30" t="str">
        <x:v>Khoai tây 1kg</x:v>
      </x:c>
      <x:c r="C237" s="30" t="str"/>
      <x:c r="D237" s="37" t="str">
        <x:v>bịch</x:v>
      </x:c>
      <x:c r="E237" s="37" t="n">
        <x:v>60</x:v>
      </x:c>
      <x:c r="F237" s="37"/>
      <x:c r="G237" s="37" t="str">
        <x:v>22.THỰC PHẨM ĐÔNG LẠNH</x:v>
      </x:c>
      <x:c r="H237" s="38" t="n">
        <x:v>264</x:v>
      </x:c>
    </x:row>
    <x:row r="238">
      <x:c r="A238" s="39" t="n">
        <x:v>263</x:v>
      </x:c>
      <x:c r="B238" s="30" t="str">
        <x:v>Phô mai que hộp</x:v>
      </x:c>
      <x:c r="C238" s="30" t="str"/>
      <x:c r="D238" s="37" t="str">
        <x:v>hộp</x:v>
      </x:c>
      <x:c r="E238" s="37" t="n">
        <x:v>52</x:v>
      </x:c>
      <x:c r="F238" s="37"/>
      <x:c r="G238" s="37" t="str">
        <x:v>22.THỰC PHẨM ĐÔNG LẠNH</x:v>
      </x:c>
      <x:c r="H238" s="38" t="n">
        <x:v>265</x:v>
      </x:c>
    </x:row>
    <x:row r="239">
      <x:c r="A239" s="39" t="n">
        <x:v>264</x:v>
      </x:c>
      <x:c r="B239" s="30" t="str">
        <x:v>Ốc nhồi</x:v>
      </x:c>
      <x:c r="C239" s="30" t="str"/>
      <x:c r="D239" s="37" t="str">
        <x:v>bịch</x:v>
      </x:c>
      <x:c r="E239" s="37" t="n">
        <x:v>33</x:v>
      </x:c>
      <x:c r="F239" s="37"/>
      <x:c r="G239" s="37" t="str">
        <x:v>22.THỰC PHẨM ĐÔNG LẠNH</x:v>
      </x:c>
      <x:c r="H239" s="38" t="n">
        <x:v>266</x:v>
      </x:c>
    </x:row>
    <x:row r="240">
      <x:c r="A240" s="39" t="n">
        <x:v>265</x:v>
      </x:c>
      <x:c r="B240" s="30" t="str">
        <x:v>Bò Viên</x:v>
      </x:c>
      <x:c r="C240" s="30" t="str"/>
      <x:c r="D240" s="37" t="str">
        <x:v>bịch</x:v>
      </x:c>
      <x:c r="E240" s="37" t="n">
        <x:v>32.5</x:v>
      </x:c>
      <x:c r="F240" s="37"/>
      <x:c r="G240" s="37" t="str">
        <x:v>22.THỰC PHẨM ĐÔNG LẠNH</x:v>
      </x:c>
      <x:c r="H240" s="38" t="n">
        <x:v>267</x:v>
      </x:c>
    </x:row>
    <x:row r="241">
      <x:c r="A241" s="39" t="n">
        <x:v>266</x:v>
      </x:c>
      <x:c r="B241" s="30" t="str">
        <x:v>Bò lá lốt</x:v>
      </x:c>
      <x:c r="C241" s="30" t="str"/>
      <x:c r="D241" s="37" t="str">
        <x:v>bịch</x:v>
      </x:c>
      <x:c r="E241" s="37" t="n">
        <x:v>43</x:v>
      </x:c>
      <x:c r="F241" s="37"/>
      <x:c r="G241" s="37" t="str">
        <x:v>22.THỰC PHẨM ĐÔNG LẠNH</x:v>
      </x:c>
      <x:c r="H241" s="38" t="n">
        <x:v>268</x:v>
      </x:c>
    </x:row>
    <x:row r="242">
      <x:c r="A242" s="39" t="n">
        <x:v>267</x:v>
      </x:c>
      <x:c r="B242" s="30" t="str">
        <x:v>Xúc Xích Yummy</x:v>
      </x:c>
      <x:c r="C242" s="30" t="str"/>
      <x:c r="D242" s="37" t="str">
        <x:v>bịch</x:v>
      </x:c>
      <x:c r="E242" s="37" t="n">
        <x:v>40</x:v>
      </x:c>
      <x:c r="F242" s="37"/>
      <x:c r="G242" s="37" t="str">
        <x:v>22.THỰC PHẨM ĐÔNG LẠNH</x:v>
      </x:c>
      <x:c r="H242" s="38" t="n">
        <x:v>269</x:v>
      </x:c>
    </x:row>
    <x:row r="243">
      <x:c r="A243" s="39" t="n">
        <x:v>268</x:v>
      </x:c>
      <x:c r="B243" s="30" t="str">
        <x:v>Xúc Xích Tokyo</x:v>
      </x:c>
      <x:c r="C243" s="30" t="str"/>
      <x:c r="D243" s="37" t="str">
        <x:v>bịch</x:v>
      </x:c>
      <x:c r="E243" s="37" t="n">
        <x:v>38</x:v>
      </x:c>
      <x:c r="F243" s="37"/>
      <x:c r="G243" s="37" t="str">
        <x:v>22.THỰC PHẨM ĐÔNG LẠNH</x:v>
      </x:c>
      <x:c r="H243" s="38" t="n">
        <x:v>270</x:v>
      </x:c>
    </x:row>
    <x:row r="244">
      <x:c r="A244" s="39" t="n">
        <x:v>269</x:v>
      </x:c>
      <x:c r="B244" s="30" t="str">
        <x:v>Xúc Xích Vườn bia</x:v>
      </x:c>
      <x:c r="C244" s="30" t="str"/>
      <x:c r="D244" s="37" t="str">
        <x:v>bịch</x:v>
      </x:c>
      <x:c r="E244" s="37" t="n">
        <x:v>50</x:v>
      </x:c>
      <x:c r="F244" s="37"/>
      <x:c r="G244" s="37" t="str">
        <x:v>22.THỰC PHẨM ĐÔNG LẠNH</x:v>
      </x:c>
      <x:c r="H244" s="38" t="n">
        <x:v>271</x:v>
      </x:c>
    </x:row>
    <x:row r="245">
      <x:c r="A245" s="39" t="n">
        <x:v>270</x:v>
      </x:c>
      <x:c r="B245" s="30" t="str">
        <x:v>Dồi Sụn</x:v>
      </x:c>
      <x:c r="C245" s="30" t="str"/>
      <x:c r="D245" s="37" t="str">
        <x:v>bịch</x:v>
      </x:c>
      <x:c r="E245" s="37" t="n">
        <x:v>39</x:v>
      </x:c>
      <x:c r="F245" s="37"/>
      <x:c r="G245" s="37" t="str">
        <x:v>22.THỰC PHẨM ĐÔNG LẠNH</x:v>
      </x:c>
      <x:c r="H245" s="38" t="n">
        <x:v>272</x:v>
      </x:c>
    </x:row>
    <x:row r="246">
      <x:c r="A246" s="39" t="n">
        <x:v>271</x:v>
      </x:c>
      <x:c r="B246" s="30" t="str">
        <x:v>Viên Thả lẩu</x:v>
      </x:c>
      <x:c r="C246" s="30" t="str"/>
      <x:c r="D246" s="37" t="str">
        <x:v>bịch</x:v>
      </x:c>
      <x:c r="E246" s="37" t="n">
        <x:v>43</x:v>
      </x:c>
      <x:c r="F246" s="37"/>
      <x:c r="G246" s="37" t="str">
        <x:v>22.THỰC PHẨM ĐÔNG LẠNH</x:v>
      </x:c>
      <x:c r="H246" s="38" t="n">
        <x:v>273</x:v>
      </x:c>
    </x:row>
    <x:row r="247">
      <x:c r="A247" s="39" t="n">
        <x:v>272</x:v>
      </x:c>
      <x:c r="B247" s="30" t="str">
        <x:v>Bánh Bao Trứng</x:v>
      </x:c>
      <x:c r="C247" s="30" t="str"/>
      <x:c r="D247" s="37" t="str">
        <x:v>bịch</x:v>
      </x:c>
      <x:c r="E247" s="37" t="n">
        <x:v>45</x:v>
      </x:c>
      <x:c r="F247" s="37"/>
      <x:c r="G247" s="37" t="str">
        <x:v>22.THỰC PHẨM ĐÔNG LẠNH</x:v>
      </x:c>
      <x:c r="H247" s="38" t="n">
        <x:v>274</x:v>
      </x:c>
    </x:row>
    <x:row r="248">
      <x:c r="A248" s="39" t="n">
        <x:v>273</x:v>
      </x:c>
      <x:c r="B248" s="30" t="str">
        <x:v>Chả cá Hấp</x:v>
      </x:c>
      <x:c r="C248" s="30" t="str"/>
      <x:c r="D248" s="37" t="str">
        <x:v>bịch</x:v>
      </x:c>
      <x:c r="E248" s="37" t="n">
        <x:v>30</x:v>
      </x:c>
      <x:c r="F248" s="37"/>
      <x:c r="G248" s="37" t="str">
        <x:v>22.THỰC PHẨM ĐÔNG LẠNH</x:v>
      </x:c>
      <x:c r="H248" s="38" t="n">
        <x:v>275</x:v>
      </x:c>
    </x:row>
    <x:row r="249">
      <x:c r="A249" s="39" t="n">
        <x:v>274</x:v>
      </x:c>
      <x:c r="B249" s="30" t="str">
        <x:v>Chả quế</x:v>
      </x:c>
      <x:c r="C249" s="30" t="str"/>
      <x:c r="D249" s="37" t="str">
        <x:v>bịch</x:v>
      </x:c>
      <x:c r="E249" s="37" t="n">
        <x:v>30</x:v>
      </x:c>
      <x:c r="F249" s="37"/>
      <x:c r="G249" s="37" t="str">
        <x:v>22.THỰC PHẨM ĐÔNG LẠNH</x:v>
      </x:c>
      <x:c r="H249" s="38" t="n">
        <x:v>276</x:v>
      </x:c>
    </x:row>
    <x:row r="250">
      <x:c r="A250" s="39" t="n">
        <x:v>275</x:v>
      </x:c>
      <x:c r="B250" s="30" t="str">
        <x:v>Chả Giò</x:v>
      </x:c>
      <x:c r="C250" s="30" t="str"/>
      <x:c r="D250" s="37" t="str">
        <x:v>bịch</x:v>
      </x:c>
      <x:c r="E250" s="37" t="n">
        <x:v>33</x:v>
      </x:c>
      <x:c r="F250" s="37"/>
      <x:c r="G250" s="37" t="str">
        <x:v>22.THỰC PHẨM ĐÔNG LẠNH</x:v>
      </x:c>
      <x:c r="H250" s="38" t="n">
        <x:v>277</x:v>
      </x:c>
    </x:row>
    <x:row r="251">
      <x:c r="A251" s="39" t="n">
        <x:v>276</x:v>
      </x:c>
      <x:c r="B251" s="30" t="str">
        <x:v>Chả cá Hàn Quốc</x:v>
      </x:c>
      <x:c r="C251" s="30" t="str"/>
      <x:c r="D251" s="37" t="str">
        <x:v>bịch</x:v>
      </x:c>
      <x:c r="E251" s="37" t="n">
        <x:v>37</x:v>
      </x:c>
      <x:c r="F251" s="37"/>
      <x:c r="G251" s="37" t="str">
        <x:v>22.THỰC PHẨM ĐÔNG LẠNH</x:v>
      </x:c>
      <x:c r="H251" s="38" t="n">
        <x:v>278</x:v>
      </x:c>
    </x:row>
    <x:row r="252">
      <x:c r="A252" s="39" t="n">
        <x:v>277</x:v>
      </x:c>
      <x:c r="B252" s="30" t="str">
        <x:v>Thanh cua dài 1kg</x:v>
      </x:c>
      <x:c r="C252" s="30" t="str"/>
      <x:c r="D252" s="37" t="str">
        <x:v>bịch</x:v>
      </x:c>
      <x:c r="E252" s="37" t="n">
        <x:v>130</x:v>
      </x:c>
      <x:c r="F252" s="37"/>
      <x:c r="G252" s="37" t="str">
        <x:v>22.THỰC PHẨM ĐÔNG LẠNH</x:v>
      </x:c>
      <x:c r="H252" s="38" t="n">
        <x:v>279</x:v>
      </x:c>
    </x:row>
    <x:row r="253">
      <x:c r="A253" s="39" t="n">
        <x:v>278</x:v>
      </x:c>
      <x:c r="B253" s="30" t="str">
        <x:v>Thanh cua Lichuan</x:v>
      </x:c>
      <x:c r="C253" s="30" t="str"/>
      <x:c r="D253" s="37" t="str">
        <x:v>bịch</x:v>
      </x:c>
      <x:c r="E253" s="37" t="n">
        <x:v>75</x:v>
      </x:c>
      <x:c r="F253" s="37"/>
      <x:c r="G253" s="37" t="str">
        <x:v>22.THỰC PHẨM ĐÔNG LẠNH</x:v>
      </x:c>
      <x:c r="H253" s="38" t="n">
        <x:v>280</x:v>
      </x:c>
    </x:row>
    <x:row r="254">
      <x:c r="A254" s="39" t="n">
        <x:v>279</x:v>
      </x:c>
      <x:c r="B254" s="30" t="str">
        <x:v>Cốm hồng Ongon</x:v>
      </x:c>
      <x:c r="C254" s="30" t="str"/>
      <x:c r="D254" s="37" t="str">
        <x:v>vỉ</x:v>
      </x:c>
      <x:c r="E254" s="37" t="n">
        <x:v>52</x:v>
      </x:c>
      <x:c r="F254" s="37"/>
      <x:c r="G254" s="37" t="str">
        <x:v>22.THỰC PHẨM ĐÔNG LẠNH</x:v>
      </x:c>
      <x:c r="H254" s="38" t="n">
        <x:v>281</x:v>
      </x:c>
    </x:row>
    <x:row r="255">
      <x:c r="A255" s="39" t="n">
        <x:v>280</x:v>
      </x:c>
      <x:c r="B255" s="30" t="str">
        <x:v>Cốm hồng Thiên Nhiên</x:v>
      </x:c>
      <x:c r="C255" s="30" t="str"/>
      <x:c r="D255" s="37" t="str">
        <x:v>vỉ</x:v>
      </x:c>
      <x:c r="E255" s="37" t="n">
        <x:v>37</x:v>
      </x:c>
      <x:c r="F255" s="37"/>
      <x:c r="G255" s="37" t="str">
        <x:v>22.THỰC PHẨM ĐÔNG LẠNH</x:v>
      </x:c>
      <x:c r="H255" s="38" t="n">
        <x:v>282</x:v>
      </x:c>
    </x:row>
    <x:row r="256">
      <x:c r="A256" s="39" t="n">
        <x:v>281</x:v>
      </x:c>
      <x:c r="B256" s="30" t="str">
        <x:v>Hotdog phô mai</x:v>
      </x:c>
      <x:c r="C256" s="30" t="str"/>
      <x:c r="D256" s="37" t="str">
        <x:v>vỉ</x:v>
      </x:c>
      <x:c r="E256" s="37" t="n">
        <x:v>38</x:v>
      </x:c>
      <x:c r="F256" s="37"/>
      <x:c r="G256" s="37" t="str">
        <x:v>22.THỰC PHẨM ĐÔNG LẠNH</x:v>
      </x:c>
      <x:c r="H256" s="38" t="n">
        <x:v>283</x:v>
      </x:c>
    </x:row>
    <x:row r="257">
      <x:c r="A257" s="39" t="n">
        <x:v>282</x:v>
      </x:c>
      <x:c r="B257" s="30" t="str">
        <x:v>Tôm viên</x:v>
      </x:c>
      <x:c r="C257" s="30" t="str"/>
      <x:c r="D257" s="37" t="str">
        <x:v>bịch</x:v>
      </x:c>
      <x:c r="E257" s="37" t="n">
        <x:v>31.5</x:v>
      </x:c>
      <x:c r="F257" s="37"/>
      <x:c r="G257" s="37" t="str">
        <x:v>22.THỰC PHẨM ĐÔNG LẠNH</x:v>
      </x:c>
      <x:c r="H257" s="38" t="n">
        <x:v>284</x:v>
      </x:c>
    </x:row>
    <x:row r="258">
      <x:c r="A258" s="39" t="n">
        <x:v>283</x:v>
      </x:c>
      <x:c r="B258" s="30" t="str">
        <x:v>Tôm Con Ongon</x:v>
      </x:c>
      <x:c r="C258" s="30" t="str"/>
      <x:c r="D258" s="37" t="str">
        <x:v>bịch</x:v>
      </x:c>
      <x:c r="E258" s="37" t="n">
        <x:v>42</x:v>
      </x:c>
      <x:c r="F258" s="37"/>
      <x:c r="G258" s="37" t="str">
        <x:v>22.THỰC PHẨM ĐÔNG LẠNH</x:v>
      </x:c>
      <x:c r="H258" s="38" t="n">
        <x:v>285</x:v>
      </x:c>
    </x:row>
    <x:row r="259">
      <x:c r="A259" s="39" t="n">
        <x:v>284</x:v>
      </x:c>
      <x:c r="B259" s="30" t="str">
        <x:v>Chạo sả</x:v>
      </x:c>
      <x:c r="C259" s="30" t="str"/>
      <x:c r="D259" s="37" t="str">
        <x:v>bịch</x:v>
      </x:c>
      <x:c r="E259" s="37" t="n">
        <x:v>30</x:v>
      </x:c>
      <x:c r="F259" s="37"/>
      <x:c r="G259" s="37" t="str">
        <x:v>22.THỰC PHẨM ĐÔNG LẠNH</x:v>
      </x:c>
      <x:c r="H259" s="38" t="n">
        <x:v>286</x:v>
      </x:c>
    </x:row>
    <x:row r="260">
      <x:c r="A260" s="39" t="n">
        <x:v>285</x:v>
      </x:c>
      <x:c r="B260" s="30" t="str">
        <x:v>Túi tiền Hải Sản</x:v>
      </x:c>
      <x:c r="C260" s="30" t="str"/>
      <x:c r="D260" s="37" t="str">
        <x:v>vỉ</x:v>
      </x:c>
      <x:c r="E260" s="37" t="n">
        <x:v>44</x:v>
      </x:c>
      <x:c r="F260" s="37"/>
      <x:c r="G260" s="37" t="str">
        <x:v>22.THỰC PHẨM ĐÔNG LẠNH</x:v>
      </x:c>
      <x:c r="H260" s="38" t="n">
        <x:v>287</x:v>
      </x:c>
    </x:row>
    <x:row r="261">
      <x:c r="A261" s="39" t="n">
        <x:v>286</x:v>
      </x:c>
      <x:c r="B261" s="30" t="str">
        <x:v>Bánh sữa tươi</x:v>
      </x:c>
      <x:c r="C261" s="30" t="str"/>
      <x:c r="D261" s="37" t="str">
        <x:v>hộp</x:v>
      </x:c>
      <x:c r="E261" s="37" t="n">
        <x:v>28</x:v>
      </x:c>
      <x:c r="F261" s="37"/>
      <x:c r="G261" s="37" t="str">
        <x:v>22.THỰC PHẨM ĐÔNG LẠNH</x:v>
      </x:c>
      <x:c r="H261" s="38" t="n">
        <x:v>288</x:v>
      </x:c>
    </x:row>
    <x:row r="262">
      <x:c r="A262" s="39" t="n">
        <x:v>287</x:v>
      </x:c>
      <x:c r="B262" s="30" t="str">
        <x:v>Bánh gạo thỏi</x:v>
      </x:c>
      <x:c r="C262" s="30" t="str"/>
      <x:c r="D262" s="37" t="str">
        <x:v>bịch</x:v>
      </x:c>
      <x:c r="E262" s="37" t="n">
        <x:v>55</x:v>
      </x:c>
      <x:c r="F262" s="37"/>
      <x:c r="G262" s="37" t="str">
        <x:v>22.THỰC PHẨM ĐÔNG LẠNH</x:v>
      </x:c>
      <x:c r="H262" s="38" t="n">
        <x:v>289</x:v>
      </x:c>
    </x:row>
    <x:row r="263">
      <x:c r="A263" s="39" t="n">
        <x:v>288</x:v>
      </x:c>
      <x:c r="B263" s="30" t="str">
        <x:v>Sốt bánh gạo saijang</x:v>
      </x:c>
      <x:c r="C263" s="30" t="str"/>
      <x:c r="D263" s="37" t="str">
        <x:v>túi</x:v>
      </x:c>
      <x:c r="E263" s="37" t="n">
        <x:v>53</x:v>
      </x:c>
      <x:c r="F263" s="37"/>
      <x:c r="G263" s="37" t="str">
        <x:v>22.THỰC PHẨM ĐÔNG LẠNH</x:v>
      </x:c>
      <x:c r="H263" s="38" t="n">
        <x:v>290</x:v>
      </x:c>
    </x:row>
    <x:row r="264">
      <x:c r="A264" s="39" t="n">
        <x:v>289</x:v>
      </x:c>
      <x:c r="B264" s="30" t="str">
        <x:v>sốt bánh gao ky</x:v>
      </x:c>
      <x:c r="C264" s="30" t="str"/>
      <x:c r="D264" s="37" t="str">
        <x:v>ky</x:v>
      </x:c>
      <x:c r="E264" s="37" t="n">
        <x:v>40</x:v>
      </x:c>
      <x:c r="F264" s="37"/>
      <x:c r="G264" s="37" t="str">
        <x:v>22.THỰC PHẨM ĐÔNG LẠNH</x:v>
      </x:c>
      <x:c r="H264" s="38" t="n">
        <x:v>291</x:v>
      </x:c>
    </x:row>
    <x:row r="265">
      <x:c r="A265" s="39" t="n">
        <x:v>291</x:v>
      </x:c>
      <x:c r="B265" s="30" t="str">
        <x:v>hành phi anh tú</x:v>
      </x:c>
      <x:c r="C265" s="30" t="str"/>
      <x:c r="D265" s="37" t="str">
        <x:v>kg</x:v>
      </x:c>
      <x:c r="E265" s="37" t="n">
        <x:v>75</x:v>
      </x:c>
      <x:c r="F265" s="37"/>
      <x:c r="G265" s="37" t="str">
        <x:v>23. NGUYÊN Liệu BÁNH TRÁNG</x:v>
      </x:c>
      <x:c r="H265" s="38" t="n">
        <x:v>293</x:v>
      </x:c>
    </x:row>
    <x:row r="266">
      <x:c r="A266" s="39" t="n">
        <x:v>292</x:v>
      </x:c>
      <x:c r="B266" s="30" t="str">
        <x:v>hành phi thường</x:v>
      </x:c>
      <x:c r="C266" s="30" t="str"/>
      <x:c r="D266" s="37" t="str">
        <x:v>kg</x:v>
      </x:c>
      <x:c r="E266" s="37" t="n">
        <x:v>45</x:v>
      </x:c>
      <x:c r="F266" s="37"/>
      <x:c r="G266" s="37" t="str">
        <x:v>23. NGUYÊN Liệu BÁNH TRÁNG</x:v>
      </x:c>
      <x:c r="H266" s="38" t="n">
        <x:v>294</x:v>
      </x:c>
    </x:row>
    <x:row r="267">
      <x:c r="A267" s="39" t="n">
        <x:v>293</x:v>
      </x:c>
      <x:c r="B267" s="30" t="str">
        <x:v>khô bò</x:v>
      </x:c>
      <x:c r="C267" s="30" t="str"/>
      <x:c r="D267" s="37" t="str">
        <x:v>kg</x:v>
      </x:c>
      <x:c r="E267" s="37" t="n">
        <x:v>112</x:v>
      </x:c>
      <x:c r="F267" s="37"/>
      <x:c r="G267" s="37" t="str">
        <x:v>23. NGUYÊN Liệu BÁNH TRÁNG</x:v>
      </x:c>
      <x:c r="H267" s="38" t="n">
        <x:v>295</x:v>
      </x:c>
    </x:row>
    <x:row r="268">
      <x:c r="A268" s="39" t="n">
        <x:v>294</x:v>
      </x:c>
      <x:c r="B268" s="30" t="str">
        <x:v>khô gà</x:v>
      </x:c>
      <x:c r="C268" s="30" t="str"/>
      <x:c r="D268" s="37" t="str">
        <x:v>kg</x:v>
      </x:c>
      <x:c r="E268" s="37" t="n">
        <x:v>130</x:v>
      </x:c>
      <x:c r="F268" s="37"/>
      <x:c r="G268" s="37" t="str">
        <x:v>23. NGUYÊN Liệu BÁNH TRÁNG</x:v>
      </x:c>
      <x:c r="H268" s="38" t="n">
        <x:v>296</x:v>
      </x:c>
    </x:row>
    <x:row r="269">
      <x:c r="A269" s="39" t="n">
        <x:v>295</x:v>
      </x:c>
      <x:c r="B269" s="30" t="str">
        <x:v>bánh trán nướng trắng+vàng</x:v>
      </x:c>
      <x:c r="C269" s="30" t="str"/>
      <x:c r="D269" s="37" t="str">
        <x:v>kg</x:v>
      </x:c>
      <x:c r="E269" s="37" t="n">
        <x:v>45</x:v>
      </x:c>
      <x:c r="F269" s="37"/>
      <x:c r="G269" s="37" t="str">
        <x:v>23. NGUYÊN Liệu BÁNH TRÁNG</x:v>
      </x:c>
      <x:c r="H269" s="38" t="n">
        <x:v>297</x:v>
      </x:c>
    </x:row>
    <x:row r="270">
      <x:c r="A270" s="39" t="n">
        <x:v>296</x:v>
      </x:c>
      <x:c r="B270" s="30" t="str">
        <x:v>bánh tráng cuốn đỏ</x:v>
      </x:c>
      <x:c r="C270" s="30" t="str"/>
      <x:c r="D270" s="37" t="str">
        <x:v>kg</x:v>
      </x:c>
      <x:c r="E270" s="37" t="n">
        <x:v>45</x:v>
      </x:c>
      <x:c r="F270" s="37"/>
      <x:c r="G270" s="37" t="str">
        <x:v>23. NGUYÊN Liệu BÁNH TRÁNG</x:v>
      </x:c>
      <x:c r="H270" s="38" t="n">
        <x:v>298</x:v>
      </x:c>
    </x:row>
    <x:row r="271">
      <x:c r="A271" s="39" t="n">
        <x:v>297</x:v>
      </x:c>
      <x:c r="B271" s="30" t="str">
        <x:v>bánh tráng cắt</x:v>
      </x:c>
      <x:c r="C271" s="30" t="str"/>
      <x:c r="D271" s="37" t="str">
        <x:v>5 kg</x:v>
      </x:c>
      <x:c r="E271" s="37" t="n">
        <x:v>110</x:v>
      </x:c>
      <x:c r="F271" s="37"/>
      <x:c r="G271" s="37" t="str">
        <x:v>23. NGUYÊN Liệu BÁNH TRÁNG</x:v>
      </x:c>
      <x:c r="H271" s="38" t="n">
        <x:v>299</x:v>
      </x:c>
    </x:row>
    <x:row r="272">
      <x:c r="A272" s="39" t="n">
        <x:v>298</x:v>
      </x:c>
      <x:c r="B272" s="30" t="str">
        <x:v>nước bò 1 lit</x:v>
      </x:c>
      <x:c r="C272" s="30" t="str"/>
      <x:c r="D272" s="37" t="str">
        <x:v>chai</x:v>
      </x:c>
      <x:c r="E272" s="37" t="n">
        <x:v>37</x:v>
      </x:c>
      <x:c r="F272" s="37"/>
      <x:c r="G272" s="37" t="str">
        <x:v>23. NGUYÊN Liệu BÁNH TRÁNG</x:v>
      </x:c>
      <x:c r="H272" s="38" t="n">
        <x:v>300</x:v>
      </x:c>
    </x:row>
    <x:row r="273">
      <x:c r="A273" s="39" t="n">
        <x:v>299</x:v>
      </x:c>
      <x:c r="B273" s="30" t="str">
        <x:v>nước bò</x:v>
      </x:c>
      <x:c r="C273" s="30" t="str"/>
      <x:c r="D273" s="37" t="str">
        <x:v>bình</x:v>
      </x:c>
      <x:c r="E273" s="37" t="n">
        <x:v>145</x:v>
      </x:c>
      <x:c r="F273" s="37"/>
      <x:c r="G273" s="37" t="str">
        <x:v>23. NGUYÊN Liệu BÁNH TRÁNG</x:v>
      </x:c>
      <x:c r="H273" s="38" t="n">
        <x:v>301</x:v>
      </x:c>
    </x:row>
    <x:row r="274">
      <x:c r="A274" s="39" t="n">
        <x:v>300</x:v>
      </x:c>
      <x:c r="B274" s="30" t="str">
        <x:v>bơ trắng+vàng</x:v>
      </x:c>
      <x:c r="C274" s="30" t="str"/>
      <x:c r="D274" s="37" t="str">
        <x:v>bịch</x:v>
      </x:c>
      <x:c r="E274" s="37" t="n">
        <x:v>35</x:v>
      </x:c>
      <x:c r="F274" s="37"/>
      <x:c r="G274" s="37" t="str">
        <x:v>23. NGUYÊN Liệu BÁNH TRÁNG</x:v>
      </x:c>
      <x:c r="H274" s="38" t="n">
        <x:v>302</x:v>
      </x:c>
    </x:row>
    <x:row r="275">
      <x:c r="A275" s="39" t="n">
        <x:v>301</x:v>
      </x:c>
      <x:c r="B275" s="30" t="str">
        <x:v>khô mực</x:v>
      </x:c>
      <x:c r="C275" s="30" t="str"/>
      <x:c r="D275" s="37" t="str">
        <x:v>kg</x:v>
      </x:c>
      <x:c r="E275" s="37" t="n">
        <x:v>225</x:v>
      </x:c>
      <x:c r="F275" s="37"/>
      <x:c r="G275" s="37" t="str">
        <x:v>23. NGUYÊN Liệu BÁNH TRÁNG</x:v>
      </x:c>
      <x:c r="H275" s="38" t="n">
        <x:v>303</x:v>
      </x:c>
    </x:row>
    <x:row r="276">
      <x:c r="A276" s="63" t="n">
        <x:v>302</x:v>
      </x:c>
      <x:c r="B276" s="43" t="str">
        <x:v>Ruốc</x:v>
      </x:c>
      <x:c r="C276" s="43" t="str"/>
      <x:c r="D276" s="44" t="str">
        <x:v>bịch</x:v>
      </x:c>
      <x:c r="E276" s="44" t="n">
        <x:v>35</x:v>
      </x:c>
      <x:c r="F276" s="44"/>
      <x:c r="G276" s="44" t="str">
        <x:v>23. NGUYÊN Liệu BÁNH TRÁNG</x:v>
      </x:c>
      <x:c r="H276" s="45" t="n">
        <x:v>304</x:v>
      </x:c>
    </x:row>
  </x:sheetData>
  <x:pageMargins left="0.7" right="0.7" top="0.75" bottom="0.75" header="0.3" footer="0.3"/>
  <x:tableParts count="1">
    <x:tablePart xmlns:r="http://schemas.openxmlformats.org/officeDocument/2006/relationships" r:id="R0ad40be96807446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6" hidden="0" customWidth="1"/>
    <x:col min="10" max="10" width="16" hidden="0" customWidth="1"/>
    <x:col min="11" max="11" width="18" hidden="0" customWidth="1"/>
  </x:cols>
  <x:sheetData>
    <x:row r="1">
      <x:c r="A1" s="32" t="str">
        <x:v>Tên sản phẩm quy đổi*</x:v>
      </x:c>
      <x:c r="B1" s="33" t="str">
        <x:v>Mã SKU của sản phẩm quy đổi*</x:v>
      </x:c>
      <x:c r="C1" s="33" t="str">
        <x:v>Barcode</x:v>
      </x:c>
      <x:c r="D1" s="33" t="str">
        <x:v>Mã SKU của sản phẩm đơn vị *</x:v>
      </x:c>
      <x:c r="E1" s="33" t="str">
        <x:v>Số lượng quy đổi *</x:v>
      </x:c>
      <x:c r="F1" s="33" t="str">
        <x:v>Khối lượng</x:v>
      </x:c>
      <x:c r="G1" s="33" t="str">
        <x:v>Đơn vị khối lượng</x:v>
      </x:c>
      <x:c r="H1" s="33" t="str">
        <x:v>Đơn vị quy đổi *</x:v>
      </x:c>
      <x:c r="I1" s="33" t="str">
        <x:v>PL_Giá bán buôn</x:v>
      </x:c>
      <x:c r="J1" s="33" t="str">
        <x:v>PL_Giá bán lẻ</x:v>
      </x:c>
      <x:c r="K1" s="35" t="str">
        <x:v>PL_GIÁ THÀNH VIÊN</x:v>
      </x:c>
    </x:row>
    <x:row r="2">
      <x:c r="A2" s="71" t="str">
        <x:v>HẠT NỔ TRẮNG LOTUS - THÙNG</x:v>
      </x:c>
      <x:c r="B2" s="37" t="str">
        <x:v>NOTRLTT</x:v>
      </x:c>
      <x:c r="C2" s="37" t="str">
        <x:v>NOTRLTT</x:v>
      </x:c>
      <x:c r="D2" s="37" t="str">
        <x:v>NOTRLT</x:v>
      </x:c>
      <x:c r="E2" s="37" t="n">
        <x:v>12</x:v>
      </x:c>
      <x:c r="F2" s="37" t="n">
        <x:v>10200</x:v>
      </x:c>
      <x:c r="G2" s="37" t="str">
        <x:v>g</x:v>
      </x:c>
      <x:c r="H2" s="37" t="str">
        <x:v>THÙNG</x:v>
      </x:c>
      <x:c r="I2" s="59" t="n">
        <x:v>0</x:v>
      </x:c>
      <x:c r="J2" s="59" t="n">
        <x:v>0</x:v>
      </x:c>
      <x:c r="K2" s="83" t="n">
        <x:v>0</x:v>
      </x:c>
    </x:row>
    <x:row r="3">
      <x:c r="A3" s="71" t="str">
        <x:v>SIRO TRINH ĐÀO - THÙNG</x:v>
      </x:c>
      <x:c r="B3" s="37" t="str">
        <x:v>SRTRDOT</x:v>
      </x:c>
      <x:c r="C3" s="37" t="str">
        <x:v>SRTRDOT</x:v>
      </x:c>
      <x:c r="D3" s="37" t="str">
        <x:v>SRTRDO</x:v>
      </x:c>
      <x:c r="E3" s="37" t="n">
        <x:v>20</x:v>
      </x:c>
      <x:c r="F3" s="37" t="n">
        <x:v>20</x:v>
      </x:c>
      <x:c r="G3" s="37" t="str">
        <x:v>kg</x:v>
      </x:c>
      <x:c r="H3" s="37" t="str">
        <x:v>THÙNG</x:v>
      </x:c>
      <x:c r="I3" s="59" t="n">
        <x:v>0</x:v>
      </x:c>
      <x:c r="J3" s="59" t="n">
        <x:v>0</x:v>
      </x:c>
      <x:c r="K3" s="83" t="n">
        <x:v>0</x:v>
      </x:c>
    </x:row>
    <x:row r="4">
      <x:c r="A4" s="71" t="str">
        <x:v>TRÀ LÀI TAM MÃ - THÙNG</x:v>
      </x:c>
      <x:c r="B4" s="37" t="str">
        <x:v>TRLATMT</x:v>
      </x:c>
      <x:c r="C4" s="37" t="str">
        <x:v>TRLATMT</x:v>
      </x:c>
      <x:c r="D4" s="37" t="str">
        <x:v>TRLATM</x:v>
      </x:c>
      <x:c r="E4" s="37" t="n">
        <x:v>50</x:v>
      </x:c>
      <x:c r="F4" s="37" t="n">
        <x:v>25000</x:v>
      </x:c>
      <x:c r="G4" s="37" t="str">
        <x:v>g</x:v>
      </x:c>
      <x:c r="H4" s="37" t="str">
        <x:v>THÙNG</x:v>
      </x:c>
      <x:c r="I4" s="59" t="n">
        <x:v>0</x:v>
      </x:c>
      <x:c r="J4" s="59" t="n">
        <x:v>0</x:v>
      </x:c>
      <x:c r="K4" s="83" t="n">
        <x:v>0</x:v>
      </x:c>
    </x:row>
    <x:row r="5">
      <x:c r="A5" s="71" t="str">
        <x:v>TRÀ SÂM DỨA TAM MÃ - THÙNG</x:v>
      </x:c>
      <x:c r="B5" s="37" t="str">
        <x:v>TRSDTMT</x:v>
      </x:c>
      <x:c r="C5" s="37" t="str">
        <x:v>TRSDTMT</x:v>
      </x:c>
      <x:c r="D5" s="37" t="str">
        <x:v>TRSDTM</x:v>
      </x:c>
      <x:c r="E5" s="37" t="n">
        <x:v>50</x:v>
      </x:c>
      <x:c r="F5" s="37" t="n">
        <x:v>25000</x:v>
      </x:c>
      <x:c r="G5" s="37" t="str">
        <x:v>g</x:v>
      </x:c>
      <x:c r="H5" s="37" t="str">
        <x:v>THÙNG</x:v>
      </x:c>
      <x:c r="I5" s="59" t="n">
        <x:v>0</x:v>
      </x:c>
      <x:c r="J5" s="59" t="n">
        <x:v>0</x:v>
      </x:c>
      <x:c r="K5" s="83" t="n">
        <x:v>0</x:v>
      </x:c>
    </x:row>
    <x:row r="6">
      <x:c r="A6" s="71" t="str">
        <x:v>BÁNH BAO CAM - THÙNG</x:v>
      </x:c>
      <x:c r="B6" s="37" t="str">
        <x:v>BBACAMT</x:v>
      </x:c>
      <x:c r="C6" s="37" t="str">
        <x:v>BBACAMT</x:v>
      </x:c>
      <x:c r="D6" s="37" t="str">
        <x:v>BBACAM</x:v>
      </x:c>
      <x:c r="E6" s="37" t="n">
        <x:v>20</x:v>
      </x:c>
      <x:c r="F6" s="37" t="n">
        <x:v>10000</x:v>
      </x:c>
      <x:c r="G6" s="37" t="str">
        <x:v>g</x:v>
      </x:c>
      <x:c r="H6" s="37" t="str">
        <x:v>THÙNG</x:v>
      </x:c>
      <x:c r="I6" s="59" t="n">
        <x:v>0</x:v>
      </x:c>
      <x:c r="J6" s="59" t="n">
        <x:v>0</x:v>
      </x:c>
      <x:c r="K6" s="83" t="n">
        <x:v>0</x:v>
      </x:c>
    </x:row>
    <x:row r="7">
      <x:c r="A7" s="71" t="str">
        <x:v>THẢ LẨU CAM - THÙNG</x:v>
      </x:c>
      <x:c r="B7" s="37" t="str">
        <x:v>VTLCAMT</x:v>
      </x:c>
      <x:c r="C7" s="37" t="str">
        <x:v>VTLCAMT</x:v>
      </x:c>
      <x:c r="D7" s="37" t="str">
        <x:v>VTLCAM</x:v>
      </x:c>
      <x:c r="E7" s="37" t="n">
        <x:v>40</x:v>
      </x:c>
      <x:c r="F7" s="37" t="n">
        <x:v>20000</x:v>
      </x:c>
      <x:c r="G7" s="37" t="str">
        <x:v>g</x:v>
      </x:c>
      <x:c r="H7" s="37" t="str">
        <x:v>THÙNG</x:v>
      </x:c>
      <x:c r="I7" s="59" t="n">
        <x:v>0</x:v>
      </x:c>
      <x:c r="J7" s="59" t="n">
        <x:v>0</x:v>
      </x:c>
      <x:c r="K7" s="83" t="n">
        <x:v>0</x:v>
      </x:c>
    </x:row>
    <x:row r="8">
      <x:c r="A8" s="71" t="str">
        <x:v>XÚC XÍCH VƯỜN BIA - THÙNG</x:v>
      </x:c>
      <x:c r="B8" s="37" t="str">
        <x:v>XXVBIAT</x:v>
      </x:c>
      <x:c r="C8" s="37" t="str">
        <x:v>XXVBIAT</x:v>
      </x:c>
      <x:c r="D8" s="37" t="str">
        <x:v>XXVBIA</x:v>
      </x:c>
      <x:c r="E8" s="37" t="n">
        <x:v>40</x:v>
      </x:c>
      <x:c r="F8" s="37" t="n">
        <x:v>20000</x:v>
      </x:c>
      <x:c r="G8" s="37" t="str">
        <x:v>g</x:v>
      </x:c>
      <x:c r="H8" s="37" t="str">
        <x:v>THÙNG</x:v>
      </x:c>
      <x:c r="I8" s="59" t="n">
        <x:v>0</x:v>
      </x:c>
      <x:c r="J8" s="59" t="n">
        <x:v>0</x:v>
      </x:c>
      <x:c r="K8" s="83" t="n">
        <x:v>0</x:v>
      </x:c>
    </x:row>
    <x:row r="9">
      <x:c r="A9" s="71" t="str">
        <x:v>ỐC NHỒI LACUSA - THÙNG</x:v>
      </x:c>
      <x:c r="B9" s="37" t="str">
        <x:v>OCNHOIT</x:v>
      </x:c>
      <x:c r="C9" s="37" t="str">
        <x:v>OCNHOIT</x:v>
      </x:c>
      <x:c r="D9" s="37" t="str">
        <x:v>OCNHOI</x:v>
      </x:c>
      <x:c r="E9" s="37" t="n">
        <x:v>40</x:v>
      </x:c>
      <x:c r="F9" s="37" t="n">
        <x:v>20000</x:v>
      </x:c>
      <x:c r="G9" s="37" t="str">
        <x:v>g</x:v>
      </x:c>
      <x:c r="H9" s="37" t="str">
        <x:v>THÙNG</x:v>
      </x:c>
      <x:c r="I9" s="59" t="n">
        <x:v>0</x:v>
      </x:c>
      <x:c r="J9" s="59" t="n">
        <x:v>0</x:v>
      </x:c>
      <x:c r="K9" s="83" t="n">
        <x:v>0</x:v>
      </x:c>
    </x:row>
    <x:row r="10">
      <x:c r="A10" s="71" t="str">
        <x:v>TRÀ ONA QUẢ MỌNG - THÙNG</x:v>
      </x:c>
      <x:c r="B10" s="37" t="str">
        <x:v>TRQMONT</x:v>
      </x:c>
      <x:c r="C10" s="37" t="str">
        <x:v>TRQMONT</x:v>
      </x:c>
      <x:c r="D10" s="37" t="str">
        <x:v>TRQMON</x:v>
      </x:c>
      <x:c r="E10" s="37" t="n">
        <x:v>20</x:v>
      </x:c>
      <x:c r="F10" s="37" t="n">
        <x:v>10000</x:v>
      </x:c>
      <x:c r="G10" s="37" t="str">
        <x:v>g</x:v>
      </x:c>
      <x:c r="H10" s="37" t="str">
        <x:v>THÙNG</x:v>
      </x:c>
      <x:c r="I10" s="59" t="n">
        <x:v>0</x:v>
      </x:c>
      <x:c r="J10" s="59" t="n">
        <x:v>0</x:v>
      </x:c>
      <x:c r="K10" s="83" t="n">
        <x:v>0</x:v>
      </x:c>
    </x:row>
    <x:row r="11">
      <x:c r="A11" s="71" t="str">
        <x:v>THANH CUA DÀI - THÙNG</x:v>
      </x:c>
      <x:c r="B11" s="37" t="str">
        <x:v>TCUADAT</x:v>
      </x:c>
      <x:c r="C11" s="37" t="str">
        <x:v>TCUADAT</x:v>
      </x:c>
      <x:c r="D11" s="37" t="str">
        <x:v>TCUADA</x:v>
      </x:c>
      <x:c r="E11" s="37" t="n">
        <x:v>10</x:v>
      </x:c>
      <x:c r="F11" s="37" t="n">
        <x:v>10</x:v>
      </x:c>
      <x:c r="G11" s="37" t="str">
        <x:v>kg</x:v>
      </x:c>
      <x:c r="H11" s="37" t="str">
        <x:v>THÙNG</x:v>
      </x:c>
      <x:c r="I11" s="59" t="n">
        <x:v>0</x:v>
      </x:c>
      <x:c r="J11" s="59" t="n">
        <x:v>0</x:v>
      </x:c>
      <x:c r="K11" s="83" t="n">
        <x:v>0</x:v>
      </x:c>
    </x:row>
    <x:row r="12">
      <x:c r="A12" s="71" t="str">
        <x:v>THANH CUA LICHUN - THÙNG</x:v>
      </x:c>
      <x:c r="B12" s="37" t="str">
        <x:v>TCUALCT</x:v>
      </x:c>
      <x:c r="C12" s="37" t="str">
        <x:v>TCUALCT</x:v>
      </x:c>
      <x:c r="D12" s="37" t="str">
        <x:v>TCUALC</x:v>
      </x:c>
      <x:c r="E12" s="37" t="n">
        <x:v>30</x:v>
      </x:c>
      <x:c r="F12" s="37" t="n">
        <x:v>15</x:v>
      </x:c>
      <x:c r="G12" s="37" t="str">
        <x:v>kg</x:v>
      </x:c>
      <x:c r="H12" s="37" t="str">
        <x:v>THÙNG</x:v>
      </x:c>
      <x:c r="I12" s="59" t="n">
        <x:v>0</x:v>
      </x:c>
      <x:c r="J12" s="59" t="n">
        <x:v>0</x:v>
      </x:c>
      <x:c r="K12" s="83" t="n">
        <x:v>0</x:v>
      </x:c>
    </x:row>
    <x:row r="13">
      <x:c r="A13" s="71" t="str">
        <x:v>BỘT PHOMAI ÔNG GIÀ - THÙNG</x:v>
      </x:c>
      <x:c r="B13" s="37" t="str">
        <x:v>BPMDBPT</x:v>
      </x:c>
      <x:c r="C13" s="37" t="str">
        <x:v>BPMDBPT</x:v>
      </x:c>
      <x:c r="D13" s="37" t="str">
        <x:v>BPMDBP</x:v>
      </x:c>
      <x:c r="E13" s="37" t="n">
        <x:v>20</x:v>
      </x:c>
      <x:c r="F13" s="37" t="n">
        <x:v>20000</x:v>
      </x:c>
      <x:c r="G13" s="37" t="str">
        <x:v>g</x:v>
      </x:c>
      <x:c r="H13" s="37" t="str">
        <x:v>THÙNG</x:v>
      </x:c>
      <x:c r="I13" s="59" t="n">
        <x:v>0</x:v>
      </x:c>
      <x:c r="J13" s="59" t="n">
        <x:v>0</x:v>
      </x:c>
      <x:c r="K13" s="83" t="n">
        <x:v>0</x:v>
      </x:c>
    </x:row>
    <x:row r="14">
      <x:c r="A14" s="71" t="str">
        <x:v>HỒNG TRÀ GTP 3KG - BAO</x:v>
      </x:c>
      <x:c r="B14" s="37" t="str">
        <x:v>HTRGTPT</x:v>
      </x:c>
      <x:c r="C14" s="37" t="str">
        <x:v>HTRGTPT</x:v>
      </x:c>
      <x:c r="D14" s="37" t="str">
        <x:v>HTRGTP</x:v>
      </x:c>
      <x:c r="E14" s="37" t="n">
        <x:v>8</x:v>
      </x:c>
      <x:c r="F14" s="37" t="n">
        <x:v>24000</x:v>
      </x:c>
      <x:c r="G14" s="37" t="str">
        <x:v>g</x:v>
      </x:c>
      <x:c r="H14" s="37" t="str">
        <x:v>BAO</x:v>
      </x:c>
      <x:c r="I14" s="59" t="n">
        <x:v>0</x:v>
      </x:c>
      <x:c r="J14" s="59" t="n">
        <x:v>0</x:v>
      </x:c>
      <x:c r="K14" s="83" t="n">
        <x:v>0</x:v>
      </x:c>
    </x:row>
    <x:row r="15">
      <x:c r="A15" s="71" t="str">
        <x:v>BÒ VIÊN 500g - THÙNG</x:v>
      </x:c>
      <x:c r="B15" s="37" t="str">
        <x:v>BOVIE5T</x:v>
      </x:c>
      <x:c r="C15" s="37" t="str">
        <x:v>BOVIE5T</x:v>
      </x:c>
      <x:c r="D15" s="37" t="str">
        <x:v>BOVIE5</x:v>
      </x:c>
      <x:c r="E15" s="37" t="n">
        <x:v>40</x:v>
      </x:c>
      <x:c r="F15" s="37" t="n">
        <x:v>20000</x:v>
      </x:c>
      <x:c r="G15" s="37" t="str">
        <x:v>g</x:v>
      </x:c>
      <x:c r="H15" s="37" t="str">
        <x:v>THÙNG</x:v>
      </x:c>
      <x:c r="I15" s="59" t="n">
        <x:v>0</x:v>
      </x:c>
      <x:c r="J15" s="59" t="n">
        <x:v>0</x:v>
      </x:c>
      <x:c r="K15" s="83" t="n">
        <x:v>0</x:v>
      </x:c>
    </x:row>
    <x:row r="16">
      <x:c r="A16" s="71" t="str">
        <x:v>KHOAI TÂY 1KG - THÙNG</x:v>
      </x:c>
      <x:c r="B16" s="37" t="str">
        <x:v>KTAY1KT</x:v>
      </x:c>
      <x:c r="C16" s="37" t="str">
        <x:v>KTAY1KT</x:v>
      </x:c>
      <x:c r="D16" s="37" t="str">
        <x:v>KTAY1K</x:v>
      </x:c>
      <x:c r="E16" s="37" t="n">
        <x:v>10</x:v>
      </x:c>
      <x:c r="F16" s="37" t="n">
        <x:v>10</x:v>
      </x:c>
      <x:c r="G16" s="37" t="str">
        <x:v>kg</x:v>
      </x:c>
      <x:c r="H16" s="37" t="str">
        <x:v>THÙNG</x:v>
      </x:c>
      <x:c r="I16" s="59" t="n">
        <x:v>0</x:v>
      </x:c>
      <x:c r="J16" s="59" t="n">
        <x:v>0</x:v>
      </x:c>
      <x:c r="K16" s="83" t="n">
        <x:v>0</x:v>
      </x:c>
    </x:row>
    <x:row r="17">
      <x:c r="A17" s="71" t="str">
        <x:v>CUỘN ÉP TRONG - THÙNG</x:v>
      </x:c>
      <x:c r="B17" s="37" t="str">
        <x:v>CEPTRGT</x:v>
      </x:c>
      <x:c r="C17" s="37" t="str">
        <x:v>CEPTRGT</x:v>
      </x:c>
      <x:c r="D17" s="37" t="str">
        <x:v>CEPTRG</x:v>
      </x:c>
      <x:c r="E17" s="37" t="n">
        <x:v>12</x:v>
      </x:c>
      <x:c r="F17" s="37" t="n">
        <x:v>0</x:v>
      </x:c>
      <x:c r="G17" s="37" t="str">
        <x:v>g</x:v>
      </x:c>
      <x:c r="H17" s="37" t="str">
        <x:v>THÙNG</x:v>
      </x:c>
      <x:c r="I17" s="59" t="n">
        <x:v>0</x:v>
      </x:c>
      <x:c r="J17" s="59" t="n">
        <x:v>0</x:v>
      </x:c>
      <x:c r="K17" s="83" t="n">
        <x:v>0</x:v>
      </x:c>
    </x:row>
    <x:row r="18">
      <x:c r="A18" s="71" t="str">
        <x:v>BỘT MILKFOAM NGUYÊN VỊ - THÙNG</x:v>
      </x:c>
      <x:c r="B18" s="37" t="str">
        <x:v>MFLVNVT</x:v>
      </x:c>
      <x:c r="C18" s="37" t="str">
        <x:v>MFLVNVT</x:v>
      </x:c>
      <x:c r="D18" s="37" t="str">
        <x:v>MFLVNV</x:v>
      </x:c>
      <x:c r="E18" s="37" t="n">
        <x:v>20</x:v>
      </x:c>
      <x:c r="F18" s="37" t="n">
        <x:v>10000</x:v>
      </x:c>
      <x:c r="G18" s="37" t="str">
        <x:v>g</x:v>
      </x:c>
      <x:c r="H18" s="37" t="str">
        <x:v>THÙNG</x:v>
      </x:c>
      <x:c r="I18" s="59" t="n">
        <x:v>0</x:v>
      </x:c>
      <x:c r="J18" s="59" t="n">
        <x:v>0</x:v>
      </x:c>
      <x:c r="K18" s="83" t="n">
        <x:v>0</x:v>
      </x:c>
    </x:row>
    <x:row r="19">
      <x:c r="A19" s="71" t="str">
        <x:v>HẠT NỔ HỒNG LOTUS - THÙNG</x:v>
      </x:c>
      <x:c r="B19" s="37" t="str">
        <x:v>NOHGLTT</x:v>
      </x:c>
      <x:c r="C19" s="37" t="str">
        <x:v>NOHGLTT</x:v>
      </x:c>
      <x:c r="D19" s="37" t="str">
        <x:v>NOHGLT</x:v>
      </x:c>
      <x:c r="E19" s="37" t="n">
        <x:v>12</x:v>
      </x:c>
      <x:c r="F19" s="37" t="n">
        <x:v>10200</x:v>
      </x:c>
      <x:c r="G19" s="37" t="str">
        <x:v>g</x:v>
      </x:c>
      <x:c r="H19" s="37" t="str">
        <x:v>THÙNG</x:v>
      </x:c>
      <x:c r="I19" s="59" t="n">
        <x:v>0</x:v>
      </x:c>
      <x:c r="J19" s="59" t="n">
        <x:v>770000</x:v>
      </x:c>
      <x:c r="K19" s="83" t="n">
        <x:v>0</x:v>
      </x:c>
    </x:row>
    <x:row r="20">
      <x:c r="A20" s="71" t="str">
        <x:v>BỘT PHOMAI ERODELI - THÙNG</x:v>
      </x:c>
      <x:c r="B20" s="37" t="str">
        <x:v>BPMEURT</x:v>
      </x:c>
      <x:c r="C20" s="37" t="str">
        <x:v>BPMEURT</x:v>
      </x:c>
      <x:c r="D20" s="37" t="str">
        <x:v>BPMEUR</x:v>
      </x:c>
      <x:c r="E20" s="37" t="n">
        <x:v>20</x:v>
      </x:c>
      <x:c r="F20" s="37" t="n">
        <x:v>20</x:v>
      </x:c>
      <x:c r="G20" s="37" t="str">
        <x:v>kg</x:v>
      </x:c>
      <x:c r="H20" s="37" t="str">
        <x:v>THÙNG</x:v>
      </x:c>
      <x:c r="I20" s="59" t="n">
        <x:v>0</x:v>
      </x:c>
      <x:c r="J20" s="59" t="n">
        <x:v>5500000</x:v>
      </x:c>
      <x:c r="K20" s="83" t="n">
        <x:v>0</x:v>
      </x:c>
    </x:row>
    <x:row r="21">
      <x:c r="A21" s="71" t="str">
        <x:v>DỒI SỤN - THÙNG</x:v>
      </x:c>
      <x:c r="B21" s="37" t="str">
        <x:v>DOISUNT</x:v>
      </x:c>
      <x:c r="C21" s="37" t="str">
        <x:v>DOISUNT</x:v>
      </x:c>
      <x:c r="D21" s="37" t="str">
        <x:v>DOISUN</x:v>
      </x:c>
      <x:c r="E21" s="37" t="n">
        <x:v>20</x:v>
      </x:c>
      <x:c r="F21" s="37" t="n">
        <x:v>10000</x:v>
      </x:c>
      <x:c r="G21" s="37" t="str">
        <x:v>g</x:v>
      </x:c>
      <x:c r="H21" s="37" t="str">
        <x:v>THÙNG</x:v>
      </x:c>
      <x:c r="I21" s="59" t="n">
        <x:v>0</x:v>
      </x:c>
      <x:c r="J21" s="59" t="n">
        <x:v>760000</x:v>
      </x:c>
      <x:c r="K21" s="83" t="n">
        <x:v>0</x:v>
      </x:c>
    </x:row>
    <x:row r="22">
      <x:c r="A22" s="71" t="str">
        <x:v>VẢI HOÀNG GIA MỚI (MOCHI) - THÙNG</x:v>
      </x:c>
      <x:c r="B22" s="37" t="str">
        <x:v>VAIMOCT</x:v>
      </x:c>
      <x:c r="C22" s="37" t="str">
        <x:v>VAIMOCT</x:v>
      </x:c>
      <x:c r="D22" s="37" t="str">
        <x:v>VAIMOC</x:v>
      </x:c>
      <x:c r="E22" s="37" t="n">
        <x:v>12</x:v>
      </x:c>
      <x:c r="F22" s="37" t="n">
        <x:v>12000</x:v>
      </x:c>
      <x:c r="G22" s="37" t="str">
        <x:v>g</x:v>
      </x:c>
      <x:c r="H22" s="37" t="str">
        <x:v>THÙNG</x:v>
      </x:c>
      <x:c r="I22" s="59" t="n">
        <x:v>440000</x:v>
      </x:c>
      <x:c r="J22" s="59" t="n">
        <x:v>460000</x:v>
      </x:c>
      <x:c r="K22" s="83" t="n">
        <x:v>450000</x:v>
      </x:c>
    </x:row>
    <x:row r="23">
      <x:c r="A23" s="71" t="str">
        <x:v>TINH DẦU ỚT - THÙNG</x:v>
      </x:c>
      <x:c r="B23" s="37" t="str">
        <x:v>TDOTDOT</x:v>
      </x:c>
      <x:c r="C23" s="37" t="str">
        <x:v>TDOTDOT</x:v>
      </x:c>
      <x:c r="D23" s="37" t="str">
        <x:v>TDOTDO</x:v>
      </x:c>
      <x:c r="E23" s="37" t="n">
        <x:v>12</x:v>
      </x:c>
      <x:c r="F23" s="37" t="n">
        <x:v>6</x:v>
      </x:c>
      <x:c r="G23" s="37" t="str">
        <x:v>kg</x:v>
      </x:c>
      <x:c r="H23" s="37" t="str">
        <x:v>THÙNG</x:v>
      </x:c>
      <x:c r="I23" s="59" t="n">
        <x:v>0</x:v>
      </x:c>
      <x:c r="J23" s="59" t="n">
        <x:v>0</x:v>
      </x:c>
      <x:c r="K23" s="83" t="n">
        <x:v>0</x:v>
      </x:c>
    </x:row>
    <x:row r="24">
      <x:c r="A24" s="71" t="str">
        <x:v>TRÀ OLONG TẤM - THÙNG</x:v>
      </x:c>
      <x:c r="B24" s="37" t="str">
        <x:v>TROLTAT</x:v>
      </x:c>
      <x:c r="C24" s="37" t="str">
        <x:v>TROLTAT</x:v>
      </x:c>
      <x:c r="D24" s="37" t="str">
        <x:v>TROLTA</x:v>
      </x:c>
      <x:c r="E24" s="37" t="n">
        <x:v>20</x:v>
      </x:c>
      <x:c r="F24" s="37" t="n">
        <x:v>11000</x:v>
      </x:c>
      <x:c r="G24" s="37" t="str">
        <x:v>g</x:v>
      </x:c>
      <x:c r="H24" s="37" t="str">
        <x:v>THÙNG</x:v>
      </x:c>
      <x:c r="I24" s="59" t="n">
        <x:v>0</x:v>
      </x:c>
      <x:c r="J24" s="59" t="n">
        <x:v>0</x:v>
      </x:c>
      <x:c r="K24" s="83" t="n">
        <x:v>0</x:v>
      </x:c>
    </x:row>
    <x:row r="25">
      <x:c r="A25" s="71" t="str">
        <x:v>TRÀ OLONG KHÓI NOVIA - THÙNG</x:v>
      </x:c>
      <x:c r="B25" s="37" t="str">
        <x:v>PVN1254</x:v>
      </x:c>
      <x:c r="C25" s="37" t="str">
        <x:v>PVN1254</x:v>
      </x:c>
      <x:c r="D25" s="37" t="str">
        <x:v>PVN1253</x:v>
      </x:c>
      <x:c r="E25" s="37" t="n">
        <x:v>20</x:v>
      </x:c>
      <x:c r="F25" s="37" t="n">
        <x:v>0</x:v>
      </x:c>
      <x:c r="G25" s="37" t="str">
        <x:v>g</x:v>
      </x:c>
      <x:c r="H25" s="37" t="str">
        <x:v>THÙNG</x:v>
      </x:c>
      <x:c r="I25" s="59" t="n">
        <x:v>0</x:v>
      </x:c>
      <x:c r="J25" s="59" t="n">
        <x:v>0</x:v>
      </x:c>
      <x:c r="K25" s="83" t="n">
        <x:v>0</x:v>
      </x:c>
    </x:row>
    <x:row r="26">
      <x:c r="A26" s="71" t="str">
        <x:v>TRÀ OLONG NƯỚNG NOVIA - THÙNG</x:v>
      </x:c>
      <x:c r="B26" s="37" t="str">
        <x:v>PVN1252</x:v>
      </x:c>
      <x:c r="C26" s="37" t="str">
        <x:v>PVN1252</x:v>
      </x:c>
      <x:c r="D26" s="37" t="str">
        <x:v>PVN1251</x:v>
      </x:c>
      <x:c r="E26" s="37" t="n">
        <x:v>20</x:v>
      </x:c>
      <x:c r="F26" s="37" t="n">
        <x:v>0</x:v>
      </x:c>
      <x:c r="G26" s="37" t="str">
        <x:v>g</x:v>
      </x:c>
      <x:c r="H26" s="37" t="str">
        <x:v>THÙNG</x:v>
      </x:c>
      <x:c r="I26" s="59" t="n">
        <x:v>0</x:v>
      </x:c>
      <x:c r="J26" s="59" t="n">
        <x:v>0</x:v>
      </x:c>
      <x:c r="K26" s="83" t="n">
        <x:v>0</x:v>
      </x:c>
    </x:row>
    <x:row r="27">
      <x:c r="A27" s="71" t="str">
        <x:v>BONE MILKY - THÙNG</x:v>
      </x:c>
      <x:c r="B27" s="37" t="str">
        <x:v>PVN1250</x:v>
      </x:c>
      <x:c r="C27" s="37" t="str">
        <x:v>PVN1250</x:v>
      </x:c>
      <x:c r="D27" s="37" t="str">
        <x:v>PVN1249</x:v>
      </x:c>
      <x:c r="E27" s="37" t="n">
        <x:v>12</x:v>
      </x:c>
      <x:c r="F27" s="37" t="n">
        <x:v>0</x:v>
      </x:c>
      <x:c r="G27" s="37" t="str">
        <x:v>g</x:v>
      </x:c>
      <x:c r="H27" s="37" t="str">
        <x:v>THÙNG</x:v>
      </x:c>
      <x:c r="I27" s="59" t="n">
        <x:v>0</x:v>
      </x:c>
      <x:c r="J27" s="59" t="n">
        <x:v>0</x:v>
      </x:c>
      <x:c r="K27" s="83" t="n">
        <x:v>0</x:v>
      </x:c>
    </x:row>
    <x:row r="28">
      <x:c r="A28" s="71" t="str">
        <x:v>ĐÀO GOLDREEF - THÙNG</x:v>
      </x:c>
      <x:c r="B28" s="37" t="str">
        <x:v>DAOGRFT</x:v>
      </x:c>
      <x:c r="C28" s="37" t="str">
        <x:v>DAOGRFT</x:v>
      </x:c>
      <x:c r="D28" s="37" t="str">
        <x:v>DAOGRF</x:v>
      </x:c>
      <x:c r="E28" s="37" t="n">
        <x:v>12</x:v>
      </x:c>
      <x:c r="F28" s="37" t="n">
        <x:v>12</x:v>
      </x:c>
      <x:c r="G28" s="37" t="str">
        <x:v>kg</x:v>
      </x:c>
      <x:c r="H28" s="37" t="str">
        <x:v>THÙNG</x:v>
      </x:c>
      <x:c r="I28" s="59" t="n">
        <x:v>0</x:v>
      </x:c>
      <x:c r="J28" s="59" t="n">
        <x:v>0</x:v>
      </x:c>
      <x:c r="K28" s="83" t="n">
        <x:v>0</x:v>
      </x:c>
    </x:row>
    <x:row r="29">
      <x:c r="A29" s="71" t="str">
        <x:v>ĐẬM ĐẶC MÃNG CẦU - THÙNG</x:v>
      </x:c>
      <x:c r="B29" s="37" t="str">
        <x:v>DDGMCAT</x:v>
      </x:c>
      <x:c r="C29" s="37" t="str">
        <x:v>DDGMCAT</x:v>
      </x:c>
      <x:c r="D29" s="37" t="str">
        <x:v>DDGMCA</x:v>
      </x:c>
      <x:c r="E29" s="37" t="n">
        <x:v>12</x:v>
      </x:c>
      <x:c r="F29" s="37" t="n">
        <x:v>16</x:v>
      </x:c>
      <x:c r="G29" s="37" t="str">
        <x:v>kg</x:v>
      </x:c>
      <x:c r="H29" s="37" t="str">
        <x:v>THÙNG</x:v>
      </x:c>
      <x:c r="I29" s="59" t="n">
        <x:v>0</x:v>
      </x:c>
      <x:c r="J29" s="59" t="n">
        <x:v>0</x:v>
      </x:c>
      <x:c r="K29" s="83" t="n">
        <x:v>0</x:v>
      </x:c>
    </x:row>
    <x:row r="30">
      <x:c r="A30" s="71" t="str">
        <x:v>LY 700 UKP - THÙNG</x:v>
      </x:c>
      <x:c r="B30" s="37" t="str">
        <x:v>LYU700T</x:v>
      </x:c>
      <x:c r="C30" s="37" t="str">
        <x:v>LYU700T</x:v>
      </x:c>
      <x:c r="D30" s="37" t="str">
        <x:v>LYU700</x:v>
      </x:c>
      <x:c r="E30" s="37" t="n">
        <x:v>20</x:v>
      </x:c>
      <x:c r="F30" s="37" t="n">
        <x:v>0</x:v>
      </x:c>
      <x:c r="G30" s="37" t="str">
        <x:v>g</x:v>
      </x:c>
      <x:c r="H30" s="37" t="str">
        <x:v>THÙNG</x:v>
      </x:c>
      <x:c r="I30" s="59" t="n">
        <x:v>0</x:v>
      </x:c>
      <x:c r="J30" s="59" t="n">
        <x:v>0</x:v>
      </x:c>
      <x:c r="K30" s="83" t="n">
        <x:v>0</x:v>
      </x:c>
    </x:row>
    <x:row r="31">
      <x:c r="A31" s="71" t="str">
        <x:v>HẠT NỔ TRẮNG DEDU - THÙNG</x:v>
      </x:c>
      <x:c r="B31" s="37" t="str">
        <x:v>NOTRDDT</x:v>
      </x:c>
      <x:c r="C31" s="37" t="str">
        <x:v>NOTRDDT</x:v>
      </x:c>
      <x:c r="D31" s="37" t="str">
        <x:v>NOTRDD</x:v>
      </x:c>
      <x:c r="E31" s="37" t="n">
        <x:v>12</x:v>
      </x:c>
      <x:c r="F31" s="37" t="n">
        <x:v>13</x:v>
      </x:c>
      <x:c r="G31" s="37" t="str">
        <x:v>kg</x:v>
      </x:c>
      <x:c r="H31" s="37" t="str">
        <x:v>THÙNG</x:v>
      </x:c>
      <x:c r="I31" s="59" t="n">
        <x:v>0</x:v>
      </x:c>
      <x:c r="J31" s="59" t="n">
        <x:v>836000</x:v>
      </x:c>
      <x:c r="K31" s="83" t="n">
        <x:v>0</x:v>
      </x:c>
    </x:row>
    <x:row r="32">
      <x:c r="A32" s="71" t="str">
        <x:v>COZY HOÀ TAN BÍ ĐAO - THÙNG</x:v>
      </x:c>
      <x:c r="B32" s="37" t="str">
        <x:v>COHTBDT</x:v>
      </x:c>
      <x:c r="C32" s="37" t="str">
        <x:v>COHTBDT</x:v>
      </x:c>
      <x:c r="D32" s="37" t="str">
        <x:v>COHTBD</x:v>
      </x:c>
      <x:c r="E32" s="37" t="n">
        <x:v>30</x:v>
      </x:c>
      <x:c r="F32" s="37" t="n">
        <x:v>10000</x:v>
      </x:c>
      <x:c r="G32" s="37" t="str">
        <x:v>g</x:v>
      </x:c>
      <x:c r="H32" s="37" t="str">
        <x:v>THÙNG</x:v>
      </x:c>
      <x:c r="I32" s="59" t="n">
        <x:v>0</x:v>
      </x:c>
      <x:c r="J32" s="59" t="n">
        <x:v>0</x:v>
      </x:c>
      <x:c r="K32" s="83" t="n">
        <x:v>0</x:v>
      </x:c>
    </x:row>
    <x:row r="33">
      <x:c r="A33" s="71" t="str">
        <x:v>3Q ZION ĐEN - THÙNG</x:v>
      </x:c>
      <x:c r="B33" s="37" t="str">
        <x:v>3QZIDET</x:v>
      </x:c>
      <x:c r="C33" s="37" t="str">
        <x:v>3QZIDET</x:v>
      </x:c>
      <x:c r="D33" s="37" t="str">
        <x:v>3QZIDE</x:v>
      </x:c>
      <x:c r="E33" s="37" t="n">
        <x:v>6</x:v>
      </x:c>
      <x:c r="F33" s="37" t="n">
        <x:v>13</x:v>
      </x:c>
      <x:c r="G33" s="37" t="str">
        <x:v>kg</x:v>
      </x:c>
      <x:c r="H33" s="37" t="str">
        <x:v>THÙNG</x:v>
      </x:c>
      <x:c r="I33" s="59" t="n">
        <x:v>0</x:v>
      </x:c>
      <x:c r="J33" s="59" t="n">
        <x:v>285000</x:v>
      </x:c>
      <x:c r="K33" s="83" t="n">
        <x:v>0</x:v>
      </x:c>
    </x:row>
    <x:row r="34">
      <x:c r="A34" s="71" t="str">
        <x:v>MUỖNG DÀI ĐEN BỌC MÀNG - THÙNG</x:v>
      </x:c>
      <x:c r="B34" s="37" t="str">
        <x:v>MUDDMAT</x:v>
      </x:c>
      <x:c r="C34" s="37" t="str">
        <x:v>MUDDMAT</x:v>
      </x:c>
      <x:c r="D34" s="37" t="str">
        <x:v>MUDDMA</x:v>
      </x:c>
      <x:c r="E34" s="37" t="n">
        <x:v>40</x:v>
      </x:c>
      <x:c r="F34" s="37" t="n">
        <x:v>0</x:v>
      </x:c>
      <x:c r="G34" s="37" t="str">
        <x:v>g</x:v>
      </x:c>
      <x:c r="H34" s="37" t="str">
        <x:v>THÙNG</x:v>
      </x:c>
      <x:c r="I34" s="59" t="n">
        <x:v>0</x:v>
      </x:c>
      <x:c r="J34" s="59" t="n">
        <x:v>0</x:v>
      </x:c>
      <x:c r="K34" s="83" t="n">
        <x:v>0</x:v>
      </x:c>
    </x:row>
    <x:row r="35">
      <x:c r="A35" s="71" t="str">
        <x:v>SỐT SAIJANG - THÙNG</x:v>
      </x:c>
      <x:c r="B35" s="37" t="str">
        <x:v>SAIJANGT</x:v>
      </x:c>
      <x:c r="C35" s="37" t="str">
        <x:v>SAIJANGT</x:v>
      </x:c>
      <x:c r="D35" s="37" t="str">
        <x:v>SAIJANG</x:v>
      </x:c>
      <x:c r="E35" s="37" t="n">
        <x:v>20</x:v>
      </x:c>
      <x:c r="F35" s="37" t="n">
        <x:v>20</x:v>
      </x:c>
      <x:c r="G35" s="37" t="str">
        <x:v>kg</x:v>
      </x:c>
      <x:c r="H35" s="37" t="str">
        <x:v>THÙNG</x:v>
      </x:c>
      <x:c r="I35" s="59" t="n">
        <x:v>0</x:v>
      </x:c>
      <x:c r="J35" s="59" t="n">
        <x:v>0</x:v>
      </x:c>
      <x:c r="K35" s="83" t="n">
        <x:v>0</x:v>
      </x:c>
    </x:row>
    <x:row r="36">
      <x:c r="A36" s="71" t="str">
        <x:v>ĐẬU HỦ PHO MAI NGON - THÙNG</x:v>
      </x:c>
      <x:c r="B36" s="37" t="str">
        <x:v>DHUPMNT</x:v>
      </x:c>
      <x:c r="C36" s="37" t="str">
        <x:v>DHUPMNT</x:v>
      </x:c>
      <x:c r="D36" s="37" t="str">
        <x:v>DHUPMN</x:v>
      </x:c>
      <x:c r="E36" s="37" t="n">
        <x:v>20</x:v>
      </x:c>
      <x:c r="F36" s="37" t="n">
        <x:v>10000</x:v>
      </x:c>
      <x:c r="G36" s="37" t="str">
        <x:v>g</x:v>
      </x:c>
      <x:c r="H36" s="37" t="str">
        <x:v>THÙNG</x:v>
      </x:c>
      <x:c r="I36" s="59" t="n">
        <x:v>0</x:v>
      </x:c>
      <x:c r="J36" s="59" t="n">
        <x:v>0</x:v>
      </x:c>
      <x:c r="K36" s="83" t="n">
        <x:v>0</x:v>
      </x:c>
    </x:row>
    <x:row r="37">
      <x:c r="A37" s="71" t="str">
        <x:v>BODU XOÀI - THÙNG</x:v>
      </x:c>
      <x:c r="B37" s="37" t="str">
        <x:v>BODUXOT</x:v>
      </x:c>
      <x:c r="C37" s="37" t="str">
        <x:v>BODUXOT</x:v>
      </x:c>
      <x:c r="D37" s="37" t="str">
        <x:v>BODUXO</x:v>
      </x:c>
      <x:c r="E37" s="37" t="n">
        <x:v>12</x:v>
      </x:c>
      <x:c r="F37" s="37" t="n">
        <x:v>17000</x:v>
      </x:c>
      <x:c r="G37" s="37" t="str">
        <x:v>g</x:v>
      </x:c>
      <x:c r="H37" s="37" t="str">
        <x:v>THÙNG</x:v>
      </x:c>
      <x:c r="I37" s="59" t="n">
        <x:v>0</x:v>
      </x:c>
      <x:c r="J37" s="59" t="n">
        <x:v>0</x:v>
      </x:c>
      <x:c r="K37" s="83" t="n">
        <x:v>0</x:v>
      </x:c>
    </x:row>
    <x:row r="38">
      <x:c r="A38" s="71" t="str">
        <x:v>SIRO CASALANCA MÃNG CẦU - THÙNG</x:v>
      </x:c>
      <x:c r="B38" s="37" t="str">
        <x:v>CSAMCAT</x:v>
      </x:c>
      <x:c r="C38" s="37" t="str">
        <x:v>CSAMCAT</x:v>
      </x:c>
      <x:c r="D38" s="37" t="str">
        <x:v>CSAMCA</x:v>
      </x:c>
      <x:c r="E38" s="37" t="n">
        <x:v>12</x:v>
      </x:c>
      <x:c r="F38" s="37" t="n">
        <x:v>14400</x:v>
      </x:c>
      <x:c r="G38" s="37" t="str">
        <x:v>g</x:v>
      </x:c>
      <x:c r="H38" s="37" t="str">
        <x:v>THÙNG</x:v>
      </x:c>
      <x:c r="I38" s="59" t="n">
        <x:v>0</x:v>
      </x:c>
      <x:c r="J38" s="59" t="n">
        <x:v>0</x:v>
      </x:c>
      <x:c r="K38" s="83" t="n">
        <x:v>0</x:v>
      </x:c>
    </x:row>
    <x:row r="39">
      <x:c r="A39" s="71" t="str">
        <x:v>SIRO CASALANCA TẮC - THÙNG</x:v>
      </x:c>
      <x:c r="B39" s="37" t="str">
        <x:v>CSATACT</x:v>
      </x:c>
      <x:c r="C39" s="37" t="str">
        <x:v>CSATACT</x:v>
      </x:c>
      <x:c r="D39" s="37" t="str">
        <x:v>CSATAC</x:v>
      </x:c>
      <x:c r="E39" s="37" t="n">
        <x:v>12</x:v>
      </x:c>
      <x:c r="F39" s="37" t="n">
        <x:v>16000</x:v>
      </x:c>
      <x:c r="G39" s="37" t="str">
        <x:v>g</x:v>
      </x:c>
      <x:c r="H39" s="37" t="str">
        <x:v>THÙNG</x:v>
      </x:c>
      <x:c r="I39" s="59" t="n">
        <x:v>0</x:v>
      </x:c>
      <x:c r="J39" s="59" t="n">
        <x:v>0</x:v>
      </x:c>
      <x:c r="K39" s="83" t="n">
        <x:v>0</x:v>
      </x:c>
    </x:row>
    <x:row r="40">
      <x:c r="A40" s="71" t="str">
        <x:v>SIRO A+ NHO - THÙNG</x:v>
      </x:c>
      <x:c r="B40" s="37" t="str">
        <x:v>SRANHOT</x:v>
      </x:c>
      <x:c r="C40" s="37" t="str">
        <x:v>SRANHOT</x:v>
      </x:c>
      <x:c r="D40" s="37" t="str">
        <x:v>SRANHO</x:v>
      </x:c>
      <x:c r="E40" s="37" t="n">
        <x:v>24</x:v>
      </x:c>
      <x:c r="F40" s="37" t="n">
        <x:v>16000</x:v>
      </x:c>
      <x:c r="G40" s="37" t="str">
        <x:v>g</x:v>
      </x:c>
      <x:c r="H40" s="37" t="str">
        <x:v>THÙNG</x:v>
      </x:c>
      <x:c r="I40" s="59" t="n">
        <x:v>0</x:v>
      </x:c>
      <x:c r="J40" s="59" t="n">
        <x:v>0</x:v>
      </x:c>
      <x:c r="K40" s="83" t="n">
        <x:v>0</x:v>
      </x:c>
    </x:row>
    <x:row r="41">
      <x:c r="A41" s="71" t="str">
        <x:v>SIRO TRÒN DÂU - THÙNG</x:v>
      </x:c>
      <x:c r="B41" s="37" t="str">
        <x:v>SRDAUTT</x:v>
      </x:c>
      <x:c r="C41" s="37" t="str">
        <x:v>SRDAUTT</x:v>
      </x:c>
      <x:c r="D41" s="37" t="str">
        <x:v>SRDAUT</x:v>
      </x:c>
      <x:c r="E41" s="37" t="n">
        <x:v>6</x:v>
      </x:c>
      <x:c r="F41" s="37" t="n">
        <x:v>16500</x:v>
      </x:c>
      <x:c r="G41" s="37" t="str">
        <x:v>g</x:v>
      </x:c>
      <x:c r="H41" s="37" t="str">
        <x:v>THÙNG</x:v>
      </x:c>
      <x:c r="I41" s="59" t="n">
        <x:v>0</x:v>
      </x:c>
      <x:c r="J41" s="59" t="n">
        <x:v>0</x:v>
      </x:c>
      <x:c r="K41" s="83" t="n">
        <x:v>0</x:v>
      </x:c>
    </x:row>
    <x:row r="42">
      <x:c r="A42" s="71" t="str">
        <x:v>VẢI LON THÁI - THÙNG</x:v>
      </x:c>
      <x:c r="B42" s="37" t="str">
        <x:v>VAIYOTT</x:v>
      </x:c>
      <x:c r="C42" s="37" t="str">
        <x:v>VAIYOTT</x:v>
      </x:c>
      <x:c r="D42" s="37" t="str">
        <x:v>VAIYOT</x:v>
      </x:c>
      <x:c r="E42" s="37" t="n">
        <x:v>24</x:v>
      </x:c>
      <x:c r="F42" s="37" t="n">
        <x:v>14400</x:v>
      </x:c>
      <x:c r="G42" s="37" t="str">
        <x:v>g</x:v>
      </x:c>
      <x:c r="H42" s="37" t="str">
        <x:v>THÙNG</x:v>
      </x:c>
      <x:c r="I42" s="59" t="n">
        <x:v>720000</x:v>
      </x:c>
      <x:c r="J42" s="59" t="n">
        <x:v>756000</x:v>
      </x:c>
      <x:c r="K42" s="83" t="n">
        <x:v>740000</x:v>
      </x:c>
    </x:row>
    <x:row r="43">
      <x:c r="A43" s="71" t="str">
        <x:v>MỨT DOUXIAN DƯA LƯỚI - THÙNG</x:v>
      </x:c>
      <x:c r="B43" s="37" t="str">
        <x:v>STDXDLT</x:v>
      </x:c>
      <x:c r="C43" s="37" t="str">
        <x:v>STDXDLT</x:v>
      </x:c>
      <x:c r="D43" s="37" t="str">
        <x:v>STDXDL</x:v>
      </x:c>
      <x:c r="E43" s="37" t="n">
        <x:v>12</x:v>
      </x:c>
      <x:c r="F43" s="37" t="n">
        <x:v>15600</x:v>
      </x:c>
      <x:c r="G43" s="37" t="str">
        <x:v>g</x:v>
      </x:c>
      <x:c r="H43" s="37" t="str">
        <x:v>THÙNG</x:v>
      </x:c>
      <x:c r="I43" s="59" t="n">
        <x:v>0</x:v>
      </x:c>
      <x:c r="J43" s="59" t="n">
        <x:v>0</x:v>
      </x:c>
      <x:c r="K43" s="83" t="n">
        <x:v>0</x:v>
      </x:c>
    </x:row>
    <x:row r="44">
      <x:c r="A44" s="71" t="str">
        <x:v>TORANI DƯA LƯỚI - THÙNG</x:v>
      </x:c>
      <x:c r="B44" s="37" t="str">
        <x:v>TORDLUT</x:v>
      </x:c>
      <x:c r="C44" s="37" t="str">
        <x:v>TORDLUT</x:v>
      </x:c>
      <x:c r="D44" s="37" t="str">
        <x:v>TORDLU</x:v>
      </x:c>
      <x:c r="E44" s="37" t="n">
        <x:v>12</x:v>
      </x:c>
      <x:c r="F44" s="37" t="n">
        <x:v>18000</x:v>
      </x:c>
      <x:c r="G44" s="37" t="str">
        <x:v>g</x:v>
      </x:c>
      <x:c r="H44" s="37" t="str">
        <x:v>THÙNG</x:v>
      </x:c>
      <x:c r="I44" s="59" t="n">
        <x:v>0</x:v>
      </x:c>
      <x:c r="J44" s="59" t="n">
        <x:v>0</x:v>
      </x:c>
      <x:c r="K44" s="83" t="n">
        <x:v>0</x:v>
      </x:c>
    </x:row>
    <x:row r="45">
      <x:c r="A45" s="71" t="str">
        <x:v>SIRO CASALANCA BLUE CURACAO - THÙNG</x:v>
      </x:c>
      <x:c r="B45" s="37" t="str">
        <x:v>CSABLUT</x:v>
      </x:c>
      <x:c r="C45" s="37" t="str">
        <x:v>CSABLUT</x:v>
      </x:c>
      <x:c r="D45" s="37" t="str">
        <x:v>CSABLU</x:v>
      </x:c>
      <x:c r="E45" s="37" t="n">
        <x:v>12</x:v>
      </x:c>
      <x:c r="F45" s="37" t="n">
        <x:v>13000</x:v>
      </x:c>
      <x:c r="G45" s="37" t="str">
        <x:v>g</x:v>
      </x:c>
      <x:c r="H45" s="37" t="str">
        <x:v>THÙNG</x:v>
      </x:c>
      <x:c r="I45" s="59" t="n">
        <x:v>0</x:v>
      </x:c>
      <x:c r="J45" s="59" t="n">
        <x:v>0</x:v>
      </x:c>
      <x:c r="K45" s="83" t="n">
        <x:v>0</x:v>
      </x:c>
    </x:row>
    <x:row r="46">
      <x:c r="A46" s="71" t="str">
        <x:v>CARISA SOCOLA - THÙNG</x:v>
      </x:c>
      <x:c r="B46" s="37" t="str">
        <x:v>CRSSCLT</x:v>
      </x:c>
      <x:c r="C46" s="37" t="str">
        <x:v>CRSSCLT</x:v>
      </x:c>
      <x:c r="D46" s="37" t="str">
        <x:v>CRSSCL</x:v>
      </x:c>
      <x:c r="E46" s="37" t="n">
        <x:v>24</x:v>
      </x:c>
      <x:c r="F46" s="37" t="n">
        <x:v>0</x:v>
      </x:c>
      <x:c r="G46" s="37" t="str">
        <x:v>g</x:v>
      </x:c>
      <x:c r="H46" s="37" t="str">
        <x:v>THÙNG</x:v>
      </x:c>
      <x:c r="I46" s="59" t="n">
        <x:v>0</x:v>
      </x:c>
      <x:c r="J46" s="59" t="n">
        <x:v>0</x:v>
      </x:c>
      <x:c r="K46" s="83" t="n">
        <x:v>0</x:v>
      </x:c>
    </x:row>
    <x:row r="47">
      <x:c r="A47" s="71" t="str">
        <x:v>TC ĐEN 5S - THÙNG</x:v>
      </x:c>
      <x:c r="B47" s="37" t="str">
        <x:v>TCDD5ST</x:v>
      </x:c>
      <x:c r="C47" s="37" t="str">
        <x:v>TCDD5ST</x:v>
      </x:c>
      <x:c r="D47" s="37" t="str">
        <x:v>TCDD5S</x:v>
      </x:c>
      <x:c r="E47" s="37" t="n">
        <x:v>10</x:v>
      </x:c>
      <x:c r="F47" s="37" t="n">
        <x:v>21000</x:v>
      </x:c>
      <x:c r="G47" s="37" t="str">
        <x:v>g</x:v>
      </x:c>
      <x:c r="H47" s="37" t="str">
        <x:v>THÙNG</x:v>
      </x:c>
      <x:c r="I47" s="59" t="n">
        <x:v>500000</x:v>
      </x:c>
      <x:c r="J47" s="59" t="n">
        <x:v>515000</x:v>
      </x:c>
      <x:c r="K47" s="83" t="n">
        <x:v>0</x:v>
      </x:c>
    </x:row>
    <x:row r="48">
      <x:c r="A48" s="71" t="str">
        <x:v>TRÀ ONA OLONG TỨ QUÝ - THÙNG</x:v>
      </x:c>
      <x:c r="B48" s="37" t="str">
        <x:v>TROLTQT</x:v>
      </x:c>
      <x:c r="C48" s="37" t="str">
        <x:v>TROLTQT</x:v>
      </x:c>
      <x:c r="D48" s="37" t="str">
        <x:v>TROLTQ</x:v>
      </x:c>
      <x:c r="E48" s="37" t="n">
        <x:v>20</x:v>
      </x:c>
      <x:c r="F48" s="37" t="n">
        <x:v>11000</x:v>
      </x:c>
      <x:c r="G48" s="37" t="str">
        <x:v>g</x:v>
      </x:c>
      <x:c r="H48" s="37" t="str">
        <x:v>THÙNG</x:v>
      </x:c>
      <x:c r="I48" s="59" t="n">
        <x:v>2640000</x:v>
      </x:c>
      <x:c r="J48" s="59" t="n">
        <x:v>0</x:v>
      </x:c>
      <x:c r="K48" s="83" t="n">
        <x:v>0</x:v>
      </x:c>
    </x:row>
    <x:row r="49">
      <x:c r="A49" s="71" t="str">
        <x:v>TRÀ ONA GẠO RANG - THÙNG</x:v>
      </x:c>
      <x:c r="B49" s="37" t="str">
        <x:v>TRGAONT</x:v>
      </x:c>
      <x:c r="C49" s="37" t="str">
        <x:v>TRGAONT</x:v>
      </x:c>
      <x:c r="D49" s="37" t="str">
        <x:v>TRGAON</x:v>
      </x:c>
      <x:c r="E49" s="37" t="n">
        <x:v>20</x:v>
      </x:c>
      <x:c r="F49" s="37" t="n">
        <x:v>11000</x:v>
      </x:c>
      <x:c r="G49" s="37" t="str">
        <x:v>g</x:v>
      </x:c>
      <x:c r="H49" s="37" t="str">
        <x:v>THÙNG</x:v>
      </x:c>
      <x:c r="I49" s="59" t="n">
        <x:v>2376000</x:v>
      </x:c>
      <x:c r="J49" s="59" t="n">
        <x:v>0</x:v>
      </x:c>
      <x:c r="K49" s="83" t="n">
        <x:v>0</x:v>
      </x:c>
    </x:row>
    <x:row r="50">
      <x:c r="A50" s="71" t="str">
        <x:v>TRÀ ONA LÀI NHƯ Ý - THÙNG</x:v>
      </x:c>
      <x:c r="B50" s="37" t="str">
        <x:v>TRLANYT</x:v>
      </x:c>
      <x:c r="C50" s="37" t="str">
        <x:v>TRLANYT</x:v>
      </x:c>
      <x:c r="D50" s="37" t="str">
        <x:v>TRLANY</x:v>
      </x:c>
      <x:c r="E50" s="37" t="n">
        <x:v>20</x:v>
      </x:c>
      <x:c r="F50" s="37" t="n">
        <x:v>11000</x:v>
      </x:c>
      <x:c r="G50" s="37" t="str">
        <x:v>g</x:v>
      </x:c>
      <x:c r="H50" s="37" t="str">
        <x:v>THÙNG</x:v>
      </x:c>
      <x:c r="I50" s="59" t="n">
        <x:v>1394000</x:v>
      </x:c>
      <x:c r="J50" s="59" t="n">
        <x:v>0</x:v>
      </x:c>
      <x:c r="K50" s="83" t="n">
        <x:v>0</x:v>
      </x:c>
    </x:row>
    <x:row r="51">
      <x:c r="A51" s="71" t="str">
        <x:v>TRÀ ONA LÀI CÔ GÁI - THÙNG</x:v>
      </x:c>
      <x:c r="B51" s="37" t="str">
        <x:v>TRLACGT</x:v>
      </x:c>
      <x:c r="C51" s="37" t="str">
        <x:v>TRLACGT</x:v>
      </x:c>
      <x:c r="D51" s="37" t="str">
        <x:v>TRLACG</x:v>
      </x:c>
      <x:c r="E51" s="37" t="n">
        <x:v>20</x:v>
      </x:c>
      <x:c r="F51" s="37" t="n">
        <x:v>11000</x:v>
      </x:c>
      <x:c r="G51" s="37" t="str">
        <x:v>g</x:v>
      </x:c>
      <x:c r="H51" s="37" t="str">
        <x:v>THÙNG</x:v>
      </x:c>
      <x:c r="I51" s="59" t="n">
        <x:v>1476000</x:v>
      </x:c>
      <x:c r="J51" s="59" t="n">
        <x:v>0</x:v>
      </x:c>
      <x:c r="K51" s="83" t="n">
        <x:v>0</x:v>
      </x:c>
    </x:row>
    <x:row r="52">
      <x:c r="A52" s="71" t="str">
        <x:v>HỒNG TRÀ CÔ GÁI ONA - THÙNG</x:v>
      </x:c>
      <x:c r="B52" s="37" t="str">
        <x:v>HTRCGAT</x:v>
      </x:c>
      <x:c r="C52" s="37" t="str">
        <x:v>HTRCGAT</x:v>
      </x:c>
      <x:c r="D52" s="37" t="str">
        <x:v>HTRCGA</x:v>
      </x:c>
      <x:c r="E52" s="37" t="n">
        <x:v>20</x:v>
      </x:c>
      <x:c r="F52" s="37" t="n">
        <x:v>10000</x:v>
      </x:c>
      <x:c r="G52" s="37" t="str">
        <x:v>g</x:v>
      </x:c>
      <x:c r="H52" s="37" t="str">
        <x:v>THÙNG</x:v>
      </x:c>
      <x:c r="I52" s="59" t="n">
        <x:v>1968000</x:v>
      </x:c>
      <x:c r="J52" s="59" t="n">
        <x:v>0</x:v>
      </x:c>
      <x:c r="K52" s="83" t="n">
        <x:v>0</x:v>
      </x:c>
    </x:row>
    <x:row r="53">
      <x:c r="A53" s="71" t="str">
        <x:v>TRÀ ONA ĐEN CÔ GÁI - THÙNG</x:v>
      </x:c>
      <x:c r="B53" s="37" t="str">
        <x:v>TRDECGT</x:v>
      </x:c>
      <x:c r="C53" s="37" t="str">
        <x:v>TRDECGT</x:v>
      </x:c>
      <x:c r="D53" s="37" t="str">
        <x:v>TRDECG</x:v>
      </x:c>
      <x:c r="E53" s="37" t="n">
        <x:v>20</x:v>
      </x:c>
      <x:c r="F53" s="37" t="n">
        <x:v>11000</x:v>
      </x:c>
      <x:c r="G53" s="37" t="str">
        <x:v>g</x:v>
      </x:c>
      <x:c r="H53" s="37" t="str">
        <x:v>THÙNG</x:v>
      </x:c>
      <x:c r="I53" s="59" t="n">
        <x:v>1476000</x:v>
      </x:c>
      <x:c r="J53" s="59" t="n">
        <x:v>0</x:v>
      </x:c>
      <x:c r="K53" s="83" t="n">
        <x:v>0</x:v>
      </x:c>
    </x:row>
    <x:row r="54">
      <x:c r="A54" s="71" t="str">
        <x:v>MÌ ACECOOK DELI - THÙNG</x:v>
      </x:c>
      <x:c r="B54" s="37" t="str">
        <x:v>MIAC80T</x:v>
      </x:c>
      <x:c r="C54" s="37" t="str">
        <x:v>MIAC80T</x:v>
      </x:c>
      <x:c r="D54" s="37" t="str">
        <x:v>MIAC80</x:v>
      </x:c>
      <x:c r="E54" s="37" t="n">
        <x:v>80</x:v>
      </x:c>
      <x:c r="F54" s="37" t="n">
        <x:v>8800</x:v>
      </x:c>
      <x:c r="G54" s="37" t="str">
        <x:v>g</x:v>
      </x:c>
      <x:c r="H54" s="37" t="str">
        <x:v>THÙNG</x:v>
      </x:c>
      <x:c r="I54" s="59" t="n">
        <x:v>395000</x:v>
      </x:c>
      <x:c r="J54" s="59" t="n">
        <x:v>420000</x:v>
      </x:c>
      <x:c r="K54" s="83" t="n">
        <x:v>420000</x:v>
      </x:c>
    </x:row>
    <x:row r="55">
      <x:c r="A55" s="71" t="str">
        <x:v>SỮA FRIMA TÚI 1KG - THÙNG</x:v>
      </x:c>
      <x:c r="B55" s="37" t="str">
        <x:v>FRIM1KT</x:v>
      </x:c>
      <x:c r="C55" s="37" t="str">
        <x:v>FRIM1KT</x:v>
      </x:c>
      <x:c r="D55" s="37" t="str">
        <x:v>FRIM1K</x:v>
      </x:c>
      <x:c r="E55" s="37" t="n">
        <x:v>12</x:v>
      </x:c>
      <x:c r="F55" s="37" t="n">
        <x:v>13</x:v>
      </x:c>
      <x:c r="G55" s="37" t="str">
        <x:v>kg</x:v>
      </x:c>
      <x:c r="H55" s="37" t="str">
        <x:v>THÙNG</x:v>
      </x:c>
      <x:c r="I55" s="59" t="n">
        <x:v>0</x:v>
      </x:c>
      <x:c r="J55" s="59" t="n">
        <x:v>1100000</x:v>
      </x:c>
      <x:c r="K55" s="83" t="n">
        <x:v>0</x:v>
      </x:c>
    </x:row>
    <x:row r="56">
      <x:c r="A56" s="71" t="str">
        <x:v>NẮP 120 PET - THÙNG</x:v>
      </x:c>
      <x:c r="B56" s="37" t="str">
        <x:v>NPE120T</x:v>
      </x:c>
      <x:c r="C56" s="37" t="str">
        <x:v>NPE120T</x:v>
      </x:c>
      <x:c r="D56" s="37" t="str">
        <x:v>NPE120</x:v>
      </x:c>
      <x:c r="E56" s="37" t="n">
        <x:v>20</x:v>
      </x:c>
      <x:c r="F56" s="37" t="n">
        <x:v>0</x:v>
      </x:c>
      <x:c r="G56" s="37" t="str">
        <x:v>g</x:v>
      </x:c>
      <x:c r="H56" s="37" t="str">
        <x:v>THÙNG</x:v>
      </x:c>
      <x:c r="I56" s="59" t="n">
        <x:v>0</x:v>
      </x:c>
      <x:c r="J56" s="59" t="n">
        <x:v>0</x:v>
      </x:c>
      <x:c r="K56" s="83" t="n">
        <x:v>0</x:v>
      </x:c>
    </x:row>
    <x:row r="57">
      <x:c r="A57" s="71" t="str">
        <x:v>SIRO HESTIA MĂNG CỤT - THÙNG</x:v>
      </x:c>
      <x:c r="B57" s="37" t="str">
        <x:v>SRHTMTT</x:v>
      </x:c>
      <x:c r="C57" s="37" t="str">
        <x:v>SRHTMTT</x:v>
      </x:c>
      <x:c r="D57" s="37" t="str">
        <x:v>SRHTMT</x:v>
      </x:c>
      <x:c r="E57" s="37" t="n">
        <x:v>12</x:v>
      </x:c>
      <x:c r="F57" s="37" t="n">
        <x:v>0</x:v>
      </x:c>
      <x:c r="G57" s="37" t="str">
        <x:v>g</x:v>
      </x:c>
      <x:c r="H57" s="37" t="str">
        <x:v>THÙNG</x:v>
      </x:c>
      <x:c r="I57" s="59" t="n">
        <x:v>0</x:v>
      </x:c>
      <x:c r="J57" s="59" t="n">
        <x:v>0</x:v>
      </x:c>
      <x:c r="K57" s="83" t="n">
        <x:v>0</x:v>
      </x:c>
    </x:row>
    <x:row r="58">
      <x:c r="A58" s="71" t="str">
        <x:v>MỨT GOLD QUÝT MẬT ONG - THÙNG</x:v>
      </x:c>
      <x:c r="B58" s="37" t="str">
        <x:v>STGQMOT</x:v>
      </x:c>
      <x:c r="C58" s="37" t="str">
        <x:v>STGQMOT</x:v>
      </x:c>
      <x:c r="D58" s="37" t="str">
        <x:v>STGQMO</x:v>
      </x:c>
      <x:c r="E58" s="37" t="n">
        <x:v>12</x:v>
      </x:c>
      <x:c r="F58" s="37" t="n">
        <x:v>0</x:v>
      </x:c>
      <x:c r="G58" s="37" t="str">
        <x:v>g</x:v>
      </x:c>
      <x:c r="H58" s="37" t="str">
        <x:v>THÙNG</x:v>
      </x:c>
      <x:c r="I58" s="59" t="n">
        <x:v>0</x:v>
      </x:c>
      <x:c r="J58" s="59" t="n">
        <x:v>0</x:v>
      </x:c>
      <x:c r="K58" s="83" t="n">
        <x:v>0</x:v>
      </x:c>
    </x:row>
    <x:row r="59">
      <x:c r="A59" s="71" t="str">
        <x:v>ĐƯỜNG TRẮNG MONITA - THÙNG</x:v>
      </x:c>
      <x:c r="B59" s="37" t="str">
        <x:v>DTSEULT</x:v>
      </x:c>
      <x:c r="C59" s="37" t="str">
        <x:v>DTSEULT</x:v>
      </x:c>
      <x:c r="D59" s="37" t="str">
        <x:v>DTSEUL</x:v>
      </x:c>
      <x:c r="E59" s="37" t="n">
        <x:v>16</x:v>
      </x:c>
      <x:c r="F59" s="37" t="n">
        <x:v>17</x:v>
      </x:c>
      <x:c r="G59" s="37" t="str">
        <x:v>kg</x:v>
      </x:c>
      <x:c r="H59" s="37" t="str">
        <x:v>THÙNG</x:v>
      </x:c>
      <x:c r="I59" s="59" t="n">
        <x:v>0</x:v>
      </x:c>
      <x:c r="J59" s="59" t="n">
        <x:v>0</x:v>
      </x:c>
      <x:c r="K59" s="83" t="n">
        <x:v>0</x:v>
      </x:c>
    </x:row>
    <x:row r="60">
      <x:c r="A60" s="71" t="str">
        <x:v>BODU MẬT ONG ĐÀO - THÙNG</x:v>
      </x:c>
      <x:c r="B60" s="37" t="str">
        <x:v>BODUMDT</x:v>
      </x:c>
      <x:c r="C60" s="37" t="str">
        <x:v>BODUMDT</x:v>
      </x:c>
      <x:c r="D60" s="37" t="str">
        <x:v>BODUMD</x:v>
      </x:c>
      <x:c r="E60" s="37" t="n">
        <x:v>12</x:v>
      </x:c>
      <x:c r="F60" s="37" t="n">
        <x:v>17500</x:v>
      </x:c>
      <x:c r="G60" s="37" t="str">
        <x:v>g</x:v>
      </x:c>
      <x:c r="H60" s="37" t="str">
        <x:v>THÙNG</x:v>
      </x:c>
      <x:c r="I60" s="59" t="n">
        <x:v>0</x:v>
      </x:c>
      <x:c r="J60" s="59" t="n">
        <x:v>0</x:v>
      </x:c>
      <x:c r="K60" s="83" t="n">
        <x:v>0</x:v>
      </x:c>
    </x:row>
    <x:row r="61">
      <x:c r="A61" s="71" t="str">
        <x:v>SIRO VINA MĂNG CỤT - THÙNG</x:v>
      </x:c>
      <x:c r="B61" s="37" t="str">
        <x:v>SRVNMTT</x:v>
      </x:c>
      <x:c r="C61" s="37" t="str">
        <x:v>SRVNMTT</x:v>
      </x:c>
      <x:c r="D61" s="37" t="str">
        <x:v>SRVNMT</x:v>
      </x:c>
      <x:c r="E61" s="37" t="n">
        <x:v>12</x:v>
      </x:c>
      <x:c r="F61" s="37" t="n">
        <x:v>0</x:v>
      </x:c>
      <x:c r="G61" s="37" t="str">
        <x:v>g</x:v>
      </x:c>
      <x:c r="H61" s="37" t="str">
        <x:v>THÙNG</x:v>
      </x:c>
      <x:c r="I61" s="59" t="n">
        <x:v>0</x:v>
      </x:c>
      <x:c r="J61" s="59" t="n">
        <x:v>0</x:v>
      </x:c>
      <x:c r="K61" s="83" t="n">
        <x:v>0</x:v>
      </x:c>
    </x:row>
    <x:row r="62">
      <x:c r="A62" s="71" t="str">
        <x:v>GTP ĐƯỜNG ĐEN - THÙNG</x:v>
      </x:c>
      <x:c r="B62" s="37" t="str">
        <x:v>GTPDDET</x:v>
      </x:c>
      <x:c r="C62" s="37" t="str">
        <x:v>GTPDDET</x:v>
      </x:c>
      <x:c r="D62" s="37" t="str">
        <x:v>GTPDDE</x:v>
      </x:c>
      <x:c r="E62" s="37" t="n">
        <x:v>6</x:v>
      </x:c>
      <x:c r="F62" s="37" t="n">
        <x:v>0</x:v>
      </x:c>
      <x:c r="G62" s="37" t="str">
        <x:v>g</x:v>
      </x:c>
      <x:c r="H62" s="37" t="str">
        <x:v>THÙNG</x:v>
      </x:c>
      <x:c r="I62" s="59" t="n">
        <x:v>0</x:v>
      </x:c>
      <x:c r="J62" s="59" t="n">
        <x:v>0</x:v>
      </x:c>
      <x:c r="K62" s="83" t="n">
        <x:v>0</x:v>
      </x:c>
    </x:row>
    <x:row r="63">
      <x:c r="A63" s="71" t="str">
        <x:v>HỒNG TRÀ GTP 1KG - BAO</x:v>
      </x:c>
      <x:c r="B63" s="37" t="str">
        <x:v>HTGTP1T</x:v>
      </x:c>
      <x:c r="C63" s="37" t="str">
        <x:v>HTGTP1T</x:v>
      </x:c>
      <x:c r="D63" s="37" t="str">
        <x:v>HTGTP1</x:v>
      </x:c>
      <x:c r="E63" s="37" t="n">
        <x:v>8</x:v>
      </x:c>
      <x:c r="F63" s="37" t="n">
        <x:v>8000</x:v>
      </x:c>
      <x:c r="G63" s="37" t="str">
        <x:v>g</x:v>
      </x:c>
      <x:c r="H63" s="37" t="str">
        <x:v>BAO</x:v>
      </x:c>
      <x:c r="I63" s="59" t="n">
        <x:v>0</x:v>
      </x:c>
      <x:c r="J63" s="59" t="n">
        <x:v>0</x:v>
      </x:c>
      <x:c r="K63" s="83" t="n">
        <x:v>0</x:v>
      </x:c>
    </x:row>
    <x:row r="64">
      <x:c r="A64" s="71" t="str">
        <x:v>GTP NHO - THÙNG</x:v>
      </x:c>
      <x:c r="B64" s="37" t="str">
        <x:v>GTPNHOT</x:v>
      </x:c>
      <x:c r="C64" s="37" t="str">
        <x:v>GTPNHOT</x:v>
      </x:c>
      <x:c r="D64" s="37" t="str">
        <x:v>GTPNHO</x:v>
      </x:c>
      <x:c r="E64" s="37" t="n">
        <x:v>6</x:v>
      </x:c>
      <x:c r="F64" s="37" t="n">
        <x:v>1</x:v>
      </x:c>
      <x:c r="G64" s="37" t="str">
        <x:v>kg</x:v>
      </x:c>
      <x:c r="H64" s="37" t="str">
        <x:v>THÙNG</x:v>
      </x:c>
      <x:c r="I64" s="59" t="n">
        <x:v>0</x:v>
      </x:c>
      <x:c r="J64" s="59" t="n">
        <x:v>0</x:v>
      </x:c>
      <x:c r="K64" s="83" t="n">
        <x:v>0</x:v>
      </x:c>
    </x:row>
    <x:row r="65">
      <x:c r="A65" s="71" t="str">
        <x:v>SIRO MAULIN CHANH DÂY - THÙNG</x:v>
      </x:c>
      <x:c r="B65" s="37" t="str">
        <x:v>SRMLCDT</x:v>
      </x:c>
      <x:c r="C65" s="37" t="str">
        <x:v>SRMLCDT</x:v>
      </x:c>
      <x:c r="D65" s="37" t="str">
        <x:v>SRMLCD</x:v>
      </x:c>
      <x:c r="E65" s="37" t="n">
        <x:v>6</x:v>
      </x:c>
      <x:c r="F65" s="37" t="n">
        <x:v>16</x:v>
      </x:c>
      <x:c r="G65" s="37" t="str">
        <x:v>kg</x:v>
      </x:c>
      <x:c r="H65" s="37" t="str">
        <x:v>THÙNG</x:v>
      </x:c>
      <x:c r="I65" s="59" t="n">
        <x:v>0</x:v>
      </x:c>
      <x:c r="J65" s="59" t="n">
        <x:v>0</x:v>
      </x:c>
      <x:c r="K65" s="83" t="n">
        <x:v>0</x:v>
      </x:c>
    </x:row>
    <x:row r="66">
      <x:c r="A66" s="71" t="str">
        <x:v>SỐT DOUXIAN CARAMEN - THÙNG</x:v>
      </x:c>
      <x:c r="B66" s="37" t="str">
        <x:v>SCARDXT</x:v>
      </x:c>
      <x:c r="C66" s="37" t="str">
        <x:v>SCARDXT</x:v>
      </x:c>
      <x:c r="D66" s="37" t="str">
        <x:v>SCARDX</x:v>
      </x:c>
      <x:c r="E66" s="37" t="n">
        <x:v>12</x:v>
      </x:c>
      <x:c r="F66" s="37" t="n">
        <x:v>13000</x:v>
      </x:c>
      <x:c r="G66" s="37" t="str">
        <x:v>g</x:v>
      </x:c>
      <x:c r="H66" s="37" t="str">
        <x:v>THÙNG</x:v>
      </x:c>
      <x:c r="I66" s="59" t="n">
        <x:v>0</x:v>
      </x:c>
      <x:c r="J66" s="59" t="n">
        <x:v>0</x:v>
      </x:c>
      <x:c r="K66" s="83" t="n">
        <x:v>0</x:v>
      </x:c>
    </x:row>
    <x:row r="67">
      <x:c r="A67" s="71" t="str">
        <x:v>ICEHOT CÔ ĐẶC - THÙNG</x:v>
      </x:c>
      <x:c r="B67" s="37" t="str">
        <x:v>ICEHCDT</x:v>
      </x:c>
      <x:c r="C67" s="37" t="str">
        <x:v>ICEHCDT</x:v>
      </x:c>
      <x:c r="D67" s="37" t="str">
        <x:v>ICEHCD</x:v>
      </x:c>
      <x:c r="E67" s="37" t="n">
        <x:v>12</x:v>
      </x:c>
      <x:c r="F67" s="37" t="n">
        <x:v>13</x:v>
      </x:c>
      <x:c r="G67" s="37" t="str">
        <x:v>kg</x:v>
      </x:c>
      <x:c r="H67" s="37" t="str">
        <x:v>THÙNG</x:v>
      </x:c>
      <x:c r="I67" s="59" t="n">
        <x:v>0</x:v>
      </x:c>
      <x:c r="J67" s="59" t="n">
        <x:v>0</x:v>
      </x:c>
      <x:c r="K67" s="83" t="n">
        <x:v>0</x:v>
      </x:c>
    </x:row>
    <x:row r="68">
      <x:c r="A68" s="71" t="str">
        <x:v>SIRO VINA TRÀ XANH - THÙNG</x:v>
      </x:c>
      <x:c r="B68" s="37" t="str">
        <x:v>SRVNTXT</x:v>
      </x:c>
      <x:c r="C68" s="37" t="str">
        <x:v>SRVNTXT</x:v>
      </x:c>
      <x:c r="D68" s="37" t="str">
        <x:v>SRVNTX</x:v>
      </x:c>
      <x:c r="E68" s="37" t="n">
        <x:v>12</x:v>
      </x:c>
      <x:c r="F68" s="37" t="n">
        <x:v>13000</x:v>
      </x:c>
      <x:c r="G68" s="37" t="str">
        <x:v>g</x:v>
      </x:c>
      <x:c r="H68" s="37" t="str">
        <x:v>THÙNG</x:v>
      </x:c>
      <x:c r="I68" s="59" t="n">
        <x:v>0</x:v>
      </x:c>
      <x:c r="J68" s="59" t="n">
        <x:v>0</x:v>
      </x:c>
      <x:c r="K68" s="83" t="n">
        <x:v>0</x:v>
      </x:c>
    </x:row>
    <x:row r="69">
      <x:c r="A69" s="71" t="str">
        <x:v>SIRO VINA TÁO - THÙNG</x:v>
      </x:c>
      <x:c r="B69" s="37" t="str">
        <x:v>SRVNTAT</x:v>
      </x:c>
      <x:c r="C69" s="37" t="str">
        <x:v>SRVNTAT</x:v>
      </x:c>
      <x:c r="D69" s="37" t="str">
        <x:v>SRVNTA</x:v>
      </x:c>
      <x:c r="E69" s="37" t="n">
        <x:v>12</x:v>
      </x:c>
      <x:c r="F69" s="37" t="n">
        <x:v>13000</x:v>
      </x:c>
      <x:c r="G69" s="37" t="str">
        <x:v>g</x:v>
      </x:c>
      <x:c r="H69" s="37" t="str">
        <x:v>THÙNG</x:v>
      </x:c>
      <x:c r="I69" s="59" t="n">
        <x:v>0</x:v>
      </x:c>
      <x:c r="J69" s="59" t="n">
        <x:v>0</x:v>
      </x:c>
      <x:c r="K69" s="83" t="n">
        <x:v>0</x:v>
      </x:c>
    </x:row>
    <x:row r="70">
      <x:c r="A70" s="71" t="str">
        <x:v>SIRO VINA MÔN - THÙNG</x:v>
      </x:c>
      <x:c r="B70" s="37" t="str">
        <x:v>SRVNMNT</x:v>
      </x:c>
      <x:c r="C70" s="37" t="str">
        <x:v>SRVNMNT</x:v>
      </x:c>
      <x:c r="D70" s="37" t="str">
        <x:v>SRVNMN</x:v>
      </x:c>
      <x:c r="E70" s="37" t="n">
        <x:v>12</x:v>
      </x:c>
      <x:c r="F70" s="37" t="n">
        <x:v>13000</x:v>
      </x:c>
      <x:c r="G70" s="37" t="str">
        <x:v>g</x:v>
      </x:c>
      <x:c r="H70" s="37" t="str">
        <x:v>THÙNG</x:v>
      </x:c>
      <x:c r="I70" s="59" t="n">
        <x:v>0</x:v>
      </x:c>
      <x:c r="J70" s="59" t="n">
        <x:v>0</x:v>
      </x:c>
      <x:c r="K70" s="83" t="n">
        <x:v>0</x:v>
      </x:c>
    </x:row>
    <x:row r="71">
      <x:c r="A71" s="71" t="str">
        <x:v>SIRO VINA KIWI - THÙNG</x:v>
      </x:c>
      <x:c r="B71" s="37" t="str">
        <x:v>SRVNKWT</x:v>
      </x:c>
      <x:c r="C71" s="37" t="str">
        <x:v>SRVNKWT</x:v>
      </x:c>
      <x:c r="D71" s="37" t="str">
        <x:v>SRVNKW</x:v>
      </x:c>
      <x:c r="E71" s="37" t="n">
        <x:v>12</x:v>
      </x:c>
      <x:c r="F71" s="37" t="n">
        <x:v>13000</x:v>
      </x:c>
      <x:c r="G71" s="37" t="str">
        <x:v>g</x:v>
      </x:c>
      <x:c r="H71" s="37" t="str">
        <x:v>THÙNG</x:v>
      </x:c>
      <x:c r="I71" s="59" t="n">
        <x:v>0</x:v>
      </x:c>
      <x:c r="J71" s="59" t="n">
        <x:v>0</x:v>
      </x:c>
      <x:c r="K71" s="83" t="n">
        <x:v>0</x:v>
      </x:c>
    </x:row>
    <x:row r="72">
      <x:c r="A72" s="71" t="str">
        <x:v>SIRO VINA DƯA LƯỚI - THÙNG</x:v>
      </x:c>
      <x:c r="B72" s="37" t="str">
        <x:v>SRVNDLT</x:v>
      </x:c>
      <x:c r="C72" s="37" t="str">
        <x:v>SRVNDLT</x:v>
      </x:c>
      <x:c r="D72" s="37" t="str">
        <x:v>SRVNDL</x:v>
      </x:c>
      <x:c r="E72" s="37" t="n">
        <x:v>12</x:v>
      </x:c>
      <x:c r="F72" s="37" t="n">
        <x:v>13000</x:v>
      </x:c>
      <x:c r="G72" s="37" t="str">
        <x:v>g</x:v>
      </x:c>
      <x:c r="H72" s="37" t="str">
        <x:v>THÙNG</x:v>
      </x:c>
      <x:c r="I72" s="59" t="n">
        <x:v>0</x:v>
      </x:c>
      <x:c r="J72" s="59" t="n">
        <x:v>0</x:v>
      </x:c>
      <x:c r="K72" s="83" t="n">
        <x:v>0</x:v>
      </x:c>
    </x:row>
    <x:row r="73">
      <x:c r="A73" s="71" t="str">
        <x:v>SIRO VINA CHANH DÂY - THÙNG</x:v>
      </x:c>
      <x:c r="B73" s="37" t="str">
        <x:v>SRVNCDT</x:v>
      </x:c>
      <x:c r="C73" s="37" t="str">
        <x:v>SRVNCDT</x:v>
      </x:c>
      <x:c r="D73" s="37" t="str">
        <x:v>SRVNCD</x:v>
      </x:c>
      <x:c r="E73" s="37" t="n">
        <x:v>12</x:v>
      </x:c>
      <x:c r="F73" s="37" t="n">
        <x:v>13000</x:v>
      </x:c>
      <x:c r="G73" s="37" t="str">
        <x:v>g</x:v>
      </x:c>
      <x:c r="H73" s="37" t="str">
        <x:v>THÙNG</x:v>
      </x:c>
      <x:c r="I73" s="59" t="n">
        <x:v>0</x:v>
      </x:c>
      <x:c r="J73" s="59" t="n">
        <x:v>0</x:v>
      </x:c>
      <x:c r="K73" s="83" t="n">
        <x:v>0</x:v>
      </x:c>
    </x:row>
    <x:row r="74">
      <x:c r="A74" s="71" t="str">
        <x:v>SIRO VINA BLUE - THÙNG</x:v>
      </x:c>
      <x:c r="B74" s="37" t="str">
        <x:v>SRVNBLT</x:v>
      </x:c>
      <x:c r="C74" s="37" t="str">
        <x:v>SRVNBLT</x:v>
      </x:c>
      <x:c r="D74" s="37" t="str">
        <x:v>SRVNBL</x:v>
      </x:c>
      <x:c r="E74" s="37" t="n">
        <x:v>12</x:v>
      </x:c>
      <x:c r="F74" s="37" t="n">
        <x:v>13000</x:v>
      </x:c>
      <x:c r="G74" s="37" t="str">
        <x:v>g</x:v>
      </x:c>
      <x:c r="H74" s="37" t="str">
        <x:v>THÙNG</x:v>
      </x:c>
      <x:c r="I74" s="59" t="n">
        <x:v>0</x:v>
      </x:c>
      <x:c r="J74" s="59" t="n">
        <x:v>0</x:v>
      </x:c>
      <x:c r="K74" s="83" t="n">
        <x:v>0</x:v>
      </x:c>
    </x:row>
    <x:row r="75">
      <x:c r="A75" s="71" t="str">
        <x:v>VẢI HOÀNG GIA - THÙNG</x:v>
      </x:c>
      <x:c r="B75" s="37" t="str">
        <x:v>VAIHGIT</x:v>
      </x:c>
      <x:c r="C75" s="37" t="str">
        <x:v>VAIHGIT</x:v>
      </x:c>
      <x:c r="D75" s="37" t="str">
        <x:v>VAIHGI</x:v>
      </x:c>
      <x:c r="E75" s="37" t="n">
        <x:v>12</x:v>
      </x:c>
      <x:c r="F75" s="37" t="n">
        <x:v>8000</x:v>
      </x:c>
      <x:c r="G75" s="37" t="str">
        <x:v>g</x:v>
      </x:c>
      <x:c r="H75" s="37" t="str">
        <x:v>THÙNG</x:v>
      </x:c>
      <x:c r="I75" s="59" t="n">
        <x:v>0</x:v>
      </x:c>
      <x:c r="J75" s="59" t="n">
        <x:v>340000</x:v>
      </x:c>
      <x:c r="K75" s="83" t="n">
        <x:v>0</x:v>
      </x:c>
    </x:row>
    <x:row r="76">
      <x:c r="A76" s="71" t="str">
        <x:v>GTP VẢI - THÙNG</x:v>
      </x:c>
      <x:c r="B76" s="37" t="str">
        <x:v>GTPVAIT</x:v>
      </x:c>
      <x:c r="C76" s="37" t="str">
        <x:v>GTPVAIT</x:v>
      </x:c>
      <x:c r="D76" s="37" t="str">
        <x:v>GTPVAI</x:v>
      </x:c>
      <x:c r="E76" s="37" t="n">
        <x:v>6</x:v>
      </x:c>
      <x:c r="F76" s="37" t="n">
        <x:v>16000</x:v>
      </x:c>
      <x:c r="G76" s="37" t="str">
        <x:v>g</x:v>
      </x:c>
      <x:c r="H76" s="37" t="str">
        <x:v>THÙNG</x:v>
      </x:c>
      <x:c r="I76" s="59" t="n">
        <x:v>0</x:v>
      </x:c>
      <x:c r="J76" s="59" t="n">
        <x:v>0</x:v>
      </x:c>
      <x:c r="K76" s="83" t="n">
        <x:v>0</x:v>
      </x:c>
    </x:row>
    <x:row r="77">
      <x:c r="A77" s="71" t="str">
        <x:v>TC HOÀNG KIM KUNHAN 3KG - THÙNG</x:v>
      </x:c>
      <x:c r="B77" s="37" t="str">
        <x:v>KH3KHKT</x:v>
      </x:c>
      <x:c r="C77" s="37" t="str">
        <x:v>KH3KHKT</x:v>
      </x:c>
      <x:c r="D77" s="37" t="str">
        <x:v>KH3KHK</x:v>
      </x:c>
      <x:c r="E77" s="37" t="n">
        <x:v>6</x:v>
      </x:c>
      <x:c r="F77" s="37" t="n">
        <x:v>19000</x:v>
      </x:c>
      <x:c r="G77" s="37" t="str">
        <x:v>g</x:v>
      </x:c>
      <x:c r="H77" s="37" t="str">
        <x:v>THÙNG</x:v>
      </x:c>
      <x:c r="I77" s="59" t="n">
        <x:v>0</x:v>
      </x:c>
      <x:c r="J77" s="59" t="n">
        <x:v>465000</x:v>
      </x:c>
      <x:c r="K77" s="83" t="n">
        <x:v>0</x:v>
      </x:c>
    </x:row>
    <x:row r="78">
      <x:c r="A78" s="71" t="str">
        <x:v>GTP TRÀ XANH - THÙNG</x:v>
      </x:c>
      <x:c r="B78" s="37" t="str">
        <x:v>GTPTXAT</x:v>
      </x:c>
      <x:c r="C78" s="37" t="str">
        <x:v>GTPTXAT</x:v>
      </x:c>
      <x:c r="D78" s="37" t="str">
        <x:v>GTPTXA</x:v>
      </x:c>
      <x:c r="E78" s="37" t="n">
        <x:v>6</x:v>
      </x:c>
      <x:c r="F78" s="37" t="n">
        <x:v>16000</x:v>
      </x:c>
      <x:c r="G78" s="37" t="str">
        <x:v>g</x:v>
      </x:c>
      <x:c r="H78" s="37" t="str">
        <x:v>THÙNG</x:v>
      </x:c>
      <x:c r="I78" s="59" t="n">
        <x:v>0</x:v>
      </x:c>
      <x:c r="J78" s="59" t="n">
        <x:v>0</x:v>
      </x:c>
      <x:c r="K78" s="83" t="n">
        <x:v>0</x:v>
      </x:c>
    </x:row>
    <x:row r="79">
      <x:c r="A79" s="71" t="str">
        <x:v>COZY TÚI LỌC VẢI - THÙNG</x:v>
      </x:c>
      <x:c r="B79" s="37" t="str">
        <x:v>COTLVAT</x:v>
      </x:c>
      <x:c r="C79" s="37" t="str">
        <x:v>COTLVAT</x:v>
      </x:c>
      <x:c r="D79" s="37" t="str">
        <x:v>COTLVA</x:v>
      </x:c>
      <x:c r="E79" s="37" t="n">
        <x:v>36</x:v>
      </x:c>
      <x:c r="F79" s="37" t="n">
        <x:v>5000</x:v>
      </x:c>
      <x:c r="G79" s="37" t="str">
        <x:v>g</x:v>
      </x:c>
      <x:c r="H79" s="37" t="str">
        <x:v>THÙNG</x:v>
      </x:c>
      <x:c r="I79" s="59" t="n">
        <x:v>0</x:v>
      </x:c>
      <x:c r="J79" s="59" t="n">
        <x:v>0</x:v>
      </x:c>
      <x:c r="K79" s="83" t="n">
        <x:v>0</x:v>
      </x:c>
    </x:row>
    <x:row r="80">
      <x:c r="A80" s="71" t="str">
        <x:v>TRÀ SỐ 9 DOUXIAN - THÙNG</x:v>
      </x:c>
      <x:c r="B80" s="37" t="str">
        <x:v>TR9DXNT</x:v>
      </x:c>
      <x:c r="C80" s="37" t="str">
        <x:v>TR9DXNT</x:v>
      </x:c>
      <x:c r="D80" s="37" t="str">
        <x:v>TR9DXN</x:v>
      </x:c>
      <x:c r="E80" s="37" t="n">
        <x:v>10</x:v>
      </x:c>
      <x:c r="F80" s="37" t="n">
        <x:v>0</x:v>
      </x:c>
      <x:c r="G80" s="37" t="str">
        <x:v>g</x:v>
      </x:c>
      <x:c r="H80" s="37" t="str">
        <x:v>THÙNG</x:v>
      </x:c>
      <x:c r="I80" s="59" t="n">
        <x:v>0</x:v>
      </x:c>
      <x:c r="J80" s="59" t="n">
        <x:v>0</x:v>
      </x:c>
      <x:c r="K80" s="83" t="n">
        <x:v>0</x:v>
      </x:c>
    </x:row>
    <x:row r="81">
      <x:c r="A81" s="71" t="str">
        <x:v>TRÀ SEN THÁI NGUYÊN - THÙNG</x:v>
      </x:c>
      <x:c r="B81" s="37" t="str">
        <x:v>TRSETNT</x:v>
      </x:c>
      <x:c r="C81" s="37" t="str">
        <x:v>TRSETNT</x:v>
      </x:c>
      <x:c r="D81" s="37" t="str">
        <x:v>TRSETN</x:v>
      </x:c>
      <x:c r="E81" s="37" t="n">
        <x:v>25</x:v>
      </x:c>
      <x:c r="F81" s="37" t="n">
        <x:v>3000</x:v>
      </x:c>
      <x:c r="G81" s="37" t="str">
        <x:v>g</x:v>
      </x:c>
      <x:c r="H81" s="37" t="str">
        <x:v>THÙNG</x:v>
      </x:c>
      <x:c r="I81" s="59" t="n">
        <x:v>0</x:v>
      </x:c>
      <x:c r="J81" s="59" t="n">
        <x:v>0</x:v>
      </x:c>
      <x:c r="K81" s="83" t="n">
        <x:v>0</x:v>
      </x:c>
    </x:row>
    <x:row r="82">
      <x:c r="A82" s="71" t="str">
        <x:v>TRÀ SEN PHÚC LONG LỌC - THÙNG</x:v>
      </x:c>
      <x:c r="B82" s="37" t="str">
        <x:v>TRSPLLT</x:v>
      </x:c>
      <x:c r="C82" s="37" t="str">
        <x:v>TRSPLLT</x:v>
      </x:c>
      <x:c r="D82" s="37" t="str">
        <x:v>TRSPLL</x:v>
      </x:c>
      <x:c r="E82" s="37" t="n">
        <x:v>20</x:v>
      </x:c>
      <x:c r="F82" s="37" t="n">
        <x:v>2000</x:v>
      </x:c>
      <x:c r="G82" s="37" t="str">
        <x:v>g</x:v>
      </x:c>
      <x:c r="H82" s="37" t="str">
        <x:v>THÙNG</x:v>
      </x:c>
      <x:c r="I82" s="59" t="n">
        <x:v>0</x:v>
      </x:c>
      <x:c r="J82" s="59" t="n">
        <x:v>0</x:v>
      </x:c>
      <x:c r="K82" s="83" t="n">
        <x:v>0</x:v>
      </x:c>
    </x:row>
    <x:row r="83">
      <x:c r="A83" s="71" t="str">
        <x:v>TRÀ OLONG LỘC PHÁT - THÙNG</x:v>
      </x:c>
      <x:c r="B83" s="37" t="str">
        <x:v>TROLLPT</x:v>
      </x:c>
      <x:c r="C83" s="37" t="str">
        <x:v>TROLLPT</x:v>
      </x:c>
      <x:c r="D83" s="37" t="str">
        <x:v>TROLLP</x:v>
      </x:c>
      <x:c r="E83" s="37" t="n">
        <x:v>12</x:v>
      </x:c>
      <x:c r="F83" s="37" t="n">
        <x:v>13000</x:v>
      </x:c>
      <x:c r="G83" s="37" t="str">
        <x:v>g</x:v>
      </x:c>
      <x:c r="H83" s="37" t="str">
        <x:v>THÙNG</x:v>
      </x:c>
      <x:c r="I83" s="59" t="n">
        <x:v>0</x:v>
      </x:c>
      <x:c r="J83" s="59" t="n">
        <x:v>0</x:v>
      </x:c>
      <x:c r="K83" s="83" t="n">
        <x:v>0</x:v>
      </x:c>
    </x:row>
    <x:row r="84">
      <x:c r="A84" s="71" t="str">
        <x:v>TRÀ OLONG KING - THÙNG</x:v>
      </x:c>
      <x:c r="B84" s="37" t="str">
        <x:v>TROLKGT</x:v>
      </x:c>
      <x:c r="C84" s="37" t="str">
        <x:v>TROLKGT</x:v>
      </x:c>
      <x:c r="D84" s="37" t="str">
        <x:v>TROLKG</x:v>
      </x:c>
      <x:c r="E84" s="37" t="n">
        <x:v>30</x:v>
      </x:c>
      <x:c r="F84" s="37" t="n">
        <x:v>30</x:v>
      </x:c>
      <x:c r="G84" s="37" t="str">
        <x:v>kg</x:v>
      </x:c>
      <x:c r="H84" s="37" t="str">
        <x:v>BAO</x:v>
      </x:c>
      <x:c r="I84" s="59" t="n">
        <x:v>0</x:v>
      </x:c>
      <x:c r="J84" s="59" t="n">
        <x:v>0</x:v>
      </x:c>
      <x:c r="K84" s="83" t="n">
        <x:v>0</x:v>
      </x:c>
    </x:row>
    <x:row r="85">
      <x:c r="A85" s="71" t="str">
        <x:v>TRÀ LÀI THÁI NGUYÊN - THÙNG</x:v>
      </x:c>
      <x:c r="B85" s="37" t="str">
        <x:v>TRLATNT</x:v>
      </x:c>
      <x:c r="C85" s="37" t="str">
        <x:v>TRLATNT</x:v>
      </x:c>
      <x:c r="D85" s="37" t="str">
        <x:v>TRLATN</x:v>
      </x:c>
      <x:c r="E85" s="37" t="n">
        <x:v>25</x:v>
      </x:c>
      <x:c r="F85" s="37" t="n">
        <x:v>3000</x:v>
      </x:c>
      <x:c r="G85" s="37" t="str">
        <x:v>g</x:v>
      </x:c>
      <x:c r="H85" s="37" t="str">
        <x:v>THÙNG</x:v>
      </x:c>
      <x:c r="I85" s="59" t="n">
        <x:v>0</x:v>
      </x:c>
      <x:c r="J85" s="59" t="n">
        <x:v>0</x:v>
      </x:c>
      <x:c r="K85" s="83" t="n">
        <x:v>0</x:v>
      </x:c>
    </x:row>
    <x:row r="86">
      <x:c r="A86" s="71" t="str">
        <x:v>TRÀ LÀI TÂN NAM BẮC - THÙNG</x:v>
      </x:c>
      <x:c r="B86" s="37" t="str">
        <x:v>TRLTNBT</x:v>
      </x:c>
      <x:c r="C86" s="37" t="str">
        <x:v>TRLTNBT</x:v>
      </x:c>
      <x:c r="D86" s="37" t="str">
        <x:v>TRLTNB</x:v>
      </x:c>
      <x:c r="E86" s="37" t="n">
        <x:v>50</x:v>
      </x:c>
      <x:c r="F86" s="37" t="n">
        <x:v>20000</x:v>
      </x:c>
      <x:c r="G86" s="37" t="str">
        <x:v>g</x:v>
      </x:c>
      <x:c r="H86" s="37" t="str">
        <x:v>THÙNG</x:v>
      </x:c>
      <x:c r="I86" s="59" t="n">
        <x:v>1400000</x:v>
      </x:c>
      <x:c r="J86" s="59" t="n">
        <x:v>0</x:v>
      </x:c>
      <x:c r="K86" s="83" t="n">
        <x:v>0</x:v>
      </x:c>
    </x:row>
    <x:row r="87">
      <x:c r="A87" s="71" t="str">
        <x:v>TRÀ LÀI PHÚC LONG LỌC - THÙNG</x:v>
      </x:c>
      <x:c r="B87" s="37" t="str">
        <x:v>TRLPLLT</x:v>
      </x:c>
      <x:c r="C87" s="37" t="str">
        <x:v>TRLPLLT</x:v>
      </x:c>
      <x:c r="D87" s="37" t="str">
        <x:v>TRLPLL</x:v>
      </x:c>
      <x:c r="E87" s="37" t="n">
        <x:v>20</x:v>
      </x:c>
      <x:c r="F87" s="37" t="n">
        <x:v>2000</x:v>
      </x:c>
      <x:c r="G87" s="37" t="str">
        <x:v>g</x:v>
      </x:c>
      <x:c r="H87" s="37" t="str">
        <x:v>THÙNG</x:v>
      </x:c>
      <x:c r="I87" s="59" t="n">
        <x:v>0</x:v>
      </x:c>
      <x:c r="J87" s="59" t="n">
        <x:v>0</x:v>
      </x:c>
      <x:c r="K87" s="83" t="n">
        <x:v>0</x:v>
      </x:c>
    </x:row>
    <x:row r="88">
      <x:c r="A88" s="71" t="str">
        <x:v>TRÀ LÀI NOVIA - THÙNG</x:v>
      </x:c>
      <x:c r="B88" s="37" t="str">
        <x:v>TRLANOT</x:v>
      </x:c>
      <x:c r="C88" s="37" t="str">
        <x:v>TRLANOT</x:v>
      </x:c>
      <x:c r="D88" s="37" t="str">
        <x:v>TRLANO</x:v>
      </x:c>
      <x:c r="E88" s="37" t="n">
        <x:v>20</x:v>
      </x:c>
      <x:c r="F88" s="37" t="n">
        <x:v>11000</x:v>
      </x:c>
      <x:c r="G88" s="37" t="str">
        <x:v>g</x:v>
      </x:c>
      <x:c r="H88" s="37" t="str">
        <x:v>THÙNG</x:v>
      </x:c>
      <x:c r="I88" s="59" t="n">
        <x:v>1564000</x:v>
      </x:c>
      <x:c r="J88" s="59" t="n">
        <x:v>0</x:v>
      </x:c>
      <x:c r="K88" s="83" t="n">
        <x:v>0</x:v>
      </x:c>
    </x:row>
    <x:row r="89">
      <x:c r="A89" s="71" t="str">
        <x:v>TRÀ LÀI LỘC PHÁT - THÙNG</x:v>
      </x:c>
      <x:c r="B89" s="37" t="str">
        <x:v>TRLALPT</x:v>
      </x:c>
      <x:c r="C89" s="37" t="str">
        <x:v>TRLALPT</x:v>
      </x:c>
      <x:c r="D89" s="37" t="str">
        <x:v>TRLALP</x:v>
      </x:c>
      <x:c r="E89" s="37" t="n">
        <x:v>12</x:v>
      </x:c>
      <x:c r="F89" s="37" t="n">
        <x:v>13000</x:v>
      </x:c>
      <x:c r="G89" s="37" t="str">
        <x:v>g</x:v>
      </x:c>
      <x:c r="H89" s="37" t="str">
        <x:v>THÙNG</x:v>
      </x:c>
      <x:c r="I89" s="59" t="n">
        <x:v>0</x:v>
      </x:c>
      <x:c r="J89" s="59" t="n">
        <x:v>0</x:v>
      </x:c>
      <x:c r="K89" s="83" t="n">
        <x:v>0</x:v>
      </x:c>
    </x:row>
    <x:row r="90">
      <x:c r="A90" s="71" t="str">
        <x:v>TRÀ LÀI KING GÓI - THÙNG</x:v>
      </x:c>
      <x:c r="B90" s="37" t="str">
        <x:v>TRLAKGT</x:v>
      </x:c>
      <x:c r="C90" s="37" t="str">
        <x:v>TRLAKGT</x:v>
      </x:c>
      <x:c r="D90" s="37" t="str">
        <x:v>TRLAKG</x:v>
      </x:c>
      <x:c r="E90" s="37" t="n">
        <x:v>30</x:v>
      </x:c>
      <x:c r="F90" s="37" t="n">
        <x:v>0</x:v>
      </x:c>
      <x:c r="G90" s="37" t="str">
        <x:v>g</x:v>
      </x:c>
      <x:c r="H90" s="37" t="str">
        <x:v>THÙNG</x:v>
      </x:c>
      <x:c r="I90" s="59" t="n">
        <x:v>0</x:v>
      </x:c>
      <x:c r="J90" s="59" t="n">
        <x:v>0</x:v>
      </x:c>
      <x:c r="K90" s="83" t="n">
        <x:v>0</x:v>
      </x:c>
    </x:row>
    <x:row r="91">
      <x:c r="A91" s="71" t="str">
        <x:v>TRÀ LÀI HOÀNG GIA - THÙNG</x:v>
      </x:c>
      <x:c r="B91" s="37" t="str">
        <x:v>TRLAHGT</x:v>
      </x:c>
      <x:c r="C91" s="37" t="str">
        <x:v>TRLAHGT</x:v>
      </x:c>
      <x:c r="D91" s="37" t="str">
        <x:v>TRLAHG</x:v>
      </x:c>
      <x:c r="E91" s="37" t="n">
        <x:v>20</x:v>
      </x:c>
      <x:c r="F91" s="37" t="n">
        <x:v>11000</x:v>
      </x:c>
      <x:c r="G91" s="37" t="str">
        <x:v>g</x:v>
      </x:c>
      <x:c r="H91" s="37" t="str">
        <x:v>THÙNG</x:v>
      </x:c>
      <x:c r="I91" s="59" t="n">
        <x:v>1564000</x:v>
      </x:c>
      <x:c r="J91" s="59" t="n">
        <x:v>0</x:v>
      </x:c>
      <x:c r="K91" s="83" t="n">
        <x:v>0</x:v>
      </x:c>
    </x:row>
    <x:row r="92">
      <x:c r="A92" s="71" t="str">
        <x:v>TRÀ HOA TRÂN NHÁM - THÙNG</x:v>
      </x:c>
      <x:c r="B92" s="37" t="str">
        <x:v>TRHTNHT</x:v>
      </x:c>
      <x:c r="C92" s="37" t="str">
        <x:v>TRHTNHT</x:v>
      </x:c>
      <x:c r="D92" s="37" t="str">
        <x:v>TRHTNH</x:v>
      </x:c>
      <x:c r="E92" s="37" t="n">
        <x:v>20</x:v>
      </x:c>
      <x:c r="F92" s="37" t="n">
        <x:v>11000</x:v>
      </x:c>
      <x:c r="G92" s="37" t="str">
        <x:v>g</x:v>
      </x:c>
      <x:c r="H92" s="37" t="str">
        <x:v>THÙNG</x:v>
      </x:c>
      <x:c r="I92" s="59" t="n">
        <x:v>0</x:v>
      </x:c>
      <x:c r="J92" s="59" t="n">
        <x:v>0</x:v>
      </x:c>
      <x:c r="K92" s="83" t="n">
        <x:v>0</x:v>
      </x:c>
    </x:row>
    <x:row r="93">
      <x:c r="A93" s="71" t="str">
        <x:v>TRÀ GẠO NOVIA - THÙNG</x:v>
      </x:c>
      <x:c r="B93" s="37" t="str">
        <x:v>TRGANOT</x:v>
      </x:c>
      <x:c r="C93" s="37" t="str">
        <x:v>TRGANOT</x:v>
      </x:c>
      <x:c r="D93" s="37" t="str">
        <x:v>TRGANO</x:v>
      </x:c>
      <x:c r="E93" s="37" t="n">
        <x:v>20</x:v>
      </x:c>
      <x:c r="F93" s="37" t="n">
        <x:v>11000</x:v>
      </x:c>
      <x:c r="G93" s="37" t="str">
        <x:v>g</x:v>
      </x:c>
      <x:c r="H93" s="37" t="str">
        <x:v>THÙNG</x:v>
      </x:c>
      <x:c r="I93" s="59" t="n">
        <x:v>2391600</x:v>
      </x:c>
      <x:c r="J93" s="59" t="n">
        <x:v>0</x:v>
      </x:c>
      <x:c r="K93" s="83" t="n">
        <x:v>0</x:v>
      </x:c>
    </x:row>
    <x:row r="94">
      <x:c r="A94" s="71" t="str">
        <x:v>TRÀ GẠO LỘC PHÁT - THÙNG</x:v>
      </x:c>
      <x:c r="B94" s="37" t="str">
        <x:v>TRGALPT</x:v>
      </x:c>
      <x:c r="C94" s="37" t="str">
        <x:v>TRGALPT</x:v>
      </x:c>
      <x:c r="D94" s="37" t="str">
        <x:v>TRGALP</x:v>
      </x:c>
      <x:c r="E94" s="37" t="n">
        <x:v>24</x:v>
      </x:c>
      <x:c r="F94" s="37" t="n">
        <x:v>13000</x:v>
      </x:c>
      <x:c r="G94" s="37" t="str">
        <x:v>g</x:v>
      </x:c>
      <x:c r="H94" s="37" t="str">
        <x:v>THÙNG</x:v>
      </x:c>
      <x:c r="I94" s="59" t="n">
        <x:v>0</x:v>
      </x:c>
      <x:c r="J94" s="59" t="n">
        <x:v>0</x:v>
      </x:c>
      <x:c r="K94" s="83" t="n">
        <x:v>0</x:v>
      </x:c>
    </x:row>
    <x:row r="95">
      <x:c r="A95" s="71" t="str">
        <x:v>TRÀ ĐEN PHÚC LONG - THÙNG</x:v>
      </x:c>
      <x:c r="B95" s="37" t="str">
        <x:v>TRDEPLT</x:v>
      </x:c>
      <x:c r="C95" s="37" t="str">
        <x:v>TRDEPLT</x:v>
      </x:c>
      <x:c r="D95" s="37" t="str">
        <x:v>TRDEPL</x:v>
      </x:c>
      <x:c r="E95" s="37" t="n">
        <x:v>20</x:v>
      </x:c>
      <x:c r="F95" s="37" t="n">
        <x:v>12</x:v>
      </x:c>
      <x:c r="G95" s="37" t="str">
        <x:v>kg</x:v>
      </x:c>
      <x:c r="H95" s="37" t="str">
        <x:v>THÙNG</x:v>
      </x:c>
      <x:c r="I95" s="59" t="n">
        <x:v>0</x:v>
      </x:c>
      <x:c r="J95" s="59" t="n">
        <x:v>0</x:v>
      </x:c>
      <x:c r="K95" s="83" t="n">
        <x:v>0</x:v>
      </x:c>
    </x:row>
    <x:row r="96">
      <x:c r="A96" s="71" t="str">
        <x:v>TRÀ ĐEN NOVIA - THÙNG</x:v>
      </x:c>
      <x:c r="B96" s="37" t="str">
        <x:v>TRDENNT</x:v>
      </x:c>
      <x:c r="C96" s="37" t="str">
        <x:v>TRDENNT</x:v>
      </x:c>
      <x:c r="D96" s="37" t="str">
        <x:v>TRDENN</x:v>
      </x:c>
      <x:c r="E96" s="37" t="n">
        <x:v>20</x:v>
      </x:c>
      <x:c r="F96" s="37" t="n">
        <x:v>11000</x:v>
      </x:c>
      <x:c r="G96" s="37" t="str">
        <x:v>g</x:v>
      </x:c>
      <x:c r="H96" s="37" t="str">
        <x:v>THÙNG</x:v>
      </x:c>
      <x:c r="I96" s="59" t="n">
        <x:v>1598000</x:v>
      </x:c>
      <x:c r="J96" s="59" t="n">
        <x:v>0</x:v>
      </x:c>
      <x:c r="K96" s="83" t="n">
        <x:v>0</x:v>
      </x:c>
    </x:row>
    <x:row r="97">
      <x:c r="A97" s="71" t="str">
        <x:v>TRÀ ĐEN LỘC PHÁT - THÙNG</x:v>
      </x:c>
      <x:c r="B97" s="37" t="str">
        <x:v>TRDELPT</x:v>
      </x:c>
      <x:c r="C97" s="37" t="str">
        <x:v>TRDELPT</x:v>
      </x:c>
      <x:c r="D97" s="37" t="str">
        <x:v>TRDELP</x:v>
      </x:c>
      <x:c r="E97" s="37" t="n">
        <x:v>12</x:v>
      </x:c>
      <x:c r="F97" s="37" t="n">
        <x:v>13000</x:v>
      </x:c>
      <x:c r="G97" s="37" t="str">
        <x:v>g</x:v>
      </x:c>
      <x:c r="H97" s="37" t="str">
        <x:v>THÙNG</x:v>
      </x:c>
      <x:c r="I97" s="59" t="n">
        <x:v>0</x:v>
      </x:c>
      <x:c r="J97" s="59" t="n">
        <x:v>0</x:v>
      </x:c>
      <x:c r="K97" s="83" t="n">
        <x:v>0</x:v>
      </x:c>
    </x:row>
    <x:row r="98">
      <x:c r="A98" s="71" t="str">
        <x:v>TRÀ ĐEN HOÀNG GIA - THÙNG</x:v>
      </x:c>
      <x:c r="B98" s="37" t="str">
        <x:v>TRDEHGT</x:v>
      </x:c>
      <x:c r="C98" s="37" t="str">
        <x:v>TRDEHGT</x:v>
      </x:c>
      <x:c r="D98" s="37" t="str">
        <x:v>TRDEHG</x:v>
      </x:c>
      <x:c r="E98" s="37" t="n">
        <x:v>20</x:v>
      </x:c>
      <x:c r="F98" s="37" t="n">
        <x:v>11000</x:v>
      </x:c>
      <x:c r="G98" s="37" t="str">
        <x:v>g</x:v>
      </x:c>
      <x:c r="H98" s="37" t="str">
        <x:v>THÙNG</x:v>
      </x:c>
      <x:c r="I98" s="59" t="n">
        <x:v>1071000</x:v>
      </x:c>
      <x:c r="J98" s="59" t="n">
        <x:v>1140000</x:v>
      </x:c>
      <x:c r="K98" s="83" t="n">
        <x:v>0</x:v>
      </x:c>
    </x:row>
    <x:row r="99">
      <x:c r="A99" s="71" t="str">
        <x:v>TRÀ ĐÀO TÂN NAM BẮC - THÙNG</x:v>
      </x:c>
      <x:c r="B99" s="37" t="str">
        <x:v>TRDTNBT</x:v>
      </x:c>
      <x:c r="C99" s="37" t="str">
        <x:v>TRDTNBT</x:v>
      </x:c>
      <x:c r="D99" s="37" t="str">
        <x:v>TRDTNB</x:v>
      </x:c>
      <x:c r="E99" s="37" t="n">
        <x:v>30</x:v>
      </x:c>
      <x:c r="F99" s="37" t="n">
        <x:v>10000</x:v>
      </x:c>
      <x:c r="G99" s="37" t="str">
        <x:v>g</x:v>
      </x:c>
      <x:c r="H99" s="37" t="str">
        <x:v>THÙNG</x:v>
      </x:c>
      <x:c r="I99" s="59" t="n">
        <x:v>1220000</x:v>
      </x:c>
      <x:c r="J99" s="59" t="n">
        <x:v>0</x:v>
      </x:c>
      <x:c r="K99" s="83" t="n">
        <x:v>0</x:v>
      </x:c>
    </x:row>
    <x:row r="100">
      <x:c r="A100" s="71" t="str">
        <x:v>COZY TÚI LỌC HỒNG TRÀ  - THÙNG</x:v>
      </x:c>
      <x:c r="B100" s="37" t="str">
        <x:v>COTLHTT</x:v>
      </x:c>
      <x:c r="C100" s="37" t="str">
        <x:v>COTLHTT</x:v>
      </x:c>
      <x:c r="D100" s="37" t="str">
        <x:v>COTLHT</x:v>
      </x:c>
      <x:c r="E100" s="37" t="n">
        <x:v>36</x:v>
      </x:c>
      <x:c r="F100" s="37" t="n">
        <x:v>5000</x:v>
      </x:c>
      <x:c r="G100" s="37" t="str">
        <x:v>g</x:v>
      </x:c>
      <x:c r="H100" s="37" t="str">
        <x:v>THÙNG</x:v>
      </x:c>
      <x:c r="I100" s="59" t="n">
        <x:v>0</x:v>
      </x:c>
      <x:c r="J100" s="59" t="n">
        <x:v>0</x:v>
      </x:c>
      <x:c r="K100" s="83" t="n">
        <x:v>0</x:v>
      </x:c>
    </x:row>
    <x:row r="101">
      <x:c r="A101" s="71" t="str">
        <x:v>COZY TÚI LỌC ĐÀO - THÙNG</x:v>
      </x:c>
      <x:c r="B101" s="37" t="str">
        <x:v>COTLDOT</x:v>
      </x:c>
      <x:c r="C101" s="37" t="str">
        <x:v>COTLDOT</x:v>
      </x:c>
      <x:c r="D101" s="37" t="str">
        <x:v>COTLDO</x:v>
      </x:c>
      <x:c r="E101" s="37" t="n">
        <x:v>36</x:v>
      </x:c>
      <x:c r="F101" s="37" t="n">
        <x:v>5000</x:v>
      </x:c>
      <x:c r="G101" s="37" t="str">
        <x:v>g</x:v>
      </x:c>
      <x:c r="H101" s="37" t="str">
        <x:v>THÙNG</x:v>
      </x:c>
      <x:c r="I101" s="59" t="n">
        <x:v>0</x:v>
      </x:c>
      <x:c r="J101" s="59" t="n">
        <x:v>0</x:v>
      </x:c>
      <x:c r="K101" s="83" t="n">
        <x:v>0</x:v>
      </x:c>
    </x:row>
    <x:row r="102">
      <x:c r="A102" s="71" t="str">
        <x:v>TRÀ 9 BÓNG - BAO</x:v>
      </x:c>
      <x:c r="B102" s="37" t="str">
        <x:v>TR9BOGT</x:v>
      </x:c>
      <x:c r="C102" s="37" t="str">
        <x:v>TR9BOGT</x:v>
      </x:c>
      <x:c r="D102" s="37" t="str">
        <x:v>TR9BOG</x:v>
      </x:c>
      <x:c r="E102" s="37" t="n">
        <x:v>50</x:v>
      </x:c>
      <x:c r="F102" s="37" t="n">
        <x:v>26000</x:v>
      </x:c>
      <x:c r="G102" s="37" t="str">
        <x:v>g</x:v>
      </x:c>
      <x:c r="H102" s="37" t="str">
        <x:v>BAO</x:v>
      </x:c>
      <x:c r="I102" s="59" t="n">
        <x:v>0</x:v>
      </x:c>
      <x:c r="J102" s="59" t="n">
        <x:v>0</x:v>
      </x:c>
      <x:c r="K102" s="83" t="n">
        <x:v>0</x:v>
      </x:c>
    </x:row>
    <x:row r="103">
      <x:c r="A103" s="71" t="str">
        <x:v>TRÀ OLONG PHÚC LONG LỌC - THÙNG</x:v>
      </x:c>
      <x:c r="B103" s="37" t="str">
        <x:v>TROPLLT</x:v>
      </x:c>
      <x:c r="C103" s="37" t="str">
        <x:v>TROPLLT</x:v>
      </x:c>
      <x:c r="D103" s="37" t="str">
        <x:v>TROPLL</x:v>
      </x:c>
      <x:c r="E103" s="37" t="n">
        <x:v>20</x:v>
      </x:c>
      <x:c r="F103" s="37" t="n">
        <x:v>2000</x:v>
      </x:c>
      <x:c r="G103" s="37" t="str">
        <x:v>g</x:v>
      </x:c>
      <x:c r="H103" s="37" t="str">
        <x:v>THÙNG</x:v>
      </x:c>
      <x:c r="I103" s="59" t="n">
        <x:v>0</x:v>
      </x:c>
      <x:c r="J103" s="59" t="n">
        <x:v>0</x:v>
      </x:c>
      <x:c r="K103" s="83" t="n">
        <x:v>0</x:v>
      </x:c>
    </x:row>
    <x:row r="104">
      <x:c r="A104" s="71" t="str">
        <x:v>THỐT NỐT NHƯ QUỲNH - THÙNG</x:v>
      </x:c>
      <x:c r="B104" s="37" t="str">
        <x:v>TNOTNQT</x:v>
      </x:c>
      <x:c r="C104" s="37" t="str">
        <x:v>TNOTNQT</x:v>
      </x:c>
      <x:c r="D104" s="37" t="str">
        <x:v>TNOTNQ</x:v>
      </x:c>
      <x:c r="E104" s="37" t="n">
        <x:v>10</x:v>
      </x:c>
      <x:c r="F104" s="37" t="n">
        <x:v>10</x:v>
      </x:c>
      <x:c r="G104" s="37" t="str">
        <x:v>kg</x:v>
      </x:c>
      <x:c r="H104" s="37" t="str">
        <x:v>THÙNG</x:v>
      </x:c>
      <x:c r="I104" s="59" t="n">
        <x:v>0</x:v>
      </x:c>
      <x:c r="J104" s="59" t="n">
        <x:v>510000</x:v>
      </x:c>
      <x:c r="K104" s="83" t="n">
        <x:v>0</x:v>
      </x:c>
    </x:row>
    <x:row r="105">
      <x:c r="A105" s="71" t="str">
        <x:v>THÁI XANH CÔNG TY - THÙNG</x:v>
      </x:c>
      <x:c r="B105" s="37" t="str">
        <x:v>TXACTYT</x:v>
      </x:c>
      <x:c r="C105" s="37" t="str">
        <x:v>TXACTYT</x:v>
      </x:c>
      <x:c r="D105" s="37" t="str">
        <x:v>TXACTY</x:v>
      </x:c>
      <x:c r="E105" s="37" t="n">
        <x:v>12</x:v>
      </x:c>
      <x:c r="F105" s="37" t="n">
        <x:v>3</x:v>
      </x:c>
      <x:c r="G105" s="37" t="str">
        <x:v>kg</x:v>
      </x:c>
      <x:c r="H105" s="37" t="str">
        <x:v>THÙNG</x:v>
      </x:c>
      <x:c r="I105" s="59" t="n">
        <x:v>0</x:v>
      </x:c>
      <x:c r="J105" s="59" t="n">
        <x:v>800000</x:v>
      </x:c>
      <x:c r="K105" s="83" t="n">
        <x:v>0</x:v>
      </x:c>
    </x:row>
    <x:row r="106">
      <x:c r="A106" s="71" t="str">
        <x:v>THÁI XANH B-ONE - THÙNG</x:v>
      </x:c>
      <x:c r="B106" s="37" t="str">
        <x:v>TXABONT</x:v>
      </x:c>
      <x:c r="C106" s="37" t="str">
        <x:v>TXABONT</x:v>
      </x:c>
      <x:c r="D106" s="37" t="str">
        <x:v>TXABON</x:v>
      </x:c>
      <x:c r="E106" s="37" t="n">
        <x:v>12</x:v>
      </x:c>
      <x:c r="F106" s="37" t="n">
        <x:v>2000</x:v>
      </x:c>
      <x:c r="G106" s="37" t="str">
        <x:v>g</x:v>
      </x:c>
      <x:c r="H106" s="37" t="str">
        <x:v>THÙNG</x:v>
      </x:c>
      <x:c r="I106" s="59" t="n">
        <x:v>0</x:v>
      </x:c>
      <x:c r="J106" s="59" t="n">
        <x:v>0</x:v>
      </x:c>
      <x:c r="K106" s="83" t="n">
        <x:v>0</x:v>
      </x:c>
    </x:row>
    <x:row r="107">
      <x:c r="A107" s="71" t="str">
        <x:v>THÁI XANH BIÊN - THÙNG</x:v>
      </x:c>
      <x:c r="B107" s="37" t="str">
        <x:v>TXABIET</x:v>
      </x:c>
      <x:c r="C107" s="37" t="str">
        <x:v>TXABIET</x:v>
      </x:c>
      <x:c r="D107" s="37" t="str">
        <x:v>TXABIE</x:v>
      </x:c>
      <x:c r="E107" s="37" t="n">
        <x:v>12</x:v>
      </x:c>
      <x:c r="F107" s="37" t="n">
        <x:v>2000</x:v>
      </x:c>
      <x:c r="G107" s="37" t="str">
        <x:v>g</x:v>
      </x:c>
      <x:c r="H107" s="37" t="str">
        <x:v>THÙNG</x:v>
      </x:c>
      <x:c r="I107" s="59" t="n">
        <x:v>0</x:v>
      </x:c>
      <x:c r="J107" s="59" t="n">
        <x:v>0</x:v>
      </x:c>
      <x:c r="K107" s="83" t="n">
        <x:v>0</x:v>
      </x:c>
    </x:row>
    <x:row r="108">
      <x:c r="A108" s="71" t="str">
        <x:v>THÁI ĐỎ CÔNG TY - THÙNG</x:v>
      </x:c>
      <x:c r="B108" s="37" t="str">
        <x:v>TDOCTYT</x:v>
      </x:c>
      <x:c r="C108" s="37" t="str">
        <x:v>TDOCTYT</x:v>
      </x:c>
      <x:c r="D108" s="37" t="str">
        <x:v>TDOCTY</x:v>
      </x:c>
      <x:c r="E108" s="37" t="n">
        <x:v>12</x:v>
      </x:c>
      <x:c r="F108" s="37" t="n">
        <x:v>3000</x:v>
      </x:c>
      <x:c r="G108" s="37" t="str">
        <x:v>g</x:v>
      </x:c>
      <x:c r="H108" s="37" t="str">
        <x:v>THÙNG</x:v>
      </x:c>
      <x:c r="I108" s="59" t="n">
        <x:v>0</x:v>
      </x:c>
      <x:c r="J108" s="59" t="n">
        <x:v>800000</x:v>
      </x:c>
      <x:c r="K108" s="83" t="n">
        <x:v>0</x:v>
      </x:c>
    </x:row>
    <x:row r="109">
      <x:c r="A109" s="71" t="str">
        <x:v>THÁI ĐỎ BIÊN - THÙNG</x:v>
      </x:c>
      <x:c r="B109" s="37" t="str">
        <x:v>TDOBIET</x:v>
      </x:c>
      <x:c r="C109" s="37" t="str">
        <x:v>TDOBIET</x:v>
      </x:c>
      <x:c r="D109" s="37" t="str">
        <x:v>TDOBIE</x:v>
      </x:c>
      <x:c r="E109" s="37" t="n">
        <x:v>12</x:v>
      </x:c>
      <x:c r="F109" s="37" t="n">
        <x:v>2000</x:v>
      </x:c>
      <x:c r="G109" s="37" t="str">
        <x:v>g</x:v>
      </x:c>
      <x:c r="H109" s="37" t="str">
        <x:v>THÙNG</x:v>
      </x:c>
      <x:c r="I109" s="59" t="n">
        <x:v>0</x:v>
      </x:c>
      <x:c r="J109" s="59" t="n">
        <x:v>0</x:v>
      </x:c>
      <x:c r="K109" s="83" t="n">
        <x:v>0</x:v>
      </x:c>
    </x:row>
    <x:row r="110">
      <x:c r="A110" s="71" t="str">
        <x:v>THẠCH TRỨNG ĐÀO - THÙNG</x:v>
      </x:c>
      <x:c r="B110" s="37" t="str">
        <x:v>TTRDAOT</x:v>
      </x:c>
      <x:c r="C110" s="37" t="str">
        <x:v>TTRDAOT</x:v>
      </x:c>
      <x:c r="D110" s="37" t="str">
        <x:v>TTRDAO</x:v>
      </x:c>
      <x:c r="E110" s="37" t="n">
        <x:v>6</x:v>
      </x:c>
      <x:c r="F110" s="37" t="n">
        <x:v>16000</x:v>
      </x:c>
      <x:c r="G110" s="37" t="str">
        <x:v>g</x:v>
      </x:c>
      <x:c r="H110" s="37" t="str">
        <x:v>THÙNG</x:v>
      </x:c>
      <x:c r="I110" s="59" t="n">
        <x:v>0</x:v>
      </x:c>
      <x:c r="J110" s="59" t="n">
        <x:v>410000</x:v>
      </x:c>
      <x:c r="K110" s="83" t="n">
        <x:v>0</x:v>
      </x:c>
    </x:row>
    <x:row r="111">
      <x:c r="A111" s="71" t="str">
        <x:v>THẠCH TRỨNG 4 MÀU - THÙNG</x:v>
      </x:c>
      <x:c r="B111" s="37" t="str">
        <x:v>TTR4MAT</x:v>
      </x:c>
      <x:c r="C111" s="37" t="str">
        <x:v>TTR4MAT</x:v>
      </x:c>
      <x:c r="D111" s="37" t="str">
        <x:v>TTR4MA</x:v>
      </x:c>
      <x:c r="E111" s="37" t="n">
        <x:v>6</x:v>
      </x:c>
      <x:c r="F111" s="37" t="n">
        <x:v>16000</x:v>
      </x:c>
      <x:c r="G111" s="37" t="str">
        <x:v>g</x:v>
      </x:c>
      <x:c r="H111" s="37" t="str">
        <x:v>THÙNG</x:v>
      </x:c>
      <x:c r="I111" s="59" t="n">
        <x:v>0</x:v>
      </x:c>
      <x:c r="J111" s="59" t="n">
        <x:v>410000</x:v>
      </x:c>
      <x:c r="K111" s="83" t="n">
        <x:v>0</x:v>
      </x:c>
    </x:row>
    <x:row r="112">
      <x:c r="A112" s="71" t="str">
        <x:v>THẠCH TRÁI CÂY 5M NHỎ - THÙNG</x:v>
      </x:c>
      <x:c r="B112" s="37" t="str">
        <x:v>TTC5MNT</x:v>
      </x:c>
      <x:c r="C112" s="37" t="str">
        <x:v>TTC5MNT</x:v>
      </x:c>
      <x:c r="D112" s="37" t="str">
        <x:v>TTC5MN</x:v>
      </x:c>
      <x:c r="E112" s="37" t="n">
        <x:v>6</x:v>
      </x:c>
      <x:c r="F112" s="37" t="n">
        <x:v>16000</x:v>
      </x:c>
      <x:c r="G112" s="37" t="str">
        <x:v>g</x:v>
      </x:c>
      <x:c r="H112" s="37" t="str">
        <x:v>THÙNG</x:v>
      </x:c>
      <x:c r="I112" s="59" t="n">
        <x:v>0</x:v>
      </x:c>
      <x:c r="J112" s="59" t="n">
        <x:v>410000</x:v>
      </x:c>
      <x:c r="K112" s="83" t="n">
        <x:v>0</x:v>
      </x:c>
    </x:row>
    <x:row r="113">
      <x:c r="A113" s="71" t="str">
        <x:v>THẠCH TRÁI CÂY 3M NHỎ - THÙNG</x:v>
      </x:c>
      <x:c r="B113" s="37" t="str">
        <x:v>TTC3MNT</x:v>
      </x:c>
      <x:c r="C113" s="37" t="str">
        <x:v>TTC3MNT</x:v>
      </x:c>
      <x:c r="D113" s="37" t="str">
        <x:v>TTC3MN</x:v>
      </x:c>
      <x:c r="E113" s="37" t="n">
        <x:v>6</x:v>
      </x:c>
      <x:c r="F113" s="37" t="n">
        <x:v>16000</x:v>
      </x:c>
      <x:c r="G113" s="37" t="str">
        <x:v>g</x:v>
      </x:c>
      <x:c r="H113" s="37" t="str">
        <x:v>THÙNG</x:v>
      </x:c>
      <x:c r="I113" s="59" t="n">
        <x:v>0</x:v>
      </x:c>
      <x:c r="J113" s="59" t="n">
        <x:v>410000</x:v>
      </x:c>
      <x:c r="K113" s="83" t="n">
        <x:v>0</x:v>
      </x:c>
    </x:row>
    <x:row r="114">
      <x:c r="A114" s="71" t="str">
        <x:v>THẠCH TRÁI CÂY 3M LỚN - THÙNG</x:v>
      </x:c>
      <x:c r="B114" s="37" t="str">
        <x:v>TTC3MLT</x:v>
      </x:c>
      <x:c r="C114" s="37" t="str">
        <x:v>TTC3MLT</x:v>
      </x:c>
      <x:c r="D114" s="37" t="str">
        <x:v>TTC3ML</x:v>
      </x:c>
      <x:c r="E114" s="37" t="n">
        <x:v>6</x:v>
      </x:c>
      <x:c r="F114" s="37" t="n">
        <x:v>16000</x:v>
      </x:c>
      <x:c r="G114" s="37" t="str">
        <x:v>g</x:v>
      </x:c>
      <x:c r="H114" s="37" t="str">
        <x:v>THÙNG</x:v>
      </x:c>
      <x:c r="I114" s="59" t="n">
        <x:v>0</x:v>
      </x:c>
      <x:c r="J114" s="59" t="n">
        <x:v>410000</x:v>
      </x:c>
      <x:c r="K114" s="83" t="n">
        <x:v>0</x:v>
      </x:c>
    </x:row>
    <x:row r="115">
      <x:c r="A115" s="71" t="str">
        <x:v>THẠCH MH THUỶ TINH TRÁI CÂY - THÙNG</x:v>
      </x:c>
      <x:c r="B115" s="37" t="str">
        <x:v>TTTCMHT</x:v>
      </x:c>
      <x:c r="C115" s="37" t="str">
        <x:v>TTTCMHT</x:v>
      </x:c>
      <x:c r="D115" s="37" t="str">
        <x:v>TTTCMH</x:v>
      </x:c>
      <x:c r="E115" s="37" t="n">
        <x:v>8</x:v>
      </x:c>
      <x:c r="F115" s="37" t="n">
        <x:v>21000</x:v>
      </x:c>
      <x:c r="G115" s="37" t="str">
        <x:v>g</x:v>
      </x:c>
      <x:c r="H115" s="37" t="str">
        <x:v>THÙNG</x:v>
      </x:c>
      <x:c r="I115" s="59" t="n">
        <x:v>0</x:v>
      </x:c>
      <x:c r="J115" s="59" t="n">
        <x:v>330000</x:v>
      </x:c>
      <x:c r="K115" s="83" t="n">
        <x:v>0</x:v>
      </x:c>
    </x:row>
    <x:row r="116">
      <x:c r="A116" s="71" t="str">
        <x:v>THẠCH TIM 4 MÀU - THÙNG</x:v>
      </x:c>
      <x:c r="B116" s="37" t="str">
        <x:v>TTIM4MT</x:v>
      </x:c>
      <x:c r="C116" s="37" t="str">
        <x:v>TTIM4MT</x:v>
      </x:c>
      <x:c r="D116" s="37" t="str">
        <x:v>TTIM4M</x:v>
      </x:c>
      <x:c r="E116" s="37" t="n">
        <x:v>6</x:v>
      </x:c>
      <x:c r="F116" s="37" t="n">
        <x:v>16000</x:v>
      </x:c>
      <x:c r="G116" s="37" t="str">
        <x:v>g</x:v>
      </x:c>
      <x:c r="H116" s="37" t="str">
        <x:v>THÙNG</x:v>
      </x:c>
      <x:c r="I116" s="59" t="n">
        <x:v>0</x:v>
      </x:c>
      <x:c r="J116" s="59" t="n">
        <x:v>410000</x:v>
      </x:c>
      <x:c r="K116" s="83" t="n">
        <x:v>0</x:v>
      </x:c>
    </x:row>
    <x:row r="117">
      <x:c r="A117" s="71" t="str">
        <x:v>THẠCH SỢI TRẮNG - THÙNG</x:v>
      </x:c>
      <x:c r="B117" s="37" t="str">
        <x:v>TSOITRT</x:v>
      </x:c>
      <x:c r="C117" s="37" t="str">
        <x:v>TSOITRT</x:v>
      </x:c>
      <x:c r="D117" s="37" t="str">
        <x:v>TSOITR</x:v>
      </x:c>
      <x:c r="E117" s="37" t="n">
        <x:v>6</x:v>
      </x:c>
      <x:c r="F117" s="37" t="n">
        <x:v>16000</x:v>
      </x:c>
      <x:c r="G117" s="37" t="str">
        <x:v>g</x:v>
      </x:c>
      <x:c r="H117" s="37" t="str">
        <x:v>THÙNG</x:v>
      </x:c>
      <x:c r="I117" s="59" t="n">
        <x:v>0</x:v>
      </x:c>
      <x:c r="J117" s="59" t="n">
        <x:v>0</x:v>
      </x:c>
      <x:c r="K117" s="83" t="n">
        <x:v>0</x:v>
      </x:c>
    </x:row>
    <x:row r="118">
      <x:c r="A118" s="71" t="str">
        <x:v>THẠCH SỢI HOÀNG KIM - THÙNG</x:v>
      </x:c>
      <x:c r="B118" s="37" t="str">
        <x:v>TSOIHKT</x:v>
      </x:c>
      <x:c r="C118" s="37" t="str">
        <x:v>TSOIHKT</x:v>
      </x:c>
      <x:c r="D118" s="37" t="str">
        <x:v>TSOIHK</x:v>
      </x:c>
      <x:c r="E118" s="37" t="n">
        <x:v>6</x:v>
      </x:c>
      <x:c r="F118" s="37" t="n">
        <x:v>16000</x:v>
      </x:c>
      <x:c r="G118" s="37" t="str">
        <x:v>g</x:v>
      </x:c>
      <x:c r="H118" s="37" t="str">
        <x:v>THÙNG</x:v>
      </x:c>
      <x:c r="I118" s="59" t="n">
        <x:v>0</x:v>
      </x:c>
      <x:c r="J118" s="59" t="n">
        <x:v>0</x:v>
      </x:c>
      <x:c r="K118" s="83" t="n">
        <x:v>0</x:v>
      </x:c>
    </x:row>
    <x:row r="119">
      <x:c r="A119" s="71" t="str">
        <x:v>THẠCH SOCOLA NHUYỄN - THÙNG</x:v>
      </x:c>
      <x:c r="B119" s="37" t="str">
        <x:v>TSCLNHT</x:v>
      </x:c>
      <x:c r="C119" s="37" t="str">
        <x:v>TSCLNHT</x:v>
      </x:c>
      <x:c r="D119" s="37" t="str">
        <x:v>TSCLNH</x:v>
      </x:c>
      <x:c r="E119" s="37" t="n">
        <x:v>6</x:v>
      </x:c>
      <x:c r="F119" s="37" t="n">
        <x:v>16000</x:v>
      </x:c>
      <x:c r="G119" s="37" t="str">
        <x:v>g</x:v>
      </x:c>
      <x:c r="H119" s="37" t="str">
        <x:v>THÙNG</x:v>
      </x:c>
      <x:c r="I119" s="59" t="n">
        <x:v>0</x:v>
      </x:c>
      <x:c r="J119" s="59" t="n">
        <x:v>410000</x:v>
      </x:c>
      <x:c r="K119" s="83" t="n">
        <x:v>0</x:v>
      </x:c>
    </x:row>
    <x:row r="120">
      <x:c r="A120" s="71" t="str">
        <x:v>THẠCH MH NGŨ SẮC - THÙNG</x:v>
      </x:c>
      <x:c r="B120" s="37" t="str">
        <x:v>THNSMHT</x:v>
      </x:c>
      <x:c r="C120" s="37" t="str">
        <x:v>THNSMHT</x:v>
      </x:c>
      <x:c r="D120" s="37" t="str">
        <x:v>THNSMH</x:v>
      </x:c>
      <x:c r="E120" s="37" t="n">
        <x:v>6</x:v>
      </x:c>
      <x:c r="F120" s="37" t="n">
        <x:v>16000</x:v>
      </x:c>
      <x:c r="G120" s="37" t="str">
        <x:v>g</x:v>
      </x:c>
      <x:c r="H120" s="37" t="str">
        <x:v>THÙNG</x:v>
      </x:c>
      <x:c r="I120" s="59" t="n">
        <x:v>0</x:v>
      </x:c>
      <x:c r="J120" s="59" t="n">
        <x:v>0</x:v>
      </x:c>
      <x:c r="K120" s="83" t="n">
        <x:v>0</x:v>
      </x:c>
    </x:row>
    <x:row r="121">
      <x:c r="A121" s="71" t="str">
        <x:v>THẠCH MÔN NHUYỄN - THÙNG</x:v>
      </x:c>
      <x:c r="B121" s="37" t="str">
        <x:v>TMONNHT</x:v>
      </x:c>
      <x:c r="C121" s="37" t="str">
        <x:v>TMONNHT</x:v>
      </x:c>
      <x:c r="D121" s="37" t="str">
        <x:v>TMONNH</x:v>
      </x:c>
      <x:c r="E121" s="37" t="n">
        <x:v>6</x:v>
      </x:c>
      <x:c r="F121" s="37" t="n">
        <x:v>16000</x:v>
      </x:c>
      <x:c r="G121" s="37" t="str">
        <x:v>g</x:v>
      </x:c>
      <x:c r="H121" s="37" t="str">
        <x:v>THÙNG</x:v>
      </x:c>
      <x:c r="I121" s="59" t="n">
        <x:v>0</x:v>
      </x:c>
      <x:c r="J121" s="59" t="n">
        <x:v>410000</x:v>
      </x:c>
      <x:c r="K121" s="83" t="n">
        <x:v>0</x:v>
      </x:c>
    </x:row>
    <x:row r="122">
      <x:c r="A122" s="71" t="str">
        <x:v>THẠCH MATCHA NHUYỄN - THÙNG</x:v>
      </x:c>
      <x:c r="B122" s="37" t="str">
        <x:v>TMCHANT</x:v>
      </x:c>
      <x:c r="C122" s="37" t="str">
        <x:v>TMCHANT</x:v>
      </x:c>
      <x:c r="D122" s="37" t="str">
        <x:v>TMCHAN</x:v>
      </x:c>
      <x:c r="E122" s="37" t="n">
        <x:v>6</x:v>
      </x:c>
      <x:c r="F122" s="37" t="n">
        <x:v>16000</x:v>
      </x:c>
      <x:c r="G122" s="37" t="str">
        <x:v>g</x:v>
      </x:c>
      <x:c r="H122" s="37" t="str">
        <x:v>THÙNG</x:v>
      </x:c>
      <x:c r="I122" s="59" t="n">
        <x:v>0</x:v>
      </x:c>
      <x:c r="J122" s="59" t="n">
        <x:v>410000</x:v>
      </x:c>
      <x:c r="K122" s="83" t="n">
        <x:v>0</x:v>
      </x:c>
    </x:row>
    <x:row r="123">
      <x:c r="A123" s="71" t="str">
        <x:v>THẠCH KIM CƯƠNG ĐÀO - THÙNG</x:v>
      </x:c>
      <x:c r="B123" s="37" t="str">
        <x:v>TKCDAOT</x:v>
      </x:c>
      <x:c r="C123" s="37" t="str">
        <x:v>TKCDAOT</x:v>
      </x:c>
      <x:c r="D123" s="37" t="str">
        <x:v>TKCDAO</x:v>
      </x:c>
      <x:c r="E123" s="37" t="n">
        <x:v>6</x:v>
      </x:c>
      <x:c r="F123" s="37" t="n">
        <x:v>16000</x:v>
      </x:c>
      <x:c r="G123" s="37" t="str">
        <x:v>g</x:v>
      </x:c>
      <x:c r="H123" s="37" t="str">
        <x:v>THÙNG</x:v>
      </x:c>
      <x:c r="I123" s="59" t="n">
        <x:v>0</x:v>
      </x:c>
      <x:c r="J123" s="59" t="n">
        <x:v>410000</x:v>
      </x:c>
      <x:c r="K123" s="83" t="n">
        <x:v>0</x:v>
      </x:c>
    </x:row>
    <x:row r="124">
      <x:c r="A124" s="71" t="str">
        <x:v>THẠCH KIM CƯƠNG - THÙNG</x:v>
      </x:c>
      <x:c r="B124" s="37" t="str">
        <x:v>THKC4MT</x:v>
      </x:c>
      <x:c r="C124" s="37" t="str">
        <x:v>THKC4MT</x:v>
      </x:c>
      <x:c r="D124" s="37" t="str">
        <x:v>THKC4M</x:v>
      </x:c>
      <x:c r="E124" s="37" t="n">
        <x:v>6</x:v>
      </x:c>
      <x:c r="F124" s="37" t="n">
        <x:v>16000</x:v>
      </x:c>
      <x:c r="G124" s="37" t="str">
        <x:v>g</x:v>
      </x:c>
      <x:c r="H124" s="37" t="str">
        <x:v>THÙNG</x:v>
      </x:c>
      <x:c r="I124" s="59" t="n">
        <x:v>0</x:v>
      </x:c>
      <x:c r="J124" s="59" t="n">
        <x:v>410000</x:v>
      </x:c>
      <x:c r="K124" s="83" t="n">
        <x:v>0</x:v>
      </x:c>
    </x:row>
    <x:row r="125">
      <x:c r="A125" s="71" t="str">
        <x:v>THẠCH DX DỪA VẢI - THÙNG</x:v>
      </x:c>
      <x:c r="B125" s="37" t="str">
        <x:v>TDUVAIT</x:v>
      </x:c>
      <x:c r="C125" s="37" t="str">
        <x:v>TDUVAIT</x:v>
      </x:c>
      <x:c r="D125" s="37" t="str">
        <x:v>TDUVAI</x:v>
      </x:c>
      <x:c r="E125" s="37" t="n">
        <x:v>6</x:v>
      </x:c>
      <x:c r="F125" s="37" t="n">
        <x:v>16000</x:v>
      </x:c>
      <x:c r="G125" s="37" t="str">
        <x:v>g</x:v>
      </x:c>
      <x:c r="H125" s="37" t="str">
        <x:v>THÙNG</x:v>
      </x:c>
      <x:c r="I125" s="59" t="n">
        <x:v>0</x:v>
      </x:c>
      <x:c r="J125" s="59" t="n">
        <x:v>410000</x:v>
      </x:c>
      <x:c r="K125" s="83" t="n">
        <x:v>0</x:v>
      </x:c>
    </x:row>
    <x:row r="126">
      <x:c r="A126" s="71" t="str">
        <x:v>THẠCH MH DỪA TÁO - THÙNG</x:v>
      </x:c>
      <x:c r="B126" s="37" t="str">
        <x:v>TDTAMHT</x:v>
      </x:c>
      <x:c r="C126" s="37" t="str">
        <x:v>TDTAMHT</x:v>
      </x:c>
      <x:c r="D126" s="37" t="str">
        <x:v>TDTAMH</x:v>
      </x:c>
      <x:c r="E126" s="37" t="n">
        <x:v>8</x:v>
      </x:c>
      <x:c r="F126" s="37" t="n">
        <x:v>21000</x:v>
      </x:c>
      <x:c r="G126" s="37" t="str">
        <x:v>g</x:v>
      </x:c>
      <x:c r="H126" s="37" t="str">
        <x:v>THÙNG</x:v>
      </x:c>
      <x:c r="I126" s="59" t="n">
        <x:v>0</x:v>
      </x:c>
      <x:c r="J126" s="59" t="n">
        <x:v>0</x:v>
      </x:c>
      <x:c r="K126" s="83" t="n">
        <x:v>0</x:v>
      </x:c>
    </x:row>
    <x:row r="127">
      <x:c r="A127" s="71" t="str">
        <x:v>THẠCH DX DỪA TÁO - THÙNG</x:v>
      </x:c>
      <x:c r="B127" s="37" t="str">
        <x:v>TDUTAOT</x:v>
      </x:c>
      <x:c r="C127" s="37" t="str">
        <x:v>TDUTAOT</x:v>
      </x:c>
      <x:c r="D127" s="37" t="str">
        <x:v>TDUTAO</x:v>
      </x:c>
      <x:c r="E127" s="37" t="n">
        <x:v>6</x:v>
      </x:c>
      <x:c r="F127" s="37" t="n">
        <x:v>16000</x:v>
      </x:c>
      <x:c r="G127" s="37" t="str">
        <x:v>g</x:v>
      </x:c>
      <x:c r="H127" s="37" t="str">
        <x:v>THÙNG</x:v>
      </x:c>
      <x:c r="I127" s="59" t="n">
        <x:v>0</x:v>
      </x:c>
      <x:c r="J127" s="59" t="n">
        <x:v>410000</x:v>
      </x:c>
      <x:c r="K127" s="83" t="n">
        <x:v>0</x:v>
      </x:c>
    </x:row>
    <x:row r="128">
      <x:c r="A128" s="71" t="str">
        <x:v>THẠCH DỪA SỢI LOTUS - THÙNG</x:v>
      </x:c>
      <x:c r="B128" s="37" t="str">
        <x:v>TDSLOTT</x:v>
      </x:c>
      <x:c r="C128" s="37" t="str">
        <x:v>TDSLOTT</x:v>
      </x:c>
      <x:c r="D128" s="37" t="str">
        <x:v>TDSLOT</x:v>
      </x:c>
      <x:c r="E128" s="37" t="n">
        <x:v>10</x:v>
      </x:c>
      <x:c r="F128" s="37" t="n">
        <x:v>0</x:v>
      </x:c>
      <x:c r="G128" s="37" t="str">
        <x:v>g</x:v>
      </x:c>
      <x:c r="H128" s="37" t="str">
        <x:v>THÙNG</x:v>
      </x:c>
      <x:c r="I128" s="59" t="n">
        <x:v>0</x:v>
      </x:c>
      <x:c r="J128" s="59" t="n">
        <x:v>260000</x:v>
      </x:c>
      <x:c r="K128" s="83" t="n">
        <x:v>0</x:v>
      </x:c>
    </x:row>
    <x:row r="129">
      <x:c r="A129" s="71" t="str">
        <x:v>THẠCH DỪA NGUYÊN VỊ - THÙNG</x:v>
      </x:c>
      <x:c r="B129" s="37" t="str">
        <x:v>TDUANVT</x:v>
      </x:c>
      <x:c r="C129" s="37" t="str">
        <x:v>TDUANVT</x:v>
      </x:c>
      <x:c r="D129" s="37" t="str">
        <x:v>TDUANV</x:v>
      </x:c>
      <x:c r="E129" s="37" t="n">
        <x:v>6</x:v>
      </x:c>
      <x:c r="F129" s="37" t="n">
        <x:v>16000</x:v>
      </x:c>
      <x:c r="G129" s="37" t="str">
        <x:v>g</x:v>
      </x:c>
      <x:c r="H129" s="37" t="str">
        <x:v>THÙNG</x:v>
      </x:c>
      <x:c r="I129" s="59" t="n">
        <x:v>0</x:v>
      </x:c>
      <x:c r="J129" s="59" t="n">
        <x:v>0</x:v>
      </x:c>
      <x:c r="K129" s="83" t="n">
        <x:v>0</x:v>
      </x:c>
    </x:row>
    <x:row r="130">
      <x:c r="A130" s="71" t="str">
        <x:v>THẠCH MH DỪA MÔN - THÙNG</x:v>
      </x:c>
      <x:c r="B130" s="37" t="str">
        <x:v>TDMOMHT</x:v>
      </x:c>
      <x:c r="C130" s="37" t="str">
        <x:v>TDMOMHT</x:v>
      </x:c>
      <x:c r="D130" s="37" t="str">
        <x:v>TDMOMH</x:v>
      </x:c>
      <x:c r="E130" s="37" t="n">
        <x:v>8</x:v>
      </x:c>
      <x:c r="F130" s="37" t="n">
        <x:v>21000</x:v>
      </x:c>
      <x:c r="G130" s="37" t="str">
        <x:v>g</x:v>
      </x:c>
      <x:c r="H130" s="37" t="str">
        <x:v>THÙNG</x:v>
      </x:c>
      <x:c r="I130" s="59" t="n">
        <x:v>0</x:v>
      </x:c>
      <x:c r="J130" s="59" t="n">
        <x:v>0</x:v>
      </x:c>
      <x:c r="K130" s="83" t="n">
        <x:v>0</x:v>
      </x:c>
    </x:row>
    <x:row r="131">
      <x:c r="A131" s="71" t="str">
        <x:v>THẠCH DX DỪA MÔN - THÙNG</x:v>
      </x:c>
      <x:c r="B131" s="37" t="str">
        <x:v>TDUMONT</x:v>
      </x:c>
      <x:c r="C131" s="37" t="str">
        <x:v>TDUMONT</x:v>
      </x:c>
      <x:c r="D131" s="37" t="str">
        <x:v>TDUMON</x:v>
      </x:c>
      <x:c r="E131" s="37" t="n">
        <x:v>6</x:v>
      </x:c>
      <x:c r="F131" s="37" t="n">
        <x:v>16000</x:v>
      </x:c>
      <x:c r="G131" s="37" t="str">
        <x:v>g</x:v>
      </x:c>
      <x:c r="H131" s="37" t="str">
        <x:v>THÙNG</x:v>
      </x:c>
      <x:c r="I131" s="59" t="n">
        <x:v>0</x:v>
      </x:c>
      <x:c r="J131" s="59" t="n">
        <x:v>410000</x:v>
      </x:c>
      <x:c r="K131" s="83" t="n">
        <x:v>0</x:v>
      </x:c>
    </x:row>
    <x:row r="132">
      <x:c r="A132" s="71" t="str">
        <x:v>THẠCH DX DỪA ĐÀO - THÙNG</x:v>
      </x:c>
      <x:c r="B132" s="37" t="str">
        <x:v>TDUDAOT</x:v>
      </x:c>
      <x:c r="C132" s="37" t="str">
        <x:v>TDUDAOT</x:v>
      </x:c>
      <x:c r="D132" s="37" t="str">
        <x:v>TDUDAO</x:v>
      </x:c>
      <x:c r="E132" s="37" t="n">
        <x:v>6</x:v>
      </x:c>
      <x:c r="F132" s="37" t="n">
        <x:v>16000</x:v>
      </x:c>
      <x:c r="G132" s="37" t="str">
        <x:v>g</x:v>
      </x:c>
      <x:c r="H132" s="37" t="str">
        <x:v>THÙNG</x:v>
      </x:c>
      <x:c r="I132" s="59" t="n">
        <x:v>0</x:v>
      </x:c>
      <x:c r="J132" s="59" t="n">
        <x:v>410000</x:v>
      </x:c>
      <x:c r="K132" s="83" t="n">
        <x:v>0</x:v>
      </x:c>
    </x:row>
    <x:row r="133">
      <x:c r="A133" s="71" t="str">
        <x:v>THẠCH MH DỪA DƯA VÀNG - THÙNG</x:v>
      </x:c>
      <x:c r="B133" s="37" t="str">
        <x:v>TDDVMHT</x:v>
      </x:c>
      <x:c r="C133" s="37" t="str">
        <x:v>TDDVMHT</x:v>
      </x:c>
      <x:c r="D133" s="37" t="str">
        <x:v>TDDVMH</x:v>
      </x:c>
      <x:c r="E133" s="37" t="n">
        <x:v>8</x:v>
      </x:c>
      <x:c r="F133" s="37" t="n">
        <x:v>21000</x:v>
      </x:c>
      <x:c r="G133" s="37" t="str">
        <x:v>g</x:v>
      </x:c>
      <x:c r="H133" s="37" t="str">
        <x:v>THÙNG</x:v>
      </x:c>
      <x:c r="I133" s="59" t="n">
        <x:v>0</x:v>
      </x:c>
      <x:c r="J133" s="59" t="n">
        <x:v>0</x:v>
      </x:c>
      <x:c r="K133" s="83" t="n">
        <x:v>0</x:v>
      </x:c>
    </x:row>
    <x:row r="134">
      <x:c r="A134" s="71" t="str">
        <x:v>THẠCH DỪA DEDU - THÙNG</x:v>
      </x:c>
      <x:c r="B134" s="37" t="str">
        <x:v>TDDEDUT</x:v>
      </x:c>
      <x:c r="C134" s="37" t="str">
        <x:v>TDDEDUT</x:v>
      </x:c>
      <x:c r="D134" s="37" t="str">
        <x:v>TDDEDU</x:v>
      </x:c>
      <x:c r="E134" s="37" t="n">
        <x:v>12</x:v>
      </x:c>
      <x:c r="F134" s="37" t="n">
        <x:v>16000</x:v>
      </x:c>
      <x:c r="G134" s="37" t="str">
        <x:v>g</x:v>
      </x:c>
      <x:c r="H134" s="37" t="str">
        <x:v>THÙNG</x:v>
      </x:c>
      <x:c r="I134" s="59" t="n">
        <x:v>0</x:v>
      </x:c>
      <x:c r="J134" s="59" t="n">
        <x:v>0</x:v>
      </x:c>
      <x:c r="K134" s="83" t="n">
        <x:v>0</x:v>
      </x:c>
    </x:row>
    <x:row r="135">
      <x:c r="A135" s="71" t="str">
        <x:v>THẠCH MH DỪA DÂU - THÙNG</x:v>
      </x:c>
      <x:c r="B135" s="37" t="str">
        <x:v>TDDAMHT</x:v>
      </x:c>
      <x:c r="C135" s="37" t="str">
        <x:v>TDDAMHT</x:v>
      </x:c>
      <x:c r="D135" s="37" t="str">
        <x:v>TDDAMH</x:v>
      </x:c>
      <x:c r="E135" s="37" t="n">
        <x:v>8</x:v>
      </x:c>
      <x:c r="F135" s="37" t="n">
        <x:v>21000</x:v>
      </x:c>
      <x:c r="G135" s="37" t="str">
        <x:v>g</x:v>
      </x:c>
      <x:c r="H135" s="37" t="str">
        <x:v>THÙNG</x:v>
      </x:c>
      <x:c r="I135" s="59" t="n">
        <x:v>0</x:v>
      </x:c>
      <x:c r="J135" s="59" t="n">
        <x:v>0</x:v>
      </x:c>
      <x:c r="K135" s="83" t="n">
        <x:v>0</x:v>
      </x:c>
    </x:row>
    <x:row r="136">
      <x:c r="A136" s="71" t="str">
        <x:v>THẠCH DX DỪA DÂU - THÙNG</x:v>
      </x:c>
      <x:c r="B136" s="37" t="str">
        <x:v>TDUDAUT</x:v>
      </x:c>
      <x:c r="C136" s="37" t="str">
        <x:v>TDUDAUT</x:v>
      </x:c>
      <x:c r="D136" s="37" t="str">
        <x:v>TDUDAU</x:v>
      </x:c>
      <x:c r="E136" s="37" t="n">
        <x:v>6</x:v>
      </x:c>
      <x:c r="F136" s="37" t="n">
        <x:v>16000</x:v>
      </x:c>
      <x:c r="G136" s="37" t="str">
        <x:v>g</x:v>
      </x:c>
      <x:c r="H136" s="37" t="str">
        <x:v>THÙNG</x:v>
      </x:c>
      <x:c r="I136" s="59" t="n">
        <x:v>0</x:v>
      </x:c>
      <x:c r="J136" s="59" t="n">
        <x:v>410000</x:v>
      </x:c>
      <x:c r="K136" s="83" t="n">
        <x:v>0</x:v>
      </x:c>
    </x:row>
    <x:row r="137">
      <x:c r="A137" s="71" t="str">
        <x:v>THẠCH DỪA CHANH DÂY - THÙNG</x:v>
      </x:c>
      <x:c r="B137" s="37" t="str">
        <x:v>TDUCDAT</x:v>
      </x:c>
      <x:c r="C137" s="37" t="str">
        <x:v>TDUCDAT</x:v>
      </x:c>
      <x:c r="D137" s="37" t="str">
        <x:v>TDUCDA</x:v>
      </x:c>
      <x:c r="E137" s="37" t="n">
        <x:v>6</x:v>
      </x:c>
      <x:c r="F137" s="37" t="n">
        <x:v>16000</x:v>
      </x:c>
      <x:c r="G137" s="37" t="str">
        <x:v>g</x:v>
      </x:c>
      <x:c r="H137" s="37" t="str">
        <x:v>THÙNG</x:v>
      </x:c>
      <x:c r="I137" s="59" t="n">
        <x:v>0</x:v>
      </x:c>
      <x:c r="J137" s="59" t="n">
        <x:v>410000</x:v>
      </x:c>
      <x:c r="K137" s="83" t="n">
        <x:v>0</x:v>
      </x:c>
    </x:row>
    <x:row r="138">
      <x:c r="A138" s="71" t="str">
        <x:v>THẠCH CẦU VÒNG TRUNG - THÙNG</x:v>
      </x:c>
      <x:c r="B138" s="37" t="str">
        <x:v>TTC5MTT</x:v>
      </x:c>
      <x:c r="C138" s="37" t="str">
        <x:v>TTC5MTT</x:v>
      </x:c>
      <x:c r="D138" s="37" t="str">
        <x:v>TTC5MT</x:v>
      </x:c>
      <x:c r="E138" s="37" t="n">
        <x:v>6</x:v>
      </x:c>
      <x:c r="F138" s="37" t="n">
        <x:v>16000</x:v>
      </x:c>
      <x:c r="G138" s="37" t="str">
        <x:v>g</x:v>
      </x:c>
      <x:c r="H138" s="37" t="str">
        <x:v>THÙNG</x:v>
      </x:c>
      <x:c r="I138" s="59" t="n">
        <x:v>0</x:v>
      </x:c>
      <x:c r="J138" s="59" t="n">
        <x:v>0</x:v>
      </x:c>
      <x:c r="K138" s="83" t="n">
        <x:v>0</x:v>
      </x:c>
    </x:row>
    <x:row r="139">
      <x:c r="A139" s="71" t="str">
        <x:v>THẠCH CAFE HÙNG CHƯƠNG - THÙNG</x:v>
      </x:c>
      <x:c r="B139" s="37" t="str">
        <x:v>THCFHCT</x:v>
      </x:c>
      <x:c r="C139" s="37" t="str">
        <x:v>THCFHCT</x:v>
      </x:c>
      <x:c r="D139" s="37" t="str">
        <x:v>THCFHC</x:v>
      </x:c>
      <x:c r="E139" s="37" t="n">
        <x:v>6</x:v>
      </x:c>
      <x:c r="F139" s="37" t="n">
        <x:v>16000</x:v>
      </x:c>
      <x:c r="G139" s="37" t="str">
        <x:v>g</x:v>
      </x:c>
      <x:c r="H139" s="37" t="str">
        <x:v>THÙNG</x:v>
      </x:c>
      <x:c r="I139" s="59" t="n">
        <x:v>0</x:v>
      </x:c>
      <x:c r="J139" s="59" t="n">
        <x:v>0</x:v>
      </x:c>
      <x:c r="K139" s="83" t="n">
        <x:v>0</x:v>
      </x:c>
    </x:row>
    <x:row r="140">
      <x:c r="A140" s="71" t="str">
        <x:v>THẠCH CÁ SÂM DỨA - THÙNG</x:v>
      </x:c>
      <x:c r="B140" s="37" t="str">
        <x:v>TCASDUT</x:v>
      </x:c>
      <x:c r="C140" s="37" t="str">
        <x:v>TCASDUT</x:v>
      </x:c>
      <x:c r="D140" s="37" t="str">
        <x:v>TCASDU</x:v>
      </x:c>
      <x:c r="E140" s="37" t="n">
        <x:v>6</x:v>
      </x:c>
      <x:c r="F140" s="37" t="n">
        <x:v>16000</x:v>
      </x:c>
      <x:c r="G140" s="37" t="str">
        <x:v>g</x:v>
      </x:c>
      <x:c r="H140" s="37" t="str">
        <x:v>THÙNG</x:v>
      </x:c>
      <x:c r="I140" s="59" t="n">
        <x:v>0</x:v>
      </x:c>
      <x:c r="J140" s="59" t="n">
        <x:v>410000</x:v>
      </x:c>
      <x:c r="K140" s="83" t="n">
        <x:v>0</x:v>
      </x:c>
    </x:row>
    <x:row r="141">
      <x:c r="A141" s="71" t="str">
        <x:v>THẠCH CÁ 4 MÀU - THÙNG</x:v>
      </x:c>
      <x:c r="B141" s="37" t="str">
        <x:v>TCA4MAT</x:v>
      </x:c>
      <x:c r="C141" s="37" t="str">
        <x:v>TCA4MAT</x:v>
      </x:c>
      <x:c r="D141" s="37" t="str">
        <x:v>TCA4MA</x:v>
      </x:c>
      <x:c r="E141" s="37" t="n">
        <x:v>6</x:v>
      </x:c>
      <x:c r="F141" s="37" t="n">
        <x:v>16000</x:v>
      </x:c>
      <x:c r="G141" s="37" t="str">
        <x:v>g</x:v>
      </x:c>
      <x:c r="H141" s="37" t="str">
        <x:v>THÙNG</x:v>
      </x:c>
      <x:c r="I141" s="59" t="n">
        <x:v>0</x:v>
      </x:c>
      <x:c r="J141" s="59" t="n">
        <x:v>410000</x:v>
      </x:c>
      <x:c r="K141" s="83" t="n">
        <x:v>0</x:v>
      </x:c>
    </x:row>
    <x:row r="142">
      <x:c r="A142" s="71" t="str">
        <x:v>THẠCH BI SỮA - THÙNG</x:v>
      </x:c>
      <x:c r="B142" s="37" t="str">
        <x:v>THBISUT</x:v>
      </x:c>
      <x:c r="C142" s="37" t="str">
        <x:v>THBISUT</x:v>
      </x:c>
      <x:c r="D142" s="37" t="str">
        <x:v>THBISU</x:v>
      </x:c>
      <x:c r="E142" s="37" t="n">
        <x:v>6</x:v>
      </x:c>
      <x:c r="F142" s="37" t="n">
        <x:v>16000</x:v>
      </x:c>
      <x:c r="G142" s="37" t="str">
        <x:v>g</x:v>
      </x:c>
      <x:c r="H142" s="37" t="str">
        <x:v>THÙNG</x:v>
      </x:c>
      <x:c r="I142" s="59" t="n">
        <x:v>0</x:v>
      </x:c>
      <x:c r="J142" s="59" t="n">
        <x:v>410000</x:v>
      </x:c>
      <x:c r="K142" s="83" t="n">
        <x:v>0</x:v>
      </x:c>
    </x:row>
    <x:row r="143">
      <x:c r="A143" s="71" t="str">
        <x:v>THẠCH BI ĐÀO - THÙNG</x:v>
      </x:c>
      <x:c r="B143" s="37" t="str">
        <x:v>THBIDOT</x:v>
      </x:c>
      <x:c r="C143" s="37" t="str">
        <x:v>THBIDOT</x:v>
      </x:c>
      <x:c r="D143" s="37" t="str">
        <x:v>THBIDO</x:v>
      </x:c>
      <x:c r="E143" s="37" t="n">
        <x:v>6</x:v>
      </x:c>
      <x:c r="F143" s="37" t="n">
        <x:v>16000</x:v>
      </x:c>
      <x:c r="G143" s="37" t="str">
        <x:v>g</x:v>
      </x:c>
      <x:c r="H143" s="37" t="str">
        <x:v>THÙNG</x:v>
      </x:c>
      <x:c r="I143" s="59" t="n">
        <x:v>0</x:v>
      </x:c>
      <x:c r="J143" s="59" t="n">
        <x:v>410000</x:v>
      </x:c>
      <x:c r="K143" s="83" t="n">
        <x:v>0</x:v>
      </x:c>
    </x:row>
    <x:row r="144">
      <x:c r="A144" s="71" t="str">
        <x:v>THẠCH BI CAFE - THÙNG</x:v>
      </x:c>
      <x:c r="B144" s="37" t="str">
        <x:v>THBICFT</x:v>
      </x:c>
      <x:c r="C144" s="37" t="str">
        <x:v>THBICFT</x:v>
      </x:c>
      <x:c r="D144" s="37" t="str">
        <x:v>THBICF</x:v>
      </x:c>
      <x:c r="E144" s="37" t="n">
        <x:v>6</x:v>
      </x:c>
      <x:c r="F144" s="37" t="n">
        <x:v>16000</x:v>
      </x:c>
      <x:c r="G144" s="37" t="str">
        <x:v>g</x:v>
      </x:c>
      <x:c r="H144" s="37" t="str">
        <x:v>THÙNG</x:v>
      </x:c>
      <x:c r="I144" s="59" t="n">
        <x:v>0</x:v>
      </x:c>
      <x:c r="J144" s="59" t="n">
        <x:v>410000</x:v>
      </x:c>
      <x:c r="K144" s="83" t="n">
        <x:v>0</x:v>
      </x:c>
    </x:row>
    <x:row r="145">
      <x:c r="A145" s="71" t="str">
        <x:v>THẠCH BI 5 MÀU - THÙNG</x:v>
      </x:c>
      <x:c r="B145" s="37" t="str">
        <x:v>THBI5MT</x:v>
      </x:c>
      <x:c r="C145" s="37" t="str">
        <x:v>THBI5MT</x:v>
      </x:c>
      <x:c r="D145" s="37" t="str">
        <x:v>THBI5M</x:v>
      </x:c>
      <x:c r="E145" s="37" t="n">
        <x:v>6</x:v>
      </x:c>
      <x:c r="F145" s="37" t="n">
        <x:v>16000</x:v>
      </x:c>
      <x:c r="G145" s="37" t="str">
        <x:v>g</x:v>
      </x:c>
      <x:c r="H145" s="37" t="str">
        <x:v>THÙNG</x:v>
      </x:c>
      <x:c r="I145" s="59" t="n">
        <x:v>0</x:v>
      </x:c>
      <x:c r="J145" s="59" t="n">
        <x:v>410000</x:v>
      </x:c>
      <x:c r="K145" s="83" t="n">
        <x:v>0</x:v>
      </x:c>
    </x:row>
    <x:row r="146">
      <x:c r="A146" s="71" t="str">
        <x:v>THẠCH 3Q HỦ - THÙNG</x:v>
      </x:c>
      <x:c r="B146" s="37" t="str">
        <x:v>3QHUDXT</x:v>
      </x:c>
      <x:c r="C146" s="37" t="str">
        <x:v>3QHUDXT</x:v>
      </x:c>
      <x:c r="D146" s="37" t="str">
        <x:v>3QHUDX</x:v>
      </x:c>
      <x:c r="E146" s="37" t="n">
        <x:v>6</x:v>
      </x:c>
      <x:c r="F146" s="37" t="n">
        <x:v>16000</x:v>
      </x:c>
      <x:c r="G146" s="37" t="str">
        <x:v>g</x:v>
      </x:c>
      <x:c r="H146" s="37" t="str">
        <x:v>THÙNG</x:v>
      </x:c>
      <x:c r="I146" s="59" t="n">
        <x:v>0</x:v>
      </x:c>
      <x:c r="J146" s="59" t="n">
        <x:v>410000</x:v>
      </x:c>
      <x:c r="K146" s="83" t="n">
        <x:v>0</x:v>
      </x:c>
    </x:row>
    <x:row r="147">
      <x:c r="A147" s="71" t="str">
        <x:v>THẠCH 3D XOÀI LỚN - THÙNG</x:v>
      </x:c>
      <x:c r="B147" s="37" t="str">
        <x:v>3DXOALT</x:v>
      </x:c>
      <x:c r="C147" s="37" t="str">
        <x:v>3DXOALT</x:v>
      </x:c>
      <x:c r="D147" s="37" t="str">
        <x:v>3DXOAL</x:v>
      </x:c>
      <x:c r="E147" s="37" t="n">
        <x:v>6</x:v>
      </x:c>
      <x:c r="F147" s="37" t="n">
        <x:v>16000</x:v>
      </x:c>
      <x:c r="G147" s="37" t="str">
        <x:v>g</x:v>
      </x:c>
      <x:c r="H147" s="37" t="str">
        <x:v>THÙNG</x:v>
      </x:c>
      <x:c r="I147" s="59" t="n">
        <x:v>0</x:v>
      </x:c>
      <x:c r="J147" s="59" t="n">
        <x:v>410000</x:v>
      </x:c>
      <x:c r="K147" s="83" t="n">
        <x:v>0</x:v>
      </x:c>
    </x:row>
    <x:row r="148">
      <x:c r="A148" s="71" t="str">
        <x:v>THẠCH 3D TRÁI CÂY NHỎ - THÙNG</x:v>
      </x:c>
      <x:c r="B148" s="37" t="str">
        <x:v>3DTCNHT</x:v>
      </x:c>
      <x:c r="C148" s="37" t="str">
        <x:v>3DTCNHT</x:v>
      </x:c>
      <x:c r="D148" s="37" t="str">
        <x:v>3DTCNH</x:v>
      </x:c>
      <x:c r="E148" s="37" t="n">
        <x:v>6</x:v>
      </x:c>
      <x:c r="F148" s="37" t="n">
        <x:v>16000</x:v>
      </x:c>
      <x:c r="G148" s="37" t="str">
        <x:v>g</x:v>
      </x:c>
      <x:c r="H148" s="37" t="str">
        <x:v>THÙNG</x:v>
      </x:c>
      <x:c r="I148" s="59" t="n">
        <x:v>0</x:v>
      </x:c>
      <x:c r="J148" s="59" t="n">
        <x:v>410000</x:v>
      </x:c>
      <x:c r="K148" s="83" t="n">
        <x:v>0</x:v>
      </x:c>
    </x:row>
    <x:row r="149">
      <x:c r="A149" s="71" t="str">
        <x:v>THẠCH 3D TRÁI CÂY LỚN - THÙNG</x:v>
      </x:c>
      <x:c r="B149" s="37" t="str">
        <x:v>3DTCLNT</x:v>
      </x:c>
      <x:c r="C149" s="37" t="str">
        <x:v>3DTCLNT</x:v>
      </x:c>
      <x:c r="D149" s="37" t="str">
        <x:v>3DTCLN</x:v>
      </x:c>
      <x:c r="E149" s="37" t="n">
        <x:v>6</x:v>
      </x:c>
      <x:c r="F149" s="37" t="n">
        <x:v>16000</x:v>
      </x:c>
      <x:c r="G149" s="37" t="str">
        <x:v>g</x:v>
      </x:c>
      <x:c r="H149" s="37" t="str">
        <x:v>THÙNG</x:v>
      </x:c>
      <x:c r="I149" s="59" t="n">
        <x:v>0</x:v>
      </x:c>
      <x:c r="J149" s="59" t="n">
        <x:v>410000</x:v>
      </x:c>
      <x:c r="K149" s="83" t="n">
        <x:v>0</x:v>
      </x:c>
    </x:row>
    <x:row r="150">
      <x:c r="A150" s="71" t="str">
        <x:v>THẠCH 3D SOCOLA LỚN - THÙNG</x:v>
      </x:c>
      <x:c r="B150" s="37" t="str">
        <x:v>3DSCLLT</x:v>
      </x:c>
      <x:c r="C150" s="37" t="str">
        <x:v>3DSCLLT</x:v>
      </x:c>
      <x:c r="D150" s="37" t="str">
        <x:v>3DSCLL</x:v>
      </x:c>
      <x:c r="E150" s="37" t="n">
        <x:v>6</x:v>
      </x:c>
      <x:c r="F150" s="37" t="n">
        <x:v>16000</x:v>
      </x:c>
      <x:c r="G150" s="37" t="str">
        <x:v>g</x:v>
      </x:c>
      <x:c r="H150" s="37" t="str">
        <x:v>THÙNG</x:v>
      </x:c>
      <x:c r="I150" s="59" t="n">
        <x:v>0</x:v>
      </x:c>
      <x:c r="J150" s="59" t="n">
        <x:v>410000</x:v>
      </x:c>
      <x:c r="K150" s="83" t="n">
        <x:v>0</x:v>
      </x:c>
    </x:row>
    <x:row r="151">
      <x:c r="A151" s="71" t="str">
        <x:v>THẠCH 3D MATCHA NHỎ - THÙNG</x:v>
      </x:c>
      <x:c r="B151" s="37" t="str">
        <x:v>3DMATNT</x:v>
      </x:c>
      <x:c r="C151" s="37" t="str">
        <x:v>3DMATNT</x:v>
      </x:c>
      <x:c r="D151" s="37" t="str">
        <x:v>3DMATN</x:v>
      </x:c>
      <x:c r="E151" s="37" t="n">
        <x:v>6</x:v>
      </x:c>
      <x:c r="F151" s="37" t="n">
        <x:v>16000</x:v>
      </x:c>
      <x:c r="G151" s="37" t="str">
        <x:v>g</x:v>
      </x:c>
      <x:c r="H151" s="37" t="str">
        <x:v>THÙNG</x:v>
      </x:c>
      <x:c r="I151" s="59" t="n">
        <x:v>0</x:v>
      </x:c>
      <x:c r="J151" s="59" t="n">
        <x:v>410000</x:v>
      </x:c>
      <x:c r="K151" s="83" t="n">
        <x:v>0</x:v>
      </x:c>
    </x:row>
    <x:row r="152">
      <x:c r="A152" s="71" t="str">
        <x:v>THẠCH 3D MATCHA LỚN - THÙNG</x:v>
      </x:c>
      <x:c r="B152" s="37" t="str">
        <x:v>3DMATLT</x:v>
      </x:c>
      <x:c r="C152" s="37" t="str">
        <x:v>3DMATLT</x:v>
      </x:c>
      <x:c r="D152" s="37" t="str">
        <x:v>3DMATL</x:v>
      </x:c>
      <x:c r="E152" s="37" t="n">
        <x:v>6</x:v>
      </x:c>
      <x:c r="F152" s="37" t="n">
        <x:v>16000</x:v>
      </x:c>
      <x:c r="G152" s="37" t="str">
        <x:v>g</x:v>
      </x:c>
      <x:c r="H152" s="37" t="str">
        <x:v>THÙNG</x:v>
      </x:c>
      <x:c r="I152" s="59" t="n">
        <x:v>0</x:v>
      </x:c>
      <x:c r="J152" s="59" t="n">
        <x:v>410000</x:v>
      </x:c>
      <x:c r="K152" s="83" t="n">
        <x:v>0</x:v>
      </x:c>
    </x:row>
    <x:row r="153">
      <x:c r="A153" s="71" t="str">
        <x:v>THẠCH MH 3D DƯA XANH - THÙNG</x:v>
      </x:c>
      <x:c r="B153" s="37" t="str">
        <x:v>3DMHDXT</x:v>
      </x:c>
      <x:c r="C153" s="37" t="str">
        <x:v>3DMHDXT</x:v>
      </x:c>
      <x:c r="D153" s="37" t="str">
        <x:v>3DMHDX</x:v>
      </x:c>
      <x:c r="E153" s="37" t="n">
        <x:v>8</x:v>
      </x:c>
      <x:c r="F153" s="37" t="n">
        <x:v>21000</x:v>
      </x:c>
      <x:c r="G153" s="37" t="str">
        <x:v>g</x:v>
      </x:c>
      <x:c r="H153" s="37" t="str">
        <x:v>THÙNG</x:v>
      </x:c>
      <x:c r="I153" s="59" t="n">
        <x:v>0</x:v>
      </x:c>
      <x:c r="J153" s="59" t="n">
        <x:v>0</x:v>
      </x:c>
      <x:c r="K153" s="83" t="n">
        <x:v>0</x:v>
      </x:c>
    </x:row>
    <x:row r="154">
      <x:c r="A154" s="71" t="str">
        <x:v>THẠCH MH 3D DƯA VÀNG - THÙNG</x:v>
      </x:c>
      <x:c r="B154" s="37" t="str">
        <x:v>3DMHDVT</x:v>
      </x:c>
      <x:c r="C154" s="37" t="str">
        <x:v>3DMHDVT</x:v>
      </x:c>
      <x:c r="D154" s="37" t="str">
        <x:v>3DMHDV</x:v>
      </x:c>
      <x:c r="E154" s="37" t="n">
        <x:v>8</x:v>
      </x:c>
      <x:c r="F154" s="37" t="n">
        <x:v>21000</x:v>
      </x:c>
      <x:c r="G154" s="37" t="str">
        <x:v>g</x:v>
      </x:c>
      <x:c r="H154" s="37" t="str">
        <x:v>THÙNG</x:v>
      </x:c>
      <x:c r="I154" s="59" t="n">
        <x:v>0</x:v>
      </x:c>
      <x:c r="J154" s="59" t="n">
        <x:v>0</x:v>
      </x:c>
      <x:c r="K154" s="83" t="n">
        <x:v>0</x:v>
      </x:c>
    </x:row>
    <x:row r="155">
      <x:c r="A155" s="71" t="str">
        <x:v>THẠCH 3D DỪA NHỎ - THÙNG</x:v>
      </x:c>
      <x:c r="B155" s="37" t="str">
        <x:v>3DDUANT</x:v>
      </x:c>
      <x:c r="C155" s="37" t="str">
        <x:v>3DDUANT</x:v>
      </x:c>
      <x:c r="D155" s="37" t="str">
        <x:v>3DDUAN</x:v>
      </x:c>
      <x:c r="E155" s="37" t="n">
        <x:v>6</x:v>
      </x:c>
      <x:c r="F155" s="37" t="n">
        <x:v>16000</x:v>
      </x:c>
      <x:c r="G155" s="37" t="str">
        <x:v>g</x:v>
      </x:c>
      <x:c r="H155" s="37" t="str">
        <x:v>THÙNG</x:v>
      </x:c>
      <x:c r="I155" s="59" t="n">
        <x:v>0</x:v>
      </x:c>
      <x:c r="J155" s="59" t="n">
        <x:v>410000</x:v>
      </x:c>
      <x:c r="K155" s="83" t="n">
        <x:v>0</x:v>
      </x:c>
    </x:row>
    <x:row r="156">
      <x:c r="A156" s="71" t="str">
        <x:v>THẠCH MH 3D DỪA - THÙNG</x:v>
      </x:c>
      <x:c r="B156" s="37" t="str">
        <x:v>3DMHDUT</x:v>
      </x:c>
      <x:c r="C156" s="37" t="str">
        <x:v>3DMHDUT</x:v>
      </x:c>
      <x:c r="D156" s="37" t="str">
        <x:v>3DMHDU</x:v>
      </x:c>
      <x:c r="E156" s="37" t="n">
        <x:v>8</x:v>
      </x:c>
      <x:c r="F156" s="37" t="n">
        <x:v>21000</x:v>
      </x:c>
      <x:c r="G156" s="37" t="str">
        <x:v>g</x:v>
      </x:c>
      <x:c r="H156" s="37" t="str">
        <x:v>THÙNG</x:v>
      </x:c>
      <x:c r="I156" s="59" t="n">
        <x:v>0</x:v>
      </x:c>
      <x:c r="J156" s="59" t="n">
        <x:v>0</x:v>
      </x:c>
      <x:c r="K156" s="83" t="n">
        <x:v>0</x:v>
      </x:c>
    </x:row>
    <x:row r="157">
      <x:c r="A157" s="71" t="str">
        <x:v>THẠCH 3D DỪA LỚN - THÙNG</x:v>
      </x:c>
      <x:c r="B157" s="37" t="str">
        <x:v>3DDUALT</x:v>
      </x:c>
      <x:c r="C157" s="37" t="str">
        <x:v>3DDUALT</x:v>
      </x:c>
      <x:c r="D157" s="37" t="str">
        <x:v>3DDUAL</x:v>
      </x:c>
      <x:c r="E157" s="37" t="n">
        <x:v>6</x:v>
      </x:c>
      <x:c r="F157" s="37" t="n">
        <x:v>16000</x:v>
      </x:c>
      <x:c r="G157" s="37" t="str">
        <x:v>g</x:v>
      </x:c>
      <x:c r="H157" s="37" t="str">
        <x:v>THÙNG</x:v>
      </x:c>
      <x:c r="I157" s="59" t="n">
        <x:v>0</x:v>
      </x:c>
      <x:c r="J157" s="59" t="n">
        <x:v>410000</x:v>
      </x:c>
      <x:c r="K157" s="83" t="n">
        <x:v>0</x:v>
      </x:c>
    </x:row>
    <x:row r="158">
      <x:c r="A158" s="71" t="str">
        <x:v>THẠCH MH 3D DÂU - THÙNG</x:v>
      </x:c>
      <x:c r="B158" s="37" t="str">
        <x:v>3DMHDAT</x:v>
      </x:c>
      <x:c r="C158" s="37" t="str">
        <x:v>3DMHDAT</x:v>
      </x:c>
      <x:c r="D158" s="37" t="str">
        <x:v>3DMHDA</x:v>
      </x:c>
      <x:c r="E158" s="37" t="n">
        <x:v>8</x:v>
      </x:c>
      <x:c r="F158" s="37" t="n">
        <x:v>21000</x:v>
      </x:c>
      <x:c r="G158" s="37" t="str">
        <x:v>g</x:v>
      </x:c>
      <x:c r="H158" s="37" t="str">
        <x:v>THÙNG</x:v>
      </x:c>
      <x:c r="I158" s="59" t="n">
        <x:v>0</x:v>
      </x:c>
      <x:c r="J158" s="59" t="n">
        <x:v>0</x:v>
      </x:c>
      <x:c r="K158" s="83" t="n">
        <x:v>0</x:v>
      </x:c>
    </x:row>
    <x:row r="159">
      <x:c r="A159" s="71" t="str">
        <x:v>THẠCH 3D DÂU LỚN - THÙNG</x:v>
      </x:c>
      <x:c r="B159" s="37" t="str">
        <x:v>3DDAULT</x:v>
      </x:c>
      <x:c r="C159" s="37" t="str">
        <x:v>3DDAULT</x:v>
      </x:c>
      <x:c r="D159" s="37" t="str">
        <x:v>3DDAUL</x:v>
      </x:c>
      <x:c r="E159" s="37" t="n">
        <x:v>6</x:v>
      </x:c>
      <x:c r="F159" s="37" t="n">
        <x:v>16000</x:v>
      </x:c>
      <x:c r="G159" s="37" t="str">
        <x:v>g</x:v>
      </x:c>
      <x:c r="H159" s="37" t="str">
        <x:v>THÙNG</x:v>
      </x:c>
      <x:c r="I159" s="59" t="n">
        <x:v>0</x:v>
      </x:c>
      <x:c r="J159" s="59" t="n">
        <x:v>410000</x:v>
      </x:c>
      <x:c r="K159" s="83" t="n">
        <x:v>0</x:v>
      </x:c>
    </x:row>
    <x:row r="160">
      <x:c r="A160" s="71" t="str">
        <x:v>THẠCH MH 3D CỐM - THÙNG</x:v>
      </x:c>
      <x:c r="B160" s="37" t="str">
        <x:v>3DMHCOT</x:v>
      </x:c>
      <x:c r="C160" s="37" t="str">
        <x:v>3DMHCOT</x:v>
      </x:c>
      <x:c r="D160" s="37" t="str">
        <x:v>3DMHCO</x:v>
      </x:c>
      <x:c r="E160" s="37" t="n">
        <x:v>8</x:v>
      </x:c>
      <x:c r="F160" s="37" t="n">
        <x:v>21000</x:v>
      </x:c>
      <x:c r="G160" s="37" t="str">
        <x:v>g</x:v>
      </x:c>
      <x:c r="H160" s="37" t="str">
        <x:v>THÙNG</x:v>
      </x:c>
      <x:c r="I160" s="59" t="n">
        <x:v>0</x:v>
      </x:c>
      <x:c r="J160" s="59" t="n">
        <x:v>0</x:v>
      </x:c>
      <x:c r="K160" s="83" t="n">
        <x:v>0</x:v>
      </x:c>
    </x:row>
    <x:row r="161">
      <x:c r="A161" s="71" t="str">
        <x:v>THẠCH 3D CAFE LỚN - THÙNG</x:v>
      </x:c>
      <x:c r="B161" s="37" t="str">
        <x:v>3DCFELT</x:v>
      </x:c>
      <x:c r="C161" s="37" t="str">
        <x:v>3DCFELT</x:v>
      </x:c>
      <x:c r="D161" s="37" t="str">
        <x:v>3DCFEL</x:v>
      </x:c>
      <x:c r="E161" s="37" t="n">
        <x:v>6</x:v>
      </x:c>
      <x:c r="F161" s="37" t="n">
        <x:v>16000</x:v>
      </x:c>
      <x:c r="G161" s="37" t="str">
        <x:v>g</x:v>
      </x:c>
      <x:c r="H161" s="37" t="str">
        <x:v>THÙNG</x:v>
      </x:c>
      <x:c r="I161" s="59" t="n">
        <x:v>0</x:v>
      </x:c>
      <x:c r="J161" s="59" t="n">
        <x:v>410000</x:v>
      </x:c>
      <x:c r="K161" s="83" t="n">
        <x:v>0</x:v>
      </x:c>
    </x:row>
    <x:row r="162">
      <x:c r="A162" s="71" t="str">
        <x:v>TƯƠNG HÀN - THÙNG</x:v>
      </x:c>
      <x:c r="B162" s="37" t="str">
        <x:v>TGHANNT</x:v>
      </x:c>
      <x:c r="C162" s="37" t="str">
        <x:v>TGHANNT</x:v>
      </x:c>
      <x:c r="D162" s="37" t="str">
        <x:v>TGHANN</x:v>
      </x:c>
      <x:c r="E162" s="37" t="n">
        <x:v>14</x:v>
      </x:c>
      <x:c r="F162" s="37" t="n">
        <x:v>14000</x:v>
      </x:c>
      <x:c r="G162" s="37" t="str">
        <x:v>g</x:v>
      </x:c>
      <x:c r="H162" s="37" t="str">
        <x:v>THÙNG</x:v>
      </x:c>
      <x:c r="I162" s="59" t="n">
        <x:v>0</x:v>
      </x:c>
      <x:c r="J162" s="59" t="n">
        <x:v>840000</x:v>
      </x:c>
      <x:c r="K162" s="83" t="n">
        <x:v>0</x:v>
      </x:c>
    </x:row>
    <x:row r="163">
      <x:c r="A163" s="71" t="str">
        <x:v>TORANI VIỆT QUỐC - THÙNG</x:v>
      </x:c>
      <x:c r="B163" s="37" t="str">
        <x:v>TORVQUT</x:v>
      </x:c>
      <x:c r="C163" s="37" t="str">
        <x:v>TORVQUT</x:v>
      </x:c>
      <x:c r="D163" s="37" t="str">
        <x:v>TORVQU</x:v>
      </x:c>
      <x:c r="E163" s="37" t="n">
        <x:v>12</x:v>
      </x:c>
      <x:c r="F163" s="37" t="n">
        <x:v>16000</x:v>
      </x:c>
      <x:c r="G163" s="37" t="str">
        <x:v>g</x:v>
      </x:c>
      <x:c r="H163" s="37" t="str">
        <x:v>THÙNG</x:v>
      </x:c>
      <x:c r="I163" s="59" t="n">
        <x:v>0</x:v>
      </x:c>
      <x:c r="J163" s="59" t="n">
        <x:v>0</x:v>
      </x:c>
      <x:c r="K163" s="83" t="n">
        <x:v>0</x:v>
      </x:c>
    </x:row>
    <x:row r="164">
      <x:c r="A164" s="71" t="str">
        <x:v>TORANI VẢI - THÙNG</x:v>
      </x:c>
      <x:c r="B164" s="37" t="str">
        <x:v>TORVAIT</x:v>
      </x:c>
      <x:c r="C164" s="37" t="str">
        <x:v>TORVAIT</x:v>
      </x:c>
      <x:c r="D164" s="37" t="str">
        <x:v>TORVAI</x:v>
      </x:c>
      <x:c r="E164" s="37" t="n">
        <x:v>12</x:v>
      </x:c>
      <x:c r="F164" s="37" t="n">
        <x:v>16000</x:v>
      </x:c>
      <x:c r="G164" s="37" t="str">
        <x:v>g</x:v>
      </x:c>
      <x:c r="H164" s="37" t="str">
        <x:v>THÙNG</x:v>
      </x:c>
      <x:c r="I164" s="59" t="n">
        <x:v>0</x:v>
      </x:c>
      <x:c r="J164" s="59" t="n">
        <x:v>0</x:v>
      </x:c>
      <x:c r="K164" s="83" t="n">
        <x:v>0</x:v>
      </x:c>
    </x:row>
    <x:row r="165">
      <x:c r="A165" s="71" t="str">
        <x:v>TORANI TÁO - THÙNG</x:v>
      </x:c>
      <x:c r="B165" s="37" t="str">
        <x:v>TORTAOT</x:v>
      </x:c>
      <x:c r="C165" s="37" t="str">
        <x:v>TORTAOT</x:v>
      </x:c>
      <x:c r="D165" s="37" t="str">
        <x:v>TORTAO</x:v>
      </x:c>
      <x:c r="E165" s="37" t="n">
        <x:v>12</x:v>
      </x:c>
      <x:c r="F165" s="37" t="n">
        <x:v>16000</x:v>
      </x:c>
      <x:c r="G165" s="37" t="str">
        <x:v>g</x:v>
      </x:c>
      <x:c r="H165" s="37" t="str">
        <x:v>THÙNG</x:v>
      </x:c>
      <x:c r="I165" s="59" t="n">
        <x:v>0</x:v>
      </x:c>
      <x:c r="J165" s="59" t="n">
        <x:v>0</x:v>
      </x:c>
      <x:c r="K165" s="83" t="n">
        <x:v>0</x:v>
      </x:c>
    </x:row>
    <x:row r="166">
      <x:c r="A166" s="71" t="str">
        <x:v>TORANI ỔI - THÙNG</x:v>
      </x:c>
      <x:c r="B166" s="37" t="str">
        <x:v>TOROIHT</x:v>
      </x:c>
      <x:c r="C166" s="37" t="str">
        <x:v>TOROIHT</x:v>
      </x:c>
      <x:c r="D166" s="37" t="str">
        <x:v>TOROIH</x:v>
      </x:c>
      <x:c r="E166" s="37" t="n">
        <x:v>12</x:v>
      </x:c>
      <x:c r="F166" s="37" t="n">
        <x:v>16000</x:v>
      </x:c>
      <x:c r="G166" s="37" t="str">
        <x:v>g</x:v>
      </x:c>
      <x:c r="H166" s="37" t="str">
        <x:v>THÙNG</x:v>
      </x:c>
      <x:c r="I166" s="59" t="n">
        <x:v>0</x:v>
      </x:c>
      <x:c r="J166" s="59" t="n">
        <x:v>0</x:v>
      </x:c>
      <x:c r="K166" s="83" t="n">
        <x:v>0</x:v>
      </x:c>
    </x:row>
    <x:row r="167">
      <x:c r="A167" s="71" t="str">
        <x:v>TORANI NHÃN - THÙNG</x:v>
      </x:c>
      <x:c r="B167" s="37" t="str">
        <x:v>TORNHAT</x:v>
      </x:c>
      <x:c r="C167" s="37" t="str">
        <x:v>TORNHAT</x:v>
      </x:c>
      <x:c r="D167" s="37" t="str">
        <x:v>TORNHA</x:v>
      </x:c>
      <x:c r="E167" s="37" t="n">
        <x:v>12</x:v>
      </x:c>
      <x:c r="F167" s="37" t="n">
        <x:v>16000</x:v>
      </x:c>
      <x:c r="G167" s="37" t="str">
        <x:v>g</x:v>
      </x:c>
      <x:c r="H167" s="37" t="str">
        <x:v>THÙNG</x:v>
      </x:c>
      <x:c r="I167" s="59" t="n">
        <x:v>0</x:v>
      </x:c>
      <x:c r="J167" s="59" t="n">
        <x:v>0</x:v>
      </x:c>
      <x:c r="K167" s="83" t="n">
        <x:v>0</x:v>
      </x:c>
    </x:row>
    <x:row r="168">
      <x:c r="A168" s="71" t="str">
        <x:v>TORANI MOJITO - THÙNG</x:v>
      </x:c>
      <x:c r="B168" s="37" t="str">
        <x:v>TORMJTT</x:v>
      </x:c>
      <x:c r="C168" s="37" t="str">
        <x:v>TORMJTT</x:v>
      </x:c>
      <x:c r="D168" s="37" t="str">
        <x:v>TORMJT</x:v>
      </x:c>
      <x:c r="E168" s="37" t="n">
        <x:v>12</x:v>
      </x:c>
      <x:c r="F168" s="37" t="n">
        <x:v>16000</x:v>
      </x:c>
      <x:c r="G168" s="37" t="str">
        <x:v>g</x:v>
      </x:c>
      <x:c r="H168" s="37" t="str">
        <x:v>THÙNG</x:v>
      </x:c>
      <x:c r="I168" s="59" t="n">
        <x:v>0</x:v>
      </x:c>
      <x:c r="J168" s="59" t="n">
        <x:v>0</x:v>
      </x:c>
      <x:c r="K168" s="83" t="n">
        <x:v>0</x:v>
      </x:c>
    </x:row>
    <x:row r="169">
      <x:c r="A169" s="71" t="str">
        <x:v>TORANI LỰU - THÙNG</x:v>
      </x:c>
      <x:c r="B169" s="37" t="str">
        <x:v>TORLUUT</x:v>
      </x:c>
      <x:c r="C169" s="37" t="str">
        <x:v>TORLUUT</x:v>
      </x:c>
      <x:c r="D169" s="37" t="str">
        <x:v>TORLUU</x:v>
      </x:c>
      <x:c r="E169" s="37" t="n">
        <x:v>12</x:v>
      </x:c>
      <x:c r="F169" s="37" t="n">
        <x:v>16000</x:v>
      </x:c>
      <x:c r="G169" s="37" t="str">
        <x:v>g</x:v>
      </x:c>
      <x:c r="H169" s="37" t="str">
        <x:v>THÙNG</x:v>
      </x:c>
      <x:c r="I169" s="59" t="n">
        <x:v>0</x:v>
      </x:c>
      <x:c r="J169" s="59" t="n">
        <x:v>0</x:v>
      </x:c>
      <x:c r="K169" s="83" t="n">
        <x:v>0</x:v>
      </x:c>
    </x:row>
    <x:row r="170">
      <x:c r="A170" s="71" t="str">
        <x:v>TORANI HẠT DẺ - THÙNG</x:v>
      </x:c>
      <x:c r="B170" s="37" t="str">
        <x:v>TORHDET</x:v>
      </x:c>
      <x:c r="C170" s="37" t="str">
        <x:v>TORHDET</x:v>
      </x:c>
      <x:c r="D170" s="37" t="str">
        <x:v>TORHDE</x:v>
      </x:c>
      <x:c r="E170" s="37" t="n">
        <x:v>12</x:v>
      </x:c>
      <x:c r="F170" s="37" t="n">
        <x:v>16000</x:v>
      </x:c>
      <x:c r="G170" s="37" t="str">
        <x:v>g</x:v>
      </x:c>
      <x:c r="H170" s="37" t="str">
        <x:v>THÙNG</x:v>
      </x:c>
      <x:c r="I170" s="59" t="n">
        <x:v>0</x:v>
      </x:c>
      <x:c r="J170" s="59" t="n">
        <x:v>0</x:v>
      </x:c>
      <x:c r="K170" s="83" t="n">
        <x:v>0</x:v>
      </x:c>
    </x:row>
    <x:row r="171">
      <x:c r="A171" s="71" t="str">
        <x:v>TORANI ĐÀO - THÙNG</x:v>
      </x:c>
      <x:c r="B171" s="37" t="str">
        <x:v>TORDAOT</x:v>
      </x:c>
      <x:c r="C171" s="37" t="str">
        <x:v>TORDAOT</x:v>
      </x:c>
      <x:c r="D171" s="37" t="str">
        <x:v>TORDAO</x:v>
      </x:c>
      <x:c r="E171" s="37" t="n">
        <x:v>12</x:v>
      </x:c>
      <x:c r="F171" s="37" t="n">
        <x:v>16000</x:v>
      </x:c>
      <x:c r="G171" s="37" t="str">
        <x:v>g</x:v>
      </x:c>
      <x:c r="H171" s="37" t="str">
        <x:v>THÙNG</x:v>
      </x:c>
      <x:c r="I171" s="59" t="n">
        <x:v>0</x:v>
      </x:c>
      <x:c r="J171" s="59" t="n">
        <x:v>0</x:v>
      </x:c>
      <x:c r="K171" s="83" t="n">
        <x:v>0</x:v>
      </x:c>
    </x:row>
    <x:row r="172">
      <x:c r="A172" s="71" t="str">
        <x:v>TORANI DÂU - THÙNG</x:v>
      </x:c>
      <x:c r="B172" s="37" t="str">
        <x:v>TORDAUT</x:v>
      </x:c>
      <x:c r="C172" s="37" t="str">
        <x:v>TORDAUT</x:v>
      </x:c>
      <x:c r="D172" s="37" t="str">
        <x:v>TORDAU</x:v>
      </x:c>
      <x:c r="E172" s="37" t="n">
        <x:v>12</x:v>
      </x:c>
      <x:c r="F172" s="37" t="n">
        <x:v>16000</x:v>
      </x:c>
      <x:c r="G172" s="37" t="str">
        <x:v>g</x:v>
      </x:c>
      <x:c r="H172" s="37" t="str">
        <x:v>THÙNG</x:v>
      </x:c>
      <x:c r="I172" s="59" t="n">
        <x:v>0</x:v>
      </x:c>
      <x:c r="J172" s="59" t="n">
        <x:v>0</x:v>
      </x:c>
      <x:c r="K172" s="83" t="n">
        <x:v>0</x:v>
      </x:c>
    </x:row>
    <x:row r="173">
      <x:c r="A173" s="71" t="str">
        <x:v>TORANI CHANH DÂY - THÙNG</x:v>
      </x:c>
      <x:c r="B173" s="37" t="str">
        <x:v>TORCDAT</x:v>
      </x:c>
      <x:c r="C173" s="37" t="str">
        <x:v>TORCDAT</x:v>
      </x:c>
      <x:c r="D173" s="37" t="str">
        <x:v>TORCDA</x:v>
      </x:c>
      <x:c r="E173" s="37" t="n">
        <x:v>12</x:v>
      </x:c>
      <x:c r="F173" s="37" t="n">
        <x:v>16000</x:v>
      </x:c>
      <x:c r="G173" s="37" t="str">
        <x:v>g</x:v>
      </x:c>
      <x:c r="H173" s="37" t="str">
        <x:v>THÙNG</x:v>
      </x:c>
      <x:c r="I173" s="59" t="n">
        <x:v>0</x:v>
      </x:c>
      <x:c r="J173" s="59" t="n">
        <x:v>0</x:v>
      </x:c>
      <x:c r="K173" s="83" t="n">
        <x:v>0</x:v>
      </x:c>
    </x:row>
    <x:row r="174">
      <x:c r="A174" s="71" t="str">
        <x:v>TORANI BLUE CURACAO - THÙNG</x:v>
      </x:c>
      <x:c r="B174" s="37" t="str">
        <x:v>TORBLCT</x:v>
      </x:c>
      <x:c r="C174" s="37" t="str">
        <x:v>TORBLCT</x:v>
      </x:c>
      <x:c r="D174" s="37" t="str">
        <x:v>TORBLC</x:v>
      </x:c>
      <x:c r="E174" s="37" t="n">
        <x:v>12</x:v>
      </x:c>
      <x:c r="F174" s="37" t="n">
        <x:v>16000</x:v>
      </x:c>
      <x:c r="G174" s="37" t="str">
        <x:v>g</x:v>
      </x:c>
      <x:c r="H174" s="37" t="str">
        <x:v>THÙNG</x:v>
      </x:c>
      <x:c r="I174" s="59" t="n">
        <x:v>0</x:v>
      </x:c>
      <x:c r="J174" s="59" t="n">
        <x:v>0</x:v>
      </x:c>
      <x:c r="K174" s="83" t="n">
        <x:v>0</x:v>
      </x:c>
    </x:row>
    <x:row r="175">
      <x:c r="A175" s="71" t="str">
        <x:v>TORANI BẠC HÀ XANH - THÙNG</x:v>
      </x:c>
      <x:c r="B175" s="37" t="str">
        <x:v>TORBHXT</x:v>
      </x:c>
      <x:c r="C175" s="37" t="str">
        <x:v>TORBHXT</x:v>
      </x:c>
      <x:c r="D175" s="37" t="str">
        <x:v>TORBHX</x:v>
      </x:c>
      <x:c r="E175" s="37" t="n">
        <x:v>12</x:v>
      </x:c>
      <x:c r="F175" s="37" t="n">
        <x:v>16000</x:v>
      </x:c>
      <x:c r="G175" s="37" t="str">
        <x:v>g</x:v>
      </x:c>
      <x:c r="H175" s="37" t="str">
        <x:v>THÙNG</x:v>
      </x:c>
      <x:c r="I175" s="59" t="n">
        <x:v>0</x:v>
      </x:c>
      <x:c r="J175" s="59" t="n">
        <x:v>0</x:v>
      </x:c>
      <x:c r="K175" s="83" t="n">
        <x:v>0</x:v>
      </x:c>
    </x:row>
    <x:row r="176">
      <x:c r="A176" s="71" t="str">
        <x:v>TCHK 3KG 2.5 - THÙNG</x:v>
      </x:c>
      <x:c r="B176" s="37" t="str">
        <x:v>TCHK35T</x:v>
      </x:c>
      <x:c r="C176" s="37" t="str">
        <x:v>TCHK35T</x:v>
      </x:c>
      <x:c r="D176" s="37" t="str">
        <x:v>TCHK35</x:v>
      </x:c>
      <x:c r="E176" s="37" t="n">
        <x:v>6</x:v>
      </x:c>
      <x:c r="F176" s="37" t="n">
        <x:v>19000</x:v>
      </x:c>
      <x:c r="G176" s="37" t="str">
        <x:v>g</x:v>
      </x:c>
      <x:c r="H176" s="37" t="str">
        <x:v>THÙNG</x:v>
      </x:c>
      <x:c r="I176" s="59" t="n">
        <x:v>0</x:v>
      </x:c>
      <x:c r="J176" s="59" t="n">
        <x:v>555000</x:v>
      </x:c>
      <x:c r="K176" s="83" t="n">
        <x:v>0</x:v>
      </x:c>
    </x:row>
    <x:row r="177">
      <x:c r="A177" s="71" t="str">
        <x:v>TCHK 3KG 2.2 - THÙNG</x:v>
      </x:c>
      <x:c r="B177" s="37" t="str">
        <x:v>TCHK32T</x:v>
      </x:c>
      <x:c r="C177" s="37" t="str">
        <x:v>TCHK32T</x:v>
      </x:c>
      <x:c r="D177" s="37" t="str">
        <x:v>TCHK32</x:v>
      </x:c>
      <x:c r="E177" s="37" t="n">
        <x:v>6</x:v>
      </x:c>
      <x:c r="F177" s="37" t="n">
        <x:v>19000</x:v>
      </x:c>
      <x:c r="G177" s="37" t="str">
        <x:v>g</x:v>
      </x:c>
      <x:c r="H177" s="37" t="str">
        <x:v>THÙNG</x:v>
      </x:c>
      <x:c r="I177" s="59" t="n">
        <x:v>0</x:v>
      </x:c>
      <x:c r="J177" s="59" t="n">
        <x:v>555000</x:v>
      </x:c>
      <x:c r="K177" s="83" t="n">
        <x:v>0</x:v>
      </x:c>
    </x:row>
    <x:row r="178">
      <x:c r="A178" s="71" t="str">
        <x:v>TCHK 1KG 2.5 - THÙNG</x:v>
      </x:c>
      <x:c r="B178" s="37" t="str">
        <x:v>TCHK15T</x:v>
      </x:c>
      <x:c r="C178" s="37" t="str">
        <x:v>TCHK15T</x:v>
      </x:c>
      <x:c r="D178" s="37" t="str">
        <x:v>TCHK15</x:v>
      </x:c>
      <x:c r="E178" s="37" t="n">
        <x:v>18</x:v>
      </x:c>
      <x:c r="F178" s="37" t="n">
        <x:v>19000</x:v>
      </x:c>
      <x:c r="G178" s="37" t="str">
        <x:v>g</x:v>
      </x:c>
      <x:c r="H178" s="37" t="str">
        <x:v>THÙNG</x:v>
      </x:c>
      <x:c r="I178" s="59" t="n">
        <x:v>0</x:v>
      </x:c>
      <x:c r="J178" s="59" t="n">
        <x:v>0</x:v>
      </x:c>
      <x:c r="K178" s="83" t="n">
        <x:v>0</x:v>
      </x:c>
    </x:row>
    <x:row r="179">
      <x:c r="A179" s="71" t="str">
        <x:v>TCHK 1KG 2.2 - THÙNG</x:v>
      </x:c>
      <x:c r="B179" s="37" t="str">
        <x:v>TCHK12T</x:v>
      </x:c>
      <x:c r="C179" s="37" t="str">
        <x:v>TCHK12T</x:v>
      </x:c>
      <x:c r="D179" s="37" t="str">
        <x:v>TCHK12</x:v>
      </x:c>
      <x:c r="E179" s="37" t="n">
        <x:v>18</x:v>
      </x:c>
      <x:c r="F179" s="37" t="n">
        <x:v>19000</x:v>
      </x:c>
      <x:c r="G179" s="37" t="str">
        <x:v>g</x:v>
      </x:c>
      <x:c r="H179" s="37" t="str">
        <x:v>THÙNG</x:v>
      </x:c>
      <x:c r="I179" s="59" t="n">
        <x:v>0</x:v>
      </x:c>
      <x:c r="J179" s="59" t="n">
        <x:v>530000</x:v>
      </x:c>
      <x:c r="K179" s="83" t="n">
        <x:v>0</x:v>
      </x:c>
    </x:row>
    <x:row r="180">
      <x:c r="A180" s="71" t="str">
        <x:v>TCĐĐ KUNHAN 3KG - THÙNG</x:v>
      </x:c>
      <x:c r="B180" s="37" t="str">
        <x:v>KH3KDDT</x:v>
      </x:c>
      <x:c r="C180" s="37" t="str">
        <x:v>KH3KDDT</x:v>
      </x:c>
      <x:c r="D180" s="37" t="str">
        <x:v>KH3KDD</x:v>
      </x:c>
      <x:c r="E180" s="37" t="n">
        <x:v>6</x:v>
      </x:c>
      <x:c r="F180" s="37" t="n">
        <x:v>19000</x:v>
      </x:c>
      <x:c r="G180" s="37" t="str">
        <x:v>g</x:v>
      </x:c>
      <x:c r="H180" s="37" t="str">
        <x:v>THÙNG</x:v>
      </x:c>
      <x:c r="I180" s="59" t="n">
        <x:v>0</x:v>
      </x:c>
      <x:c r="J180" s="59" t="n">
        <x:v>465000</x:v>
      </x:c>
      <x:c r="K180" s="83" t="n">
        <x:v>0</x:v>
      </x:c>
    </x:row>
    <x:row r="181">
      <x:c r="A181" s="71" t="str">
        <x:v>TCĐĐ KUNHAN 2KG - THÙNG</x:v>
      </x:c>
      <x:c r="B181" s="37" t="str">
        <x:v>KH2KDDT</x:v>
      </x:c>
      <x:c r="C181" s="37" t="str">
        <x:v>KH2KDDT</x:v>
      </x:c>
      <x:c r="D181" s="37" t="str">
        <x:v>KH2KDD</x:v>
      </x:c>
      <x:c r="E181" s="37" t="n">
        <x:v>10</x:v>
      </x:c>
      <x:c r="F181" s="37" t="n">
        <x:v>20</x:v>
      </x:c>
      <x:c r="G181" s="37" t="str">
        <x:v>kg</x:v>
      </x:c>
      <x:c r="H181" s="37" t="str">
        <x:v>THÙNG</x:v>
      </x:c>
      <x:c r="I181" s="59" t="n">
        <x:v>480000</x:v>
      </x:c>
      <x:c r="J181" s="59" t="n">
        <x:v>500000</x:v>
      </x:c>
      <x:c r="K181" s="83" t="n">
        <x:v>0</x:v>
      </x:c>
    </x:row>
    <x:row r="182">
      <x:c r="A182" s="71" t="str">
        <x:v>TCĐĐ KUNHAN 1KG - THÙNG</x:v>
      </x:c>
      <x:c r="B182" s="37" t="str">
        <x:v>KH1KDDT</x:v>
      </x:c>
      <x:c r="C182" s="37" t="str">
        <x:v>KH1KDDT</x:v>
      </x:c>
      <x:c r="D182" s="37" t="str">
        <x:v>KH1KDD</x:v>
      </x:c>
      <x:c r="E182" s="37" t="n">
        <x:v>20</x:v>
      </x:c>
      <x:c r="F182" s="37" t="n">
        <x:v>21000</x:v>
      </x:c>
      <x:c r="G182" s="37" t="str">
        <x:v>g</x:v>
      </x:c>
      <x:c r="H182" s="37" t="str">
        <x:v>THÙNG</x:v>
      </x:c>
      <x:c r="I182" s="59" t="n">
        <x:v>0</x:v>
      </x:c>
      <x:c r="J182" s="59" t="n">
        <x:v>460000</x:v>
      </x:c>
      <x:c r="K182" s="83" t="n">
        <x:v>0</x:v>
      </x:c>
    </x:row>
    <x:row r="183">
      <x:c r="A183" s="71" t="str">
        <x:v>TC GIA UY ĐƯỜNG ĐEN - THÙNG</x:v>
      </x:c>
      <x:c r="B183" s="37" t="str">
        <x:v>TCDDGUT</x:v>
      </x:c>
      <x:c r="C183" s="37" t="str">
        <x:v>TCDDGUT</x:v>
      </x:c>
      <x:c r="D183" s="37" t="str">
        <x:v>TCDDGU</x:v>
      </x:c>
      <x:c r="E183" s="37" t="n">
        <x:v>10</x:v>
      </x:c>
      <x:c r="F183" s="37" t="n">
        <x:v>21000</x:v>
      </x:c>
      <x:c r="G183" s="37" t="str">
        <x:v>g</x:v>
      </x:c>
      <x:c r="H183" s="37" t="str">
        <x:v>THÙNG</x:v>
      </x:c>
      <x:c r="I183" s="59" t="n">
        <x:v>0</x:v>
      </x:c>
      <x:c r="J183" s="59" t="n">
        <x:v>570000</x:v>
      </x:c>
      <x:c r="K183" s="83" t="n">
        <x:v>0</x:v>
      </x:c>
    </x:row>
    <x:row r="184">
      <x:c r="A184" s="71" t="str">
        <x:v>TCĐĐ 3KG 2.5 - THÙNG</x:v>
      </x:c>
      <x:c r="B184" s="37" t="str">
        <x:v>TCDD35T</x:v>
      </x:c>
      <x:c r="C184" s="37" t="str">
        <x:v>TCDD35T</x:v>
      </x:c>
      <x:c r="D184" s="37" t="str">
        <x:v>TCDD35</x:v>
      </x:c>
      <x:c r="E184" s="37" t="n">
        <x:v>6</x:v>
      </x:c>
      <x:c r="F184" s="37" t="n">
        <x:v>19000</x:v>
      </x:c>
      <x:c r="G184" s="37" t="str">
        <x:v>g</x:v>
      </x:c>
      <x:c r="H184" s="37" t="str">
        <x:v>THÙNG</x:v>
      </x:c>
      <x:c r="I184" s="59" t="n">
        <x:v>0</x:v>
      </x:c>
      <x:c r="J184" s="59" t="n">
        <x:v>555000</x:v>
      </x:c>
      <x:c r="K184" s="83" t="n">
        <x:v>0</x:v>
      </x:c>
    </x:row>
    <x:row r="185">
      <x:c r="A185" s="71" t="str">
        <x:v>TCĐĐ 3KG 2.2 - THÙNG</x:v>
      </x:c>
      <x:c r="B185" s="37" t="str">
        <x:v>TCDD32T</x:v>
      </x:c>
      <x:c r="C185" s="37" t="str">
        <x:v>TCDD32T</x:v>
      </x:c>
      <x:c r="D185" s="37" t="str">
        <x:v>TCDD32</x:v>
      </x:c>
      <x:c r="E185" s="37" t="n">
        <x:v>6</x:v>
      </x:c>
      <x:c r="F185" s="37" t="n">
        <x:v>19000</x:v>
      </x:c>
      <x:c r="G185" s="37" t="str">
        <x:v>g</x:v>
      </x:c>
      <x:c r="H185" s="37" t="str">
        <x:v>THÙNG</x:v>
      </x:c>
      <x:c r="I185" s="59" t="n">
        <x:v>0</x:v>
      </x:c>
      <x:c r="J185" s="59" t="n">
        <x:v>555000</x:v>
      </x:c>
      <x:c r="K185" s="83" t="n">
        <x:v>0</x:v>
      </x:c>
    </x:row>
    <x:row r="186">
      <x:c r="A186" s="71" t="str">
        <x:v>TCĐĐ 2KG 2.5 - THÙNG</x:v>
      </x:c>
      <x:c r="B186" s="37" t="str">
        <x:v>TCDD25T</x:v>
      </x:c>
      <x:c r="C186" s="37" t="str">
        <x:v>TCDD25T</x:v>
      </x:c>
      <x:c r="D186" s="37" t="str">
        <x:v>TCDD25</x:v>
      </x:c>
      <x:c r="E186" s="37" t="n">
        <x:v>10</x:v>
      </x:c>
      <x:c r="F186" s="37" t="n">
        <x:v>19000</x:v>
      </x:c>
      <x:c r="G186" s="37" t="str">
        <x:v>g</x:v>
      </x:c>
      <x:c r="H186" s="37" t="str">
        <x:v>THÙNG</x:v>
      </x:c>
      <x:c r="I186" s="59" t="n">
        <x:v>0</x:v>
      </x:c>
      <x:c r="J186" s="59" t="n">
        <x:v>530000</x:v>
      </x:c>
      <x:c r="K186" s="83" t="n">
        <x:v>0</x:v>
      </x:c>
    </x:row>
    <x:row r="187">
      <x:c r="A187" s="71" t="str">
        <x:v>TCĐĐ 2KG 2.2 - THÙNG</x:v>
      </x:c>
      <x:c r="B187" s="37" t="str">
        <x:v>TCDD22T</x:v>
      </x:c>
      <x:c r="C187" s="37" t="str">
        <x:v>TCDD22T</x:v>
      </x:c>
      <x:c r="D187" s="37" t="str">
        <x:v>TCDD22</x:v>
      </x:c>
      <x:c r="E187" s="37" t="n">
        <x:v>10</x:v>
      </x:c>
      <x:c r="F187" s="37" t="n">
        <x:v>19000</x:v>
      </x:c>
      <x:c r="G187" s="37" t="str">
        <x:v>g</x:v>
      </x:c>
      <x:c r="H187" s="37" t="str">
        <x:v>THÙNG</x:v>
      </x:c>
      <x:c r="I187" s="59" t="n">
        <x:v>0</x:v>
      </x:c>
      <x:c r="J187" s="59" t="n">
        <x:v>530000</x:v>
      </x:c>
      <x:c r="K187" s="83" t="n">
        <x:v>0</x:v>
      </x:c>
    </x:row>
    <x:row r="188">
      <x:c r="A188" s="71" t="str">
        <x:v>TCĐĐ 1KG 2.5 - THÙNG</x:v>
      </x:c>
      <x:c r="B188" s="37" t="str">
        <x:v>TCDD15T</x:v>
      </x:c>
      <x:c r="C188" s="37" t="str">
        <x:v>TCDD15T</x:v>
      </x:c>
      <x:c r="D188" s="37" t="str">
        <x:v>TCDD15</x:v>
      </x:c>
      <x:c r="E188" s="37" t="n">
        <x:v>18</x:v>
      </x:c>
      <x:c r="F188" s="37" t="n">
        <x:v>19000</x:v>
      </x:c>
      <x:c r="G188" s="37" t="str">
        <x:v>g</x:v>
      </x:c>
      <x:c r="H188" s="37" t="str">
        <x:v>THÙNG</x:v>
      </x:c>
      <x:c r="I188" s="59" t="n">
        <x:v>0</x:v>
      </x:c>
      <x:c r="J188" s="59" t="n">
        <x:v>530000</x:v>
      </x:c>
      <x:c r="K188" s="83" t="n">
        <x:v>0</x:v>
      </x:c>
    </x:row>
    <x:row r="189">
      <x:c r="A189" s="71" t="str">
        <x:v>TCĐĐ 1KG 2.2 - THÙNG</x:v>
      </x:c>
      <x:c r="B189" s="37" t="str">
        <x:v>TCDD12T</x:v>
      </x:c>
      <x:c r="C189" s="37" t="str">
        <x:v>TCDD12T</x:v>
      </x:c>
      <x:c r="D189" s="37" t="str">
        <x:v>TCDD12</x:v>
      </x:c>
      <x:c r="E189" s="37" t="n">
        <x:v>18</x:v>
      </x:c>
      <x:c r="F189" s="37" t="n">
        <x:v>19000</x:v>
      </x:c>
      <x:c r="G189" s="37" t="str">
        <x:v>g</x:v>
      </x:c>
      <x:c r="H189" s="37" t="str">
        <x:v>THÙNG</x:v>
      </x:c>
      <x:c r="I189" s="59" t="n">
        <x:v>0</x:v>
      </x:c>
      <x:c r="J189" s="59" t="n">
        <x:v>530000</x:v>
      </x:c>
      <x:c r="K189" s="83" t="n">
        <x:v>0</x:v>
      </x:c>
    </x:row>
    <x:row r="190">
      <x:c r="A190" s="71" t="str">
        <x:v>TCĐĐ 1KG 1.0 - THÙNG</x:v>
      </x:c>
      <x:c r="B190" s="37" t="str">
        <x:v>TCDD10T</x:v>
      </x:c>
      <x:c r="C190" s="37" t="str">
        <x:v>TCDD10T</x:v>
      </x:c>
      <x:c r="D190" s="37" t="str">
        <x:v>TCDD10</x:v>
      </x:c>
      <x:c r="E190" s="37" t="n">
        <x:v>18</x:v>
      </x:c>
      <x:c r="F190" s="37" t="n">
        <x:v>19000</x:v>
      </x:c>
      <x:c r="G190" s="37" t="str">
        <x:v>g</x:v>
      </x:c>
      <x:c r="H190" s="37" t="str">
        <x:v>THÙNG</x:v>
      </x:c>
      <x:c r="I190" s="59" t="n">
        <x:v>0</x:v>
      </x:c>
      <x:c r="J190" s="59" t="n">
        <x:v>530000</x:v>
      </x:c>
      <x:c r="K190" s="83" t="n">
        <x:v>0</x:v>
      </x:c>
    </x:row>
    <x:row r="191">
      <x:c r="A191" s="71" t="str">
        <x:v>TCBN 3KG 2.2 - THÙNG</x:v>
      </x:c>
      <x:c r="B191" s="37" t="str">
        <x:v>TCBN32T</x:v>
      </x:c>
      <x:c r="C191" s="37" t="str">
        <x:v>TCBN32T</x:v>
      </x:c>
      <x:c r="D191" s="37" t="str">
        <x:v>TCBN32</x:v>
      </x:c>
      <x:c r="E191" s="37" t="n">
        <x:v>6</x:v>
      </x:c>
      <x:c r="F191" s="37" t="n">
        <x:v>1</x:v>
      </x:c>
      <x:c r="G191" s="37" t="str">
        <x:v>kg</x:v>
      </x:c>
      <x:c r="H191" s="37" t="str">
        <x:v>THÙNG</x:v>
      </x:c>
      <x:c r="I191" s="59" t="n">
        <x:v>0</x:v>
      </x:c>
      <x:c r="J191" s="59" t="n">
        <x:v>0</x:v>
      </x:c>
      <x:c r="K191" s="83" t="n">
        <x:v>0</x:v>
      </x:c>
    </x:row>
    <x:row r="192">
      <x:c r="A192" s="71" t="str">
        <x:v>TCBN 1KG 2.5 - THÙNG</x:v>
      </x:c>
      <x:c r="B192" s="37" t="str">
        <x:v>TCBN15T</x:v>
      </x:c>
      <x:c r="C192" s="37" t="str">
        <x:v>TCBN15T</x:v>
      </x:c>
      <x:c r="D192" s="37" t="str">
        <x:v>TCBN15</x:v>
      </x:c>
      <x:c r="E192" s="37" t="n">
        <x:v>18</x:v>
      </x:c>
      <x:c r="F192" s="37" t="n">
        <x:v>0</x:v>
      </x:c>
      <x:c r="G192" s="37" t="str">
        <x:v>g</x:v>
      </x:c>
      <x:c r="H192" s="37" t="str">
        <x:v>THÙNG</x:v>
      </x:c>
      <x:c r="I192" s="59" t="n">
        <x:v>0</x:v>
      </x:c>
      <x:c r="J192" s="59" t="n">
        <x:v>530000</x:v>
      </x:c>
      <x:c r="K192" s="83" t="n">
        <x:v>0</x:v>
      </x:c>
    </x:row>
    <x:row r="193">
      <x:c r="A193" s="71" t="str">
        <x:v>TC GIA UY TRẮNG - THÙNG</x:v>
      </x:c>
      <x:c r="B193" s="37" t="str">
        <x:v>TCTRGUT</x:v>
      </x:c>
      <x:c r="C193" s="37" t="str">
        <x:v>TCTRGUT</x:v>
      </x:c>
      <x:c r="D193" s="37" t="str">
        <x:v>TCTRGU</x:v>
      </x:c>
      <x:c r="E193" s="37" t="n">
        <x:v>10</x:v>
      </x:c>
      <x:c r="F193" s="37" t="n">
        <x:v>21000</x:v>
      </x:c>
      <x:c r="G193" s="37" t="str">
        <x:v>g</x:v>
      </x:c>
      <x:c r="H193" s="37" t="str">
        <x:v>THÙNG</x:v>
      </x:c>
      <x:c r="I193" s="59" t="n">
        <x:v>0</x:v>
      </x:c>
      <x:c r="J193" s="59" t="n">
        <x:v>0</x:v>
      </x:c>
      <x:c r="K193" s="83" t="n">
        <x:v>0</x:v>
      </x:c>
    </x:row>
    <x:row r="194">
      <x:c r="A194" s="71" t="str">
        <x:v>TC GIA UY MINI - THÙNG</x:v>
      </x:c>
      <x:c r="B194" s="37" t="str">
        <x:v>TCMNGUT</x:v>
      </x:c>
      <x:c r="C194" s="37" t="str">
        <x:v>TCMNGUT</x:v>
      </x:c>
      <x:c r="D194" s="37" t="str">
        <x:v>TCMNGU</x:v>
      </x:c>
      <x:c r="E194" s="37" t="n">
        <x:v>10</x:v>
      </x:c>
      <x:c r="F194" s="37" t="n">
        <x:v>21000</x:v>
      </x:c>
      <x:c r="G194" s="37" t="str">
        <x:v>g</x:v>
      </x:c>
      <x:c r="H194" s="37" t="str">
        <x:v>THÙNG</x:v>
      </x:c>
      <x:c r="I194" s="59" t="n">
        <x:v>0</x:v>
      </x:c>
      <x:c r="J194" s="59" t="n">
        <x:v>540000</x:v>
      </x:c>
      <x:c r="K194" s="83" t="n">
        <x:v>0</x:v>
      </x:c>
    </x:row>
    <x:row r="195">
      <x:c r="A195" s="71" t="str">
        <x:v>TC GIA UY CAFE - THÙNG</x:v>
      </x:c>
      <x:c r="B195" s="37" t="str">
        <x:v>TCCFGUT</x:v>
      </x:c>
      <x:c r="C195" s="37" t="str">
        <x:v>TCCFGUT</x:v>
      </x:c>
      <x:c r="D195" s="37" t="str">
        <x:v>TCCFGU</x:v>
      </x:c>
      <x:c r="E195" s="37" t="n">
        <x:v>10</x:v>
      </x:c>
      <x:c r="F195" s="37" t="n">
        <x:v>21000</x:v>
      </x:c>
      <x:c r="G195" s="37" t="str">
        <x:v>g</x:v>
      </x:c>
      <x:c r="H195" s="37" t="str">
        <x:v>THÙNG</x:v>
      </x:c>
      <x:c r="I195" s="59" t="n">
        <x:v>0</x:v>
      </x:c>
      <x:c r="J195" s="59" t="n">
        <x:v>540000</x:v>
      </x:c>
      <x:c r="K195" s="83" t="n">
        <x:v>0</x:v>
      </x:c>
    </x:row>
    <x:row r="196">
      <x:c r="A196" s="71" t="str">
        <x:v>TẮC XÍ MUỘI - THÙNG</x:v>
      </x:c>
      <x:c r="B196" s="37" t="str">
        <x:v>TXMUOIT</x:v>
      </x:c>
      <x:c r="C196" s="37" t="str">
        <x:v>TXMUOIT</x:v>
      </x:c>
      <x:c r="D196" s="37" t="str">
        <x:v>TXMUOI</x:v>
      </x:c>
      <x:c r="E196" s="37" t="n">
        <x:v>12</x:v>
      </x:c>
      <x:c r="F196" s="37" t="n">
        <x:v>0</x:v>
      </x:c>
      <x:c r="G196" s="37" t="str">
        <x:v>g</x:v>
      </x:c>
      <x:c r="H196" s="37" t="str">
        <x:v>THÙNG</x:v>
      </x:c>
      <x:c r="I196" s="59" t="n">
        <x:v>0</x:v>
      </x:c>
      <x:c r="J196" s="59" t="n">
        <x:v>0</x:v>
      </x:c>
      <x:c r="K196" s="83" t="n">
        <x:v>0</x:v>
      </x:c>
    </x:row>
    <x:row r="197">
      <x:c r="A197" s="71" t="str">
        <x:v>GTP TÁO  - THÙNG</x:v>
      </x:c>
      <x:c r="B197" s="37" t="str">
        <x:v>GTPTAOT</x:v>
      </x:c>
      <x:c r="C197" s="37" t="str">
        <x:v>GTPTAOT</x:v>
      </x:c>
      <x:c r="D197" s="37" t="str">
        <x:v>GTPTAO</x:v>
      </x:c>
      <x:c r="E197" s="37" t="n">
        <x:v>6</x:v>
      </x:c>
      <x:c r="F197" s="37" t="n">
        <x:v>16000</x:v>
      </x:c>
      <x:c r="G197" s="37" t="str">
        <x:v>g</x:v>
      </x:c>
      <x:c r="H197" s="37" t="str">
        <x:v>THÙNG</x:v>
      </x:c>
      <x:c r="I197" s="59" t="n">
        <x:v>0</x:v>
      </x:c>
      <x:c r="J197" s="59" t="n">
        <x:v>834000</x:v>
      </x:c>
      <x:c r="K197" s="83" t="n">
        <x:v>0</x:v>
      </x:c>
    </x:row>
    <x:row r="198">
      <x:c r="A198" s="71" t="str">
        <x:v>SƯƠNG SÁO TRẮNG TP - THÙNG</x:v>
      </x:c>
      <x:c r="B198" s="37" t="str">
        <x:v>SSTRTPT</x:v>
      </x:c>
      <x:c r="C198" s="37" t="str">
        <x:v>SSTRTPT</x:v>
      </x:c>
      <x:c r="D198" s="37" t="str">
        <x:v>SSTRTP</x:v>
      </x:c>
      <x:c r="E198" s="37" t="n">
        <x:v>100</x:v>
      </x:c>
      <x:c r="F198" s="37" t="n">
        <x:v>2</x:v>
      </x:c>
      <x:c r="G198" s="37" t="str">
        <x:v>kg</x:v>
      </x:c>
      <x:c r="H198" s="37" t="str">
        <x:v>THÙNG</x:v>
      </x:c>
      <x:c r="I198" s="59" t="n">
        <x:v>1480000</x:v>
      </x:c>
      <x:c r="J198" s="59" t="n">
        <x:v>0</x:v>
      </x:c>
      <x:c r="K198" s="83" t="n">
        <x:v>0</x:v>
      </x:c>
    </x:row>
    <x:row r="199">
      <x:c r="A199" s="71" t="str">
        <x:v>SƯƠNG SÁO MOTA - THÙNG</x:v>
      </x:c>
      <x:c r="B199" s="37" t="str">
        <x:v>SSMOTAT</x:v>
      </x:c>
      <x:c r="C199" s="37" t="str">
        <x:v>SSMOTAT</x:v>
      </x:c>
      <x:c r="D199" s="37" t="str">
        <x:v>SSMOTA</x:v>
      </x:c>
      <x:c r="E199" s="37" t="n">
        <x:v>100</x:v>
      </x:c>
      <x:c r="F199" s="37" t="n">
        <x:v>2</x:v>
      </x:c>
      <x:c r="G199" s="37" t="str">
        <x:v>kg</x:v>
      </x:c>
      <x:c r="H199" s="37" t="str">
        <x:v>THÙNG</x:v>
      </x:c>
      <x:c r="I199" s="59" t="n">
        <x:v>0</x:v>
      </x:c>
      <x:c r="J199" s="59" t="n">
        <x:v>0</x:v>
      </x:c>
      <x:c r="K199" s="83" t="n">
        <x:v>0</x:v>
      </x:c>
    </x:row>
    <x:row r="200">
      <x:c r="A200" s="71" t="str">
        <x:v>SƯƠNG SÁO ĐEN TP - THÙNG</x:v>
      </x:c>
      <x:c r="B200" s="37" t="str">
        <x:v>SSDETPT</x:v>
      </x:c>
      <x:c r="C200" s="37" t="str">
        <x:v>SSDETPT</x:v>
      </x:c>
      <x:c r="D200" s="37" t="str">
        <x:v>SSDETP</x:v>
      </x:c>
      <x:c r="E200" s="37" t="n">
        <x:v>100</x:v>
      </x:c>
      <x:c r="F200" s="37" t="n">
        <x:v>0</x:v>
      </x:c>
      <x:c r="G200" s="37" t="str">
        <x:v>g</x:v>
      </x:c>
      <x:c r="H200" s="37" t="str">
        <x:v>THÙNG</x:v>
      </x:c>
      <x:c r="I200" s="59" t="n">
        <x:v>1480000</x:v>
      </x:c>
      <x:c r="J200" s="59" t="n">
        <x:v>0</x:v>
      </x:c>
      <x:c r="K200" s="83" t="n">
        <x:v>0</x:v>
      </x:c>
    </x:row>
    <x:row r="201">
      <x:c r="A201" s="71" t="str">
        <x:v>SỮA THÁI HOA HỒNG - THÙNG</x:v>
      </x:c>
      <x:c r="B201" s="37" t="str">
        <x:v>STHHHT</x:v>
      </x:c>
      <x:c r="C201" s="37" t="str">
        <x:v>STHHHT</x:v>
      </x:c>
      <x:c r="D201" s="37" t="str">
        <x:v>STHHH</x:v>
      </x:c>
      <x:c r="E201" s="37" t="n">
        <x:v>48</x:v>
      </x:c>
      <x:c r="F201" s="37" t="n">
        <x:v>28</x:v>
      </x:c>
      <x:c r="G201" s="37" t="str">
        <x:v>kg</x:v>
      </x:c>
      <x:c r="H201" s="37" t="str">
        <x:v>THÙNG</x:v>
      </x:c>
      <x:c r="I201" s="59" t="n">
        <x:v>0</x:v>
      </x:c>
      <x:c r="J201" s="59" t="n">
        <x:v>1010000</x:v>
      </x:c>
      <x:c r="K201" s="83" t="n">
        <x:v>0</x:v>
      </x:c>
    </x:row>
    <x:row r="202">
      <x:c r="A202" s="71" t="str">
        <x:v>SỮA TƯƠI BA LAN - THÙNG</x:v>
      </x:c>
      <x:c r="B202" s="37" t="str">
        <x:v>SBALANT</x:v>
      </x:c>
      <x:c r="C202" s="37" t="str">
        <x:v>SBALANT</x:v>
      </x:c>
      <x:c r="D202" s="37" t="str">
        <x:v>SBALAN</x:v>
      </x:c>
      <x:c r="E202" s="37" t="n">
        <x:v>12</x:v>
      </x:c>
      <x:c r="F202" s="37" t="n">
        <x:v>13000</x:v>
      </x:c>
      <x:c r="G202" s="37" t="str">
        <x:v>g</x:v>
      </x:c>
      <x:c r="H202" s="37" t="str">
        <x:v>THÙNG</x:v>
      </x:c>
      <x:c r="I202" s="59" t="n">
        <x:v>0</x:v>
      </x:c>
      <x:c r="J202" s="59" t="n">
        <x:v>340000</x:v>
      </x:c>
      <x:c r="K202" s="83" t="n">
        <x:v>0</x:v>
      </x:c>
    </x:row>
    <x:row r="203">
      <x:c r="A203" s="71" t="str">
        <x:v>SỮA RICH - THÙNG</x:v>
      </x:c>
      <x:c r="B203" s="37" t="str">
        <x:v>RICHLNT</x:v>
      </x:c>
      <x:c r="C203" s="37" t="str">
        <x:v>RICHLNT</x:v>
      </x:c>
      <x:c r="D203" s="37" t="str">
        <x:v>RICHLN</x:v>
      </x:c>
      <x:c r="E203" s="37" t="n">
        <x:v>24</x:v>
      </x:c>
      <x:c r="F203" s="37" t="n">
        <x:v>13000</x:v>
      </x:c>
      <x:c r="G203" s="37" t="str">
        <x:v>g</x:v>
      </x:c>
      <x:c r="H203" s="37" t="str">
        <x:v>THÙNG</x:v>
      </x:c>
      <x:c r="I203" s="59" t="n">
        <x:v>700000</x:v>
      </x:c>
      <x:c r="J203" s="59" t="n">
        <x:v>720000</x:v>
      </x:c>
      <x:c r="K203" s="83" t="n">
        <x:v>0</x:v>
      </x:c>
    </x:row>
    <x:row r="204">
      <x:c r="A204" s="71" t="str">
        <x:v>BỘT SỮA MOTA - THÙNG</x:v>
      </x:c>
      <x:c r="B204" s="37" t="str">
        <x:v>BSMOTAT</x:v>
      </x:c>
      <x:c r="C204" s="37" t="str">
        <x:v>BSMOTAT</x:v>
      </x:c>
      <x:c r="D204" s="37" t="str">
        <x:v>BSMOTA</x:v>
      </x:c>
      <x:c r="E204" s="37" t="n">
        <x:v>12</x:v>
      </x:c>
      <x:c r="F204" s="37" t="n">
        <x:v>13</x:v>
      </x:c>
      <x:c r="G204" s="37" t="str">
        <x:v>kg</x:v>
      </x:c>
      <x:c r="H204" s="37" t="str">
        <x:v>THÙNG</x:v>
      </x:c>
      <x:c r="I204" s="59" t="n">
        <x:v>0</x:v>
      </x:c>
      <x:c r="J204" s="59" t="n">
        <x:v>762000</x:v>
      </x:c>
      <x:c r="K204" s="83" t="n">
        <x:v>0</x:v>
      </x:c>
    </x:row>
    <x:row r="205">
      <x:c r="A205" s="71" t="str">
        <x:v>SỮA LACROSS NGANG - THÙNG</x:v>
      </x:c>
      <x:c r="B205" s="37" t="str">
        <x:v>SLACRNT</x:v>
      </x:c>
      <x:c r="C205" s="37" t="str">
        <x:v>SLACRNT</x:v>
      </x:c>
      <x:c r="D205" s="37" t="str">
        <x:v>SLACRN</x:v>
      </x:c>
      <x:c r="E205" s="37" t="n">
        <x:v>24</x:v>
      </x:c>
      <x:c r="F205" s="37" t="n">
        <x:v>28000</x:v>
      </x:c>
      <x:c r="G205" s="37" t="str">
        <x:v>g</x:v>
      </x:c>
      <x:c r="H205" s="37" t="str">
        <x:v>THÙNG</x:v>
      </x:c>
      <x:c r="I205" s="59" t="n">
        <x:v>0</x:v>
      </x:c>
      <x:c r="J205" s="59" t="n">
        <x:v>922000</x:v>
      </x:c>
      <x:c r="K205" s="83" t="n">
        <x:v>0</x:v>
      </x:c>
    </x:row>
    <x:row r="206">
      <x:c r="A206" s="71" t="str">
        <x:v>SỮA LACROSS GIẬT - THÙNG</x:v>
      </x:c>
      <x:c r="B206" s="37" t="str">
        <x:v>SLACRGT</x:v>
      </x:c>
      <x:c r="C206" s="37" t="str">
        <x:v>SLACRGT</x:v>
      </x:c>
      <x:c r="D206" s="37" t="str">
        <x:v>SLACRG</x:v>
      </x:c>
      <x:c r="E206" s="37" t="n">
        <x:v>24</x:v>
      </x:c>
      <x:c r="F206" s="37" t="n">
        <x:v>28000</x:v>
      </x:c>
      <x:c r="G206" s="37" t="str">
        <x:v>g</x:v>
      </x:c>
      <x:c r="H206" s="37" t="str">
        <x:v>THÙNG</x:v>
      </x:c>
      <x:c r="I206" s="59" t="n">
        <x:v>0</x:v>
      </x:c>
      <x:c r="J206" s="59" t="n">
        <x:v>946000</x:v>
      </x:c>
      <x:c r="K206" s="83" t="n">
        <x:v>0</x:v>
      </x:c>
    </x:row>
    <x:row r="207">
      <x:c r="A207" s="71" t="str">
        <x:v>ICEHOT LÙN (RICH MỚI) - THÙNG</x:v>
      </x:c>
      <x:c r="B207" s="37" t="str">
        <x:v>ICEHLNT</x:v>
      </x:c>
      <x:c r="C207" s="37" t="str">
        <x:v>ICEHLNT</x:v>
      </x:c>
      <x:c r="D207" s="37" t="str">
        <x:v>ICEHLN</x:v>
      </x:c>
      <x:c r="E207" s="37" t="n">
        <x:v>24</x:v>
      </x:c>
      <x:c r="F207" s="37" t="n">
        <x:v>13</x:v>
      </x:c>
      <x:c r="G207" s="37" t="str">
        <x:v>kg</x:v>
      </x:c>
      <x:c r="H207" s="37" t="str">
        <x:v>THÙNG</x:v>
      </x:c>
      <x:c r="I207" s="59" t="n">
        <x:v>700000</x:v>
      </x:c>
      <x:c r="J207" s="59" t="n">
        <x:v>720000</x:v>
      </x:c>
      <x:c r="K207" s="83" t="n">
        <x:v>0</x:v>
      </x:c>
    </x:row>
    <x:row r="208">
      <x:c r="A208" s="71" t="str">
        <x:v>SỮA ICE HOT ĐA DỤNG - THÙNG</x:v>
      </x:c>
      <x:c r="B208" s="37" t="str">
        <x:v>ICEHDDT</x:v>
      </x:c>
      <x:c r="C208" s="37" t="str">
        <x:v>ICEHDDT</x:v>
      </x:c>
      <x:c r="D208" s="37" t="str">
        <x:v>ICEHDD</x:v>
      </x:c>
      <x:c r="E208" s="37" t="n">
        <x:v>12</x:v>
      </x:c>
      <x:c r="F208" s="37" t="n">
        <x:v>0</x:v>
      </x:c>
      <x:c r="G208" s="37" t="str">
        <x:v>g</x:v>
      </x:c>
      <x:c r="H208" s="37" t="str">
        <x:v>THÙNG</x:v>
      </x:c>
      <x:c r="I208" s="59" t="n">
        <x:v>0</x:v>
      </x:c>
      <x:c r="J208" s="59" t="n">
        <x:v>0</x:v>
      </x:c>
      <x:c r="K208" s="83" t="n">
        <x:v>0</x:v>
      </x:c>
    </x:row>
    <x:row r="209">
      <x:c r="A209" s="71" t="str">
        <x:v>ICEHOT CAO - THÙNG</x:v>
      </x:c>
      <x:c r="B209" s="37" t="str">
        <x:v>ICEHCAT</x:v>
      </x:c>
      <x:c r="C209" s="37" t="str">
        <x:v>ICEHCAT</x:v>
      </x:c>
      <x:c r="D209" s="37" t="str">
        <x:v>ICEHCA</x:v>
      </x:c>
      <x:c r="E209" s="37" t="n">
        <x:v>12</x:v>
      </x:c>
      <x:c r="F209" s="37" t="n">
        <x:v>1</x:v>
      </x:c>
      <x:c r="G209" s="37" t="str">
        <x:v>kg</x:v>
      </x:c>
      <x:c r="H209" s="37" t="str">
        <x:v>THÙNG</x:v>
      </x:c>
      <x:c r="I209" s="59" t="n">
        <x:v>0</x:v>
      </x:c>
      <x:c r="J209" s="59" t="n">
        <x:v>850000</x:v>
      </x:c>
      <x:c r="K209" s="83" t="n">
        <x:v>0</x:v>
      </x:c>
    </x:row>
    <x:row r="210">
      <x:c r="A210" s="71" t="str">
        <x:v>SỮA GOLD VÀNG - THÙNG</x:v>
      </x:c>
      <x:c r="B210" s="37" t="str">
        <x:v>GOLDVAT</x:v>
      </x:c>
      <x:c r="C210" s="37" t="str">
        <x:v>GOLDVAT</x:v>
      </x:c>
      <x:c r="D210" s="37" t="str">
        <x:v>GOLDVA</x:v>
      </x:c>
      <x:c r="E210" s="37" t="n">
        <x:v>12</x:v>
      </x:c>
      <x:c r="F210" s="37" t="n">
        <x:v>12</x:v>
      </x:c>
      <x:c r="G210" s="37" t="str">
        <x:v>kg</x:v>
      </x:c>
      <x:c r="H210" s="37" t="str">
        <x:v>THÙNG</x:v>
      </x:c>
      <x:c r="I210" s="59" t="n">
        <x:v>0</x:v>
      </x:c>
      <x:c r="J210" s="59" t="n">
        <x:v>0</x:v>
      </x:c>
      <x:c r="K210" s="83" t="n">
        <x:v>0</x:v>
      </x:c>
    </x:row>
    <x:row r="211">
      <x:c r="A211" s="71" t="str">
        <x:v>SỮA ĐẶC NIDO - THÙNG</x:v>
      </x:c>
      <x:c r="B211" s="37" t="str">
        <x:v>SDNIDOT</x:v>
      </x:c>
      <x:c r="C211" s="37" t="str">
        <x:v>SDNIDOT</x:v>
      </x:c>
      <x:c r="D211" s="37" t="str">
        <x:v>SDNIDO</x:v>
      </x:c>
      <x:c r="E211" s="37" t="n">
        <x:v>24</x:v>
      </x:c>
      <x:c r="F211" s="37" t="n">
        <x:v>28000</x:v>
      </x:c>
      <x:c r="G211" s="37" t="str">
        <x:v>g</x:v>
      </x:c>
      <x:c r="H211" s="37" t="str">
        <x:v>THÙNG</x:v>
      </x:c>
      <x:c r="I211" s="59" t="n">
        <x:v>0</x:v>
      </x:c>
      <x:c r="J211" s="59" t="n">
        <x:v>970000</x:v>
      </x:c>
      <x:c r="K211" s="83" t="n">
        <x:v>0</x:v>
      </x:c>
    </x:row>
    <x:row r="212">
      <x:c r="A212" s="71" t="str">
        <x:v>SỮA ĐẶC ELLA - THÙNG</x:v>
      </x:c>
      <x:c r="B212" s="37" t="str">
        <x:v>SDELLAT</x:v>
      </x:c>
      <x:c r="C212" s="37" t="str">
        <x:v>SDELLAT</x:v>
      </x:c>
      <x:c r="D212" s="37" t="str">
        <x:v>SDELLA</x:v>
      </x:c>
      <x:c r="E212" s="37" t="n">
        <x:v>24</x:v>
      </x:c>
      <x:c r="F212" s="37" t="n">
        <x:v>0</x:v>
      </x:c>
      <x:c r="G212" s="37" t="str">
        <x:v>g</x:v>
      </x:c>
      <x:c r="H212" s="37" t="str">
        <x:v>THÙNG</x:v>
      </x:c>
      <x:c r="I212" s="59" t="n">
        <x:v>0</x:v>
      </x:c>
      <x:c r="J212" s="59" t="n">
        <x:v>910000</x:v>
      </x:c>
      <x:c r="K212" s="83" t="n">
        <x:v>0</x:v>
      </x:c>
    </x:row>
    <x:row r="213">
      <x:c r="A213" s="71" t="str">
        <x:v>SỮA CHỮ S VÀNG - THÙNG</x:v>
      </x:c>
      <x:c r="B213" s="37" t="str">
        <x:v>BSSVAT</x:v>
      </x:c>
      <x:c r="C213" s="37" t="str">
        <x:v>BSSVAT</x:v>
      </x:c>
      <x:c r="D213" s="37" t="str">
        <x:v>BSSVA</x:v>
      </x:c>
      <x:c r="E213" s="37" t="n">
        <x:v>12</x:v>
      </x:c>
      <x:c r="F213" s="37" t="n">
        <x:v>0</x:v>
      </x:c>
      <x:c r="G213" s="37" t="str">
        <x:v>g</x:v>
      </x:c>
      <x:c r="H213" s="37" t="str">
        <x:v>THÙNG</x:v>
      </x:c>
      <x:c r="I213" s="59" t="n">
        <x:v>0</x:v>
      </x:c>
      <x:c r="J213" s="59" t="n">
        <x:v>0</x:v>
      </x:c>
      <x:c r="K213" s="83" t="n">
        <x:v>0</x:v>
      </x:c>
    </x:row>
    <x:row r="214">
      <x:c r="A214" s="71" t="str">
        <x:v>SỮA TATTE 3,8 - THÙNG</x:v>
      </x:c>
      <x:c r="B214" s="37" t="str">
        <x:v>STATTET</x:v>
      </x:c>
      <x:c r="C214" s="37" t="str">
        <x:v>STATTET</x:v>
      </x:c>
      <x:c r="D214" s="37" t="str">
        <x:v>STATTE</x:v>
      </x:c>
      <x:c r="E214" s="37" t="n">
        <x:v>12</x:v>
      </x:c>
      <x:c r="F214" s="37" t="n">
        <x:v>13000</x:v>
      </x:c>
      <x:c r="G214" s="37" t="str">
        <x:v>g</x:v>
      </x:c>
      <x:c r="H214" s="37" t="str">
        <x:v>THÙNG</x:v>
      </x:c>
      <x:c r="I214" s="59" t="n">
        <x:v>0</x:v>
      </x:c>
      <x:c r="J214" s="59" t="n">
        <x:v>335000</x:v>
      </x:c>
      <x:c r="K214" s="83" t="n">
        <x:v>0</x:v>
      </x:c>
    </x:row>
    <x:row r="215">
      <x:c r="A215" s="71" t="str">
        <x:v>SỐT GOLD SOCOLA - THÙNG</x:v>
      </x:c>
      <x:c r="B215" s="37" t="str">
        <x:v>SSCLGDT</x:v>
      </x:c>
      <x:c r="C215" s="37" t="str">
        <x:v>SSCLGDT</x:v>
      </x:c>
      <x:c r="D215" s="37" t="str">
        <x:v>SSCLGD</x:v>
      </x:c>
      <x:c r="E215" s="37" t="n">
        <x:v>12</x:v>
      </x:c>
      <x:c r="F215" s="37" t="n">
        <x:v>13000</x:v>
      </x:c>
      <x:c r="G215" s="37" t="str">
        <x:v>g</x:v>
      </x:c>
      <x:c r="H215" s="37" t="str">
        <x:v>THÙNG</x:v>
      </x:c>
      <x:c r="I215" s="59" t="n">
        <x:v>731000</x:v>
      </x:c>
      <x:c r="J215" s="59" t="n">
        <x:v>0</x:v>
      </x:c>
      <x:c r="K215" s="83" t="n">
        <x:v>0</x:v>
      </x:c>
    </x:row>
    <x:row r="216">
      <x:c r="A216" s="71" t="str">
        <x:v>SỐT DOUXIAN SOCOLA - THÙNG</x:v>
      </x:c>
      <x:c r="B216" s="37" t="str">
        <x:v>SSCLDXT</x:v>
      </x:c>
      <x:c r="C216" s="37" t="str">
        <x:v>SSCLDXT</x:v>
      </x:c>
      <x:c r="D216" s="37" t="str">
        <x:v>SSCLDX</x:v>
      </x:c>
      <x:c r="E216" s="37" t="n">
        <x:v>12</x:v>
      </x:c>
      <x:c r="F216" s="37" t="n">
        <x:v>13000</x:v>
      </x:c>
      <x:c r="G216" s="37" t="str">
        <x:v>g</x:v>
      </x:c>
      <x:c r="H216" s="37" t="str">
        <x:v>THÙNG</x:v>
      </x:c>
      <x:c r="I216" s="59" t="n">
        <x:v>0</x:v>
      </x:c>
      <x:c r="J216" s="59" t="n">
        <x:v>0</x:v>
      </x:c>
      <x:c r="K216" s="83" t="n">
        <x:v>0</x:v>
      </x:c>
    </x:row>
    <x:row r="217">
      <x:c r="A217" s="71" t="str">
        <x:v>SỐT GOLD MÔN - THÙNG</x:v>
      </x:c>
      <x:c r="B217" s="37" t="str">
        <x:v>SMONGDT</x:v>
      </x:c>
      <x:c r="C217" s="37" t="str">
        <x:v>SMONGDT</x:v>
      </x:c>
      <x:c r="D217" s="37" t="str">
        <x:v>SMONGD</x:v>
      </x:c>
      <x:c r="E217" s="37" t="n">
        <x:v>12</x:v>
      </x:c>
      <x:c r="F217" s="37" t="n">
        <x:v>13000</x:v>
      </x:c>
      <x:c r="G217" s="37" t="str">
        <x:v>g</x:v>
      </x:c>
      <x:c r="H217" s="37" t="str">
        <x:v>THÙNG</x:v>
      </x:c>
      <x:c r="I217" s="59" t="n">
        <x:v>797000</x:v>
      </x:c>
      <x:c r="J217" s="59" t="n">
        <x:v>0</x:v>
      </x:c>
      <x:c r="K217" s="83" t="n">
        <x:v>0</x:v>
      </x:c>
    </x:row>
    <x:row r="218">
      <x:c r="A218" s="71" t="str">
        <x:v>SỐT GOLD MATCHA - THÙNG</x:v>
      </x:c>
      <x:c r="B218" s="37" t="str">
        <x:v>SMATGDT</x:v>
      </x:c>
      <x:c r="C218" s="37" t="str">
        <x:v>SMATGDT</x:v>
      </x:c>
      <x:c r="D218" s="37" t="str">
        <x:v>SMATGD</x:v>
      </x:c>
      <x:c r="E218" s="37" t="n">
        <x:v>12</x:v>
      </x:c>
      <x:c r="F218" s="37" t="n">
        <x:v>13000</x:v>
      </x:c>
      <x:c r="G218" s="37" t="str">
        <x:v>g</x:v>
      </x:c>
      <x:c r="H218" s="37" t="str">
        <x:v>THÙNG</x:v>
      </x:c>
      <x:c r="I218" s="59" t="n">
        <x:v>0</x:v>
      </x:c>
      <x:c r="J218" s="59" t="n">
        <x:v>0</x:v>
      </x:c>
      <x:c r="K218" s="83" t="n">
        <x:v>0</x:v>
      </x:c>
    </x:row>
    <x:row r="219">
      <x:c r="A219" s="71" t="str">
        <x:v>SỐT DOUXIAN MATCHA - THÙNG</x:v>
      </x:c>
      <x:c r="B219" s="37" t="str">
        <x:v>SMATDXT</x:v>
      </x:c>
      <x:c r="C219" s="37" t="str">
        <x:v>SMATDXT</x:v>
      </x:c>
      <x:c r="D219" s="37" t="str">
        <x:v>SMATDX</x:v>
      </x:c>
      <x:c r="E219" s="37" t="n">
        <x:v>12</x:v>
      </x:c>
      <x:c r="F219" s="37" t="n">
        <x:v>13000</x:v>
      </x:c>
      <x:c r="G219" s="37" t="str">
        <x:v>g</x:v>
      </x:c>
      <x:c r="H219" s="37" t="str">
        <x:v>THÙNG</x:v>
      </x:c>
      <x:c r="I219" s="59" t="n">
        <x:v>0</x:v>
      </x:c>
      <x:c r="J219" s="59" t="n">
        <x:v>13000</x:v>
      </x:c>
      <x:c r="K219" s="83" t="n">
        <x:v>0</x:v>
      </x:c>
    </x:row>
    <x:row r="220">
      <x:c r="A220" s="71" t="str">
        <x:v>SỐT GOLD ĐƯỜNG ĐEN - THÙNG</x:v>
      </x:c>
      <x:c r="B220" s="37" t="str">
        <x:v>SDDEGDT</x:v>
      </x:c>
      <x:c r="C220" s="37" t="str">
        <x:v>SDDEGDT</x:v>
      </x:c>
      <x:c r="D220" s="37" t="str">
        <x:v>SDDEGD</x:v>
      </x:c>
      <x:c r="E220" s="37" t="n">
        <x:v>12</x:v>
      </x:c>
      <x:c r="F220" s="37" t="n">
        <x:v>13000</x:v>
      </x:c>
      <x:c r="G220" s="37" t="str">
        <x:v>g</x:v>
      </x:c>
      <x:c r="H220" s="37" t="str">
        <x:v>THÙNG</x:v>
      </x:c>
      <x:c r="I220" s="59" t="n">
        <x:v>0</x:v>
      </x:c>
      <x:c r="J220" s="59" t="n">
        <x:v>0</x:v>
      </x:c>
      <x:c r="K220" s="83" t="n">
        <x:v>0</x:v>
      </x:c>
    </x:row>
    <x:row r="221">
      <x:c r="A221" s="71" t="str">
        <x:v>SỐT GOLD DÂU - THÙNG</x:v>
      </x:c>
      <x:c r="B221" s="37" t="str">
        <x:v>SDAUGDT</x:v>
      </x:c>
      <x:c r="C221" s="37" t="str">
        <x:v>SDAUGDT</x:v>
      </x:c>
      <x:c r="D221" s="37" t="str">
        <x:v>SDAUGD</x:v>
      </x:c>
      <x:c r="E221" s="37" t="n">
        <x:v>12</x:v>
      </x:c>
      <x:c r="F221" s="37" t="n">
        <x:v>13000</x:v>
      </x:c>
      <x:c r="G221" s="37" t="str">
        <x:v>g</x:v>
      </x:c>
      <x:c r="H221" s="37" t="str">
        <x:v>THÙNG</x:v>
      </x:c>
      <x:c r="I221" s="59" t="n">
        <x:v>0</x:v>
      </x:c>
      <x:c r="J221" s="59" t="n">
        <x:v>0</x:v>
      </x:c>
      <x:c r="K221" s="83" t="n">
        <x:v>0</x:v>
      </x:c>
    </x:row>
    <x:row r="222">
      <x:c r="A222" s="71" t="str">
        <x:v>SỐT DOUXIAN DÂU - THÙNG</x:v>
      </x:c>
      <x:c r="B222" s="37" t="str">
        <x:v>SDAUDXT</x:v>
      </x:c>
      <x:c r="C222" s="37" t="str">
        <x:v>SDAUDXT</x:v>
      </x:c>
      <x:c r="D222" s="37" t="str">
        <x:v>SDAUDX</x:v>
      </x:c>
      <x:c r="E222" s="37" t="n">
        <x:v>12</x:v>
      </x:c>
      <x:c r="F222" s="37" t="n">
        <x:v>13000</x:v>
      </x:c>
      <x:c r="G222" s="37" t="str">
        <x:v>g</x:v>
      </x:c>
      <x:c r="H222" s="37" t="str">
        <x:v>THÙNG</x:v>
      </x:c>
      <x:c r="I222" s="59" t="n">
        <x:v>0</x:v>
      </x:c>
      <x:c r="J222" s="59" t="n">
        <x:v>0</x:v>
      </x:c>
      <x:c r="K222" s="83" t="n">
        <x:v>0</x:v>
      </x:c>
    </x:row>
    <x:row r="223">
      <x:c r="A223" s="71" t="str">
        <x:v>SỐT GOLD CARAMEN - THÙNG</x:v>
      </x:c>
      <x:c r="B223" s="37" t="str">
        <x:v>SCARGDT</x:v>
      </x:c>
      <x:c r="C223" s="37" t="str">
        <x:v>SCARGDT</x:v>
      </x:c>
      <x:c r="D223" s="37" t="str">
        <x:v>SCARGD</x:v>
      </x:c>
      <x:c r="E223" s="37" t="n">
        <x:v>12</x:v>
      </x:c>
      <x:c r="F223" s="37" t="n">
        <x:v>13000</x:v>
      </x:c>
      <x:c r="G223" s="37" t="str">
        <x:v>g</x:v>
      </x:c>
      <x:c r="H223" s="37" t="str">
        <x:v>THÙNG</x:v>
      </x:c>
      <x:c r="I223" s="59" t="n">
        <x:v>0</x:v>
      </x:c>
      <x:c r="J223" s="59" t="n">
        <x:v>730000</x:v>
      </x:c>
      <x:c r="K223" s="83" t="n">
        <x:v>0</x:v>
      </x:c>
    </x:row>
    <x:row r="224">
      <x:c r="A224" s="71" t="str">
        <x:v>SOCOLA HESHEY - THÙNG</x:v>
      </x:c>
      <x:c r="B224" s="37" t="str">
        <x:v>SCLHEST</x:v>
      </x:c>
      <x:c r="C224" s="37" t="str">
        <x:v>SCLHEST</x:v>
      </x:c>
      <x:c r="D224" s="37" t="str">
        <x:v>SCLHES</x:v>
      </x:c>
      <x:c r="E224" s="37" t="n">
        <x:v>12</x:v>
      </x:c>
      <x:c r="F224" s="37" t="n">
        <x:v>16</x:v>
      </x:c>
      <x:c r="G224" s="37" t="str">
        <x:v>kg</x:v>
      </x:c>
      <x:c r="H224" s="37" t="str">
        <x:v>THÙNG</x:v>
      </x:c>
      <x:c r="I224" s="59" t="n">
        <x:v>0</x:v>
      </x:c>
      <x:c r="J224" s="59" t="n">
        <x:v>1836000</x:v>
      </x:c>
      <x:c r="K224" s="83" t="n">
        <x:v>0</x:v>
      </x:c>
    </x:row>
    <x:row r="225">
      <x:c r="A225" s="71" t="str">
        <x:v>SIRO VINA XOÀI - THÙNG</x:v>
      </x:c>
      <x:c r="B225" s="37" t="str">
        <x:v>SRVNXOT</x:v>
      </x:c>
      <x:c r="C225" s="37" t="str">
        <x:v>SRVNXOT</x:v>
      </x:c>
      <x:c r="D225" s="37" t="str">
        <x:v>SRVNXO</x:v>
      </x:c>
      <x:c r="E225" s="37" t="n">
        <x:v>12</x:v>
      </x:c>
      <x:c r="F225" s="37" t="n">
        <x:v>13000</x:v>
      </x:c>
      <x:c r="G225" s="37" t="str">
        <x:v>g</x:v>
      </x:c>
      <x:c r="H225" s="37" t="str">
        <x:v>THÙNG</x:v>
      </x:c>
      <x:c r="I225" s="59" t="n">
        <x:v>0</x:v>
      </x:c>
      <x:c r="J225" s="59" t="n">
        <x:v>0</x:v>
      </x:c>
      <x:c r="K225" s="83" t="n">
        <x:v>0</x:v>
      </x:c>
    </x:row>
    <x:row r="226">
      <x:c r="A226" s="71" t="str">
        <x:v>SIRO VINA VIỆT QUỐC - THÙNG</x:v>
      </x:c>
      <x:c r="B226" s="37" t="str">
        <x:v>SRVNVQT</x:v>
      </x:c>
      <x:c r="C226" s="37" t="str">
        <x:v>SRVNVQT</x:v>
      </x:c>
      <x:c r="D226" s="37" t="str">
        <x:v>SRVNVQ</x:v>
      </x:c>
      <x:c r="E226" s="37" t="n">
        <x:v>12</x:v>
      </x:c>
      <x:c r="F226" s="37" t="n">
        <x:v>13000</x:v>
      </x:c>
      <x:c r="G226" s="37" t="str">
        <x:v>g</x:v>
      </x:c>
      <x:c r="H226" s="37" t="str">
        <x:v>THÙNG</x:v>
      </x:c>
      <x:c r="I226" s="59" t="n">
        <x:v>0</x:v>
      </x:c>
      <x:c r="J226" s="59" t="n">
        <x:v>0</x:v>
      </x:c>
      <x:c r="K226" s="83" t="n">
        <x:v>0</x:v>
      </x:c>
    </x:row>
    <x:row r="227">
      <x:c r="A227" s="71" t="str">
        <x:v>SIRO VINA VẢI - THÙNG</x:v>
      </x:c>
      <x:c r="B227" s="37" t="str">
        <x:v>SRVNVAT</x:v>
      </x:c>
      <x:c r="C227" s="37" t="str">
        <x:v>SRVNVAT</x:v>
      </x:c>
      <x:c r="D227" s="37" t="str">
        <x:v>SRVNVA</x:v>
      </x:c>
      <x:c r="E227" s="37" t="n">
        <x:v>12</x:v>
      </x:c>
      <x:c r="F227" s="37" t="n">
        <x:v>13000</x:v>
      </x:c>
      <x:c r="G227" s="37" t="str">
        <x:v>g</x:v>
      </x:c>
      <x:c r="H227" s="37" t="str">
        <x:v>THÙNG</x:v>
      </x:c>
      <x:c r="I227" s="59" t="n">
        <x:v>0</x:v>
      </x:c>
      <x:c r="J227" s="59" t="n">
        <x:v>0</x:v>
      </x:c>
      <x:c r="K227" s="83" t="n">
        <x:v>0</x:v>
      </x:c>
    </x:row>
    <x:row r="228">
      <x:c r="A228" s="71" t="str">
        <x:v>SIRO VINA SOCOLA - THÙNG</x:v>
      </x:c>
      <x:c r="B228" s="37" t="str">
        <x:v>SRVNSOT</x:v>
      </x:c>
      <x:c r="C228" s="37" t="str">
        <x:v>SRVNSOT</x:v>
      </x:c>
      <x:c r="D228" s="37" t="str">
        <x:v>SRVNSO</x:v>
      </x:c>
      <x:c r="E228" s="37" t="n">
        <x:v>12</x:v>
      </x:c>
      <x:c r="F228" s="37" t="n">
        <x:v>13000</x:v>
      </x:c>
      <x:c r="G228" s="37" t="str">
        <x:v>g</x:v>
      </x:c>
      <x:c r="H228" s="37" t="str">
        <x:v>THÙNG</x:v>
      </x:c>
      <x:c r="I228" s="59" t="n">
        <x:v>0</x:v>
      </x:c>
      <x:c r="J228" s="59" t="n">
        <x:v>0</x:v>
      </x:c>
      <x:c r="K228" s="83" t="n">
        <x:v>0</x:v>
      </x:c>
    </x:row>
    <x:row r="229">
      <x:c r="A229" s="71" t="str">
        <x:v>SIRO VINA SÂM DỨA - THÙNG</x:v>
      </x:c>
      <x:c r="B229" s="37" t="str">
        <x:v>SRVNSDT</x:v>
      </x:c>
      <x:c r="C229" s="37" t="str">
        <x:v>SRVNSDT</x:v>
      </x:c>
      <x:c r="D229" s="37" t="str">
        <x:v>SRVNSD</x:v>
      </x:c>
      <x:c r="E229" s="37" t="n">
        <x:v>12</x:v>
      </x:c>
      <x:c r="F229" s="37" t="n">
        <x:v>13000</x:v>
      </x:c>
      <x:c r="G229" s="37" t="str">
        <x:v>g</x:v>
      </x:c>
      <x:c r="H229" s="37" t="str">
        <x:v>THÙNG</x:v>
      </x:c>
      <x:c r="I229" s="59" t="n">
        <x:v>0</x:v>
      </x:c>
      <x:c r="J229" s="59" t="n">
        <x:v>0</x:v>
      </x:c>
      <x:c r="K229" s="83" t="n">
        <x:v>0</x:v>
      </x:c>
    </x:row>
    <x:row r="230">
      <x:c r="A230" s="71" t="str">
        <x:v>SIRO VINA ỔI - THÙNG</x:v>
      </x:c>
      <x:c r="B230" s="37" t="str">
        <x:v>SRVNOIT</x:v>
      </x:c>
      <x:c r="C230" s="37" t="str">
        <x:v>SRVNOIT</x:v>
      </x:c>
      <x:c r="D230" s="37" t="str">
        <x:v>SRVNOI</x:v>
      </x:c>
      <x:c r="E230" s="37" t="n">
        <x:v>12</x:v>
      </x:c>
      <x:c r="F230" s="37" t="n">
        <x:v>13000</x:v>
      </x:c>
      <x:c r="G230" s="37" t="str">
        <x:v>g</x:v>
      </x:c>
      <x:c r="H230" s="37" t="str">
        <x:v>THÙNG</x:v>
      </x:c>
      <x:c r="I230" s="59" t="n">
        <x:v>0</x:v>
      </x:c>
      <x:c r="J230" s="59" t="n">
        <x:v>0</x:v>
      </x:c>
      <x:c r="K230" s="83" t="n">
        <x:v>0</x:v>
      </x:c>
    </x:row>
    <x:row r="231">
      <x:c r="A231" s="71" t="str">
        <x:v>SIRO VINA NHO - THÙNG</x:v>
      </x:c>
      <x:c r="B231" s="37" t="str">
        <x:v>SRVNNHT</x:v>
      </x:c>
      <x:c r="C231" s="37" t="str">
        <x:v>SRVNNHT</x:v>
      </x:c>
      <x:c r="D231" s="37" t="str">
        <x:v>SRVNNH</x:v>
      </x:c>
      <x:c r="E231" s="37" t="n">
        <x:v>12</x:v>
      </x:c>
      <x:c r="F231" s="37" t="n">
        <x:v>13000</x:v>
      </x:c>
      <x:c r="G231" s="37" t="str">
        <x:v>g</x:v>
      </x:c>
      <x:c r="H231" s="37" t="str">
        <x:v>THÙNG</x:v>
      </x:c>
      <x:c r="I231" s="59" t="n">
        <x:v>0</x:v>
      </x:c>
      <x:c r="J231" s="59" t="n">
        <x:v>0</x:v>
      </x:c>
      <x:c r="K231" s="83" t="n">
        <x:v>0</x:v>
      </x:c>
    </x:row>
    <x:row r="232">
      <x:c r="A232" s="71" t="str">
        <x:v>SIRO VINA MÃNG CẦU - THÙNG</x:v>
      </x:c>
      <x:c r="B232" s="37" t="str">
        <x:v>SRVNMCT</x:v>
      </x:c>
      <x:c r="C232" s="37" t="str">
        <x:v>SRVNMCT</x:v>
      </x:c>
      <x:c r="D232" s="37" t="str">
        <x:v>SRVNMC</x:v>
      </x:c>
      <x:c r="E232" s="37" t="n">
        <x:v>12</x:v>
      </x:c>
      <x:c r="F232" s="37" t="n">
        <x:v>13000</x:v>
      </x:c>
      <x:c r="G232" s="37" t="str">
        <x:v>g</x:v>
      </x:c>
      <x:c r="H232" s="37" t="str">
        <x:v>THÙNG</x:v>
      </x:c>
      <x:c r="I232" s="59" t="n">
        <x:v>0</x:v>
      </x:c>
      <x:c r="J232" s="59" t="n">
        <x:v>0</x:v>
      </x:c>
      <x:c r="K232" s="83" t="n">
        <x:v>0</x:v>
      </x:c>
    </x:row>
    <x:row r="233">
      <x:c r="A233" s="71" t="str">
        <x:v>SIRO VINA ĐÀO - THÙNG</x:v>
      </x:c>
      <x:c r="B233" s="37" t="str">
        <x:v>SRVNDOT</x:v>
      </x:c>
      <x:c r="C233" s="37" t="str">
        <x:v>SRVNDOT</x:v>
      </x:c>
      <x:c r="D233" s="37" t="str">
        <x:v>SRVNDO</x:v>
      </x:c>
      <x:c r="E233" s="37" t="n">
        <x:v>12</x:v>
      </x:c>
      <x:c r="F233" s="37" t="n">
        <x:v>13000</x:v>
      </x:c>
      <x:c r="G233" s="37" t="str">
        <x:v>g</x:v>
      </x:c>
      <x:c r="H233" s="37" t="str">
        <x:v>THÙNG</x:v>
      </x:c>
      <x:c r="I233" s="59" t="n">
        <x:v>0</x:v>
      </x:c>
      <x:c r="J233" s="59" t="n">
        <x:v>468000</x:v>
      </x:c>
      <x:c r="K233" s="83" t="n">
        <x:v>0</x:v>
      </x:c>
    </x:row>
    <x:row r="234">
      <x:c r="A234" s="71" t="str">
        <x:v>SIRO VINA DÂU - THÙNG</x:v>
      </x:c>
      <x:c r="B234" s="37" t="str">
        <x:v>SRVNDAT</x:v>
      </x:c>
      <x:c r="C234" s="37" t="str">
        <x:v>SRVNDAT</x:v>
      </x:c>
      <x:c r="D234" s="37" t="str">
        <x:v>SRVNDA</x:v>
      </x:c>
      <x:c r="E234" s="37" t="n">
        <x:v>12</x:v>
      </x:c>
      <x:c r="F234" s="37" t="n">
        <x:v>13000</x:v>
      </x:c>
      <x:c r="G234" s="37" t="str">
        <x:v>g</x:v>
      </x:c>
      <x:c r="H234" s="37" t="str">
        <x:v>THÙNG</x:v>
      </x:c>
      <x:c r="I234" s="59" t="n">
        <x:v>0</x:v>
      </x:c>
      <x:c r="J234" s="59" t="n">
        <x:v>0</x:v>
      </x:c>
      <x:c r="K234" s="83" t="n">
        <x:v>0</x:v>
      </x:c>
    </x:row>
    <x:row r="235">
      <x:c r="A235" s="71" t="str">
        <x:v>SIRO VINA CAM - THÙNG</x:v>
      </x:c>
      <x:c r="B235" s="37" t="str">
        <x:v>SRVNCAT</x:v>
      </x:c>
      <x:c r="C235" s="37" t="str">
        <x:v>SRVNCAT</x:v>
      </x:c>
      <x:c r="D235" s="37" t="str">
        <x:v>SRVNCA</x:v>
      </x:c>
      <x:c r="E235" s="37" t="n">
        <x:v>12</x:v>
      </x:c>
      <x:c r="F235" s="37" t="n">
        <x:v>13000</x:v>
      </x:c>
      <x:c r="G235" s="37" t="str">
        <x:v>g</x:v>
      </x:c>
      <x:c r="H235" s="37" t="str">
        <x:v>THÙNG</x:v>
      </x:c>
      <x:c r="I235" s="59" t="n">
        <x:v>0</x:v>
      </x:c>
      <x:c r="J235" s="59" t="n">
        <x:v>0</x:v>
      </x:c>
      <x:c r="K235" s="83" t="n">
        <x:v>0</x:v>
      </x:c>
    </x:row>
    <x:row r="236">
      <x:c r="A236" s="71" t="str">
        <x:v>SIRO VINA BẠC HÀ - THÙNG</x:v>
      </x:c>
      <x:c r="B236" s="37" t="str">
        <x:v>SRVNBHT</x:v>
      </x:c>
      <x:c r="C236" s="37" t="str">
        <x:v>SRVNBHT</x:v>
      </x:c>
      <x:c r="D236" s="37" t="str">
        <x:v>SRVNBH</x:v>
      </x:c>
      <x:c r="E236" s="37" t="n">
        <x:v>12</x:v>
      </x:c>
      <x:c r="F236" s="37" t="n">
        <x:v>13000</x:v>
      </x:c>
      <x:c r="G236" s="37" t="str">
        <x:v>g</x:v>
      </x:c>
      <x:c r="H236" s="37" t="str">
        <x:v>THÙNG</x:v>
      </x:c>
      <x:c r="I236" s="59" t="n">
        <x:v>0</x:v>
      </x:c>
      <x:c r="J236" s="59" t="n">
        <x:v>0</x:v>
      </x:c>
      <x:c r="K236" s="83" t="n">
        <x:v>0</x:v>
      </x:c>
    </x:row>
    <x:row r="237">
      <x:c r="A237" s="71" t="str">
        <x:v>SIRO A+ VIỆT QUỐC - THÙNG</x:v>
      </x:c>
      <x:c r="B237" s="37" t="str">
        <x:v>SRAVQUT</x:v>
      </x:c>
      <x:c r="C237" s="37" t="str">
        <x:v>SRAVQUT</x:v>
      </x:c>
      <x:c r="D237" s="37" t="str">
        <x:v>SRAVQU</x:v>
      </x:c>
      <x:c r="E237" s="37" t="n">
        <x:v>24</x:v>
      </x:c>
      <x:c r="F237" s="37" t="n">
        <x:v>16000</x:v>
      </x:c>
      <x:c r="G237" s="37" t="str">
        <x:v>g</x:v>
      </x:c>
      <x:c r="H237" s="37" t="str">
        <x:v>THÙNG</x:v>
      </x:c>
      <x:c r="I237" s="59" t="n">
        <x:v>612000</x:v>
      </x:c>
      <x:c r="J237" s="59" t="n">
        <x:v>0</x:v>
      </x:c>
      <x:c r="K237" s="83" t="n">
        <x:v>0</x:v>
      </x:c>
    </x:row>
    <x:row r="238">
      <x:c r="A238" s="71" t="str">
        <x:v>SIRO VUÔNG VẢI - THÙNG</x:v>
      </x:c>
      <x:c r="B238" s="37" t="str">
        <x:v>SRVAIVT</x:v>
      </x:c>
      <x:c r="C238" s="37" t="str">
        <x:v>SRVAIVT</x:v>
      </x:c>
      <x:c r="D238" s="37" t="str">
        <x:v>SRVAIV</x:v>
      </x:c>
      <x:c r="E238" s="37" t="n">
        <x:v>6</x:v>
      </x:c>
      <x:c r="F238" s="37" t="n">
        <x:v>16000</x:v>
      </x:c>
      <x:c r="G238" s="37" t="str">
        <x:v>g</x:v>
      </x:c>
      <x:c r="H238" s="37" t="str">
        <x:v>THÙNG</x:v>
      </x:c>
      <x:c r="I238" s="59" t="n">
        <x:v>0</x:v>
      </x:c>
      <x:c r="J238" s="59" t="n">
        <x:v>0</x:v>
      </x:c>
      <x:c r="K238" s="83" t="n">
        <x:v>0</x:v>
      </x:c>
    </x:row>
    <x:row r="239">
      <x:c r="A239" s="71" t="str">
        <x:v>SIRO TRÒN VẢI - THÙNG</x:v>
      </x:c>
      <x:c r="B239" s="37" t="str">
        <x:v>SRVAITT</x:v>
      </x:c>
      <x:c r="C239" s="37" t="str">
        <x:v>SRVAITT</x:v>
      </x:c>
      <x:c r="D239" s="37" t="str">
        <x:v>SRVAIT</x:v>
      </x:c>
      <x:c r="E239" s="37" t="n">
        <x:v>6</x:v>
      </x:c>
      <x:c r="F239" s="37" t="n">
        <x:v>16000</x:v>
      </x:c>
      <x:c r="G239" s="37" t="str">
        <x:v>g</x:v>
      </x:c>
      <x:c r="H239" s="37" t="str">
        <x:v>THÙNG</x:v>
      </x:c>
      <x:c r="I239" s="59" t="n">
        <x:v>0</x:v>
      </x:c>
      <x:c r="J239" s="59" t="n">
        <x:v>0</x:v>
      </x:c>
      <x:c r="K239" s="83" t="n">
        <x:v>0</x:v>
      </x:c>
    </x:row>
    <x:row r="240">
      <x:c r="A240" s="71" t="str">
        <x:v>SIRO A+ VẢI - THÙNG</x:v>
      </x:c>
      <x:c r="B240" s="37" t="str">
        <x:v>SRAVAIT</x:v>
      </x:c>
      <x:c r="C240" s="37" t="str">
        <x:v>SRAVAIT</x:v>
      </x:c>
      <x:c r="D240" s="37" t="str">
        <x:v>SRAVAI</x:v>
      </x:c>
      <x:c r="E240" s="37" t="n">
        <x:v>24</x:v>
      </x:c>
      <x:c r="F240" s="37" t="n">
        <x:v>16000</x:v>
      </x:c>
      <x:c r="G240" s="37" t="str">
        <x:v>g</x:v>
      </x:c>
      <x:c r="H240" s="37" t="str">
        <x:v>THÙNG</x:v>
      </x:c>
      <x:c r="I240" s="59" t="n">
        <x:v>612000</x:v>
      </x:c>
      <x:c r="J240" s="59" t="n">
        <x:v>0</x:v>
      </x:c>
      <x:c r="K240" s="83" t="n">
        <x:v>0</x:v>
      </x:c>
    </x:row>
    <x:row r="241">
      <x:c r="A241" s="71" t="str">
        <x:v>SIRO TRINH MÔN - THÙNG</x:v>
      </x:c>
      <x:c r="B241" s="37" t="str">
        <x:v>SRTRMNT</x:v>
      </x:c>
      <x:c r="C241" s="37" t="str">
        <x:v>SRTRMNT</x:v>
      </x:c>
      <x:c r="D241" s="37" t="str">
        <x:v>SRTRMN</x:v>
      </x:c>
      <x:c r="E241" s="37" t="n">
        <x:v>20</x:v>
      </x:c>
      <x:c r="F241" s="37" t="n">
        <x:v>0</x:v>
      </x:c>
      <x:c r="G241" s="37" t="str">
        <x:v>g</x:v>
      </x:c>
      <x:c r="H241" s="37" t="str">
        <x:v>THÙNG</x:v>
      </x:c>
      <x:c r="I241" s="59" t="n">
        <x:v>0</x:v>
      </x:c>
      <x:c r="J241" s="59" t="n">
        <x:v>0</x:v>
      </x:c>
      <x:c r="K241" s="83" t="n">
        <x:v>0</x:v>
      </x:c>
    </x:row>
    <x:row r="242">
      <x:c r="A242" s="71" t="str">
        <x:v>SIRO VUÔNG TÁO - THÙNG</x:v>
      </x:c>
      <x:c r="B242" s="37" t="str">
        <x:v>SRTAOVT</x:v>
      </x:c>
      <x:c r="C242" s="37" t="str">
        <x:v>SRTAOVT</x:v>
      </x:c>
      <x:c r="D242" s="37" t="str">
        <x:v>SRTAOV</x:v>
      </x:c>
      <x:c r="E242" s="37" t="n">
        <x:v>6</x:v>
      </x:c>
      <x:c r="F242" s="37" t="n">
        <x:v>16000</x:v>
      </x:c>
      <x:c r="G242" s="37" t="str">
        <x:v>g</x:v>
      </x:c>
      <x:c r="H242" s="37" t="str">
        <x:v>THÙNG</x:v>
      </x:c>
      <x:c r="I242" s="59" t="n">
        <x:v>0</x:v>
      </x:c>
      <x:c r="J242" s="59" t="n">
        <x:v>0</x:v>
      </x:c>
      <x:c r="K242" s="83" t="n">
        <x:v>0</x:v>
      </x:c>
    </x:row>
    <x:row r="243">
      <x:c r="A243" s="71" t="str">
        <x:v>SIRO TRÒN SOCOLA - THÙNG</x:v>
      </x:c>
      <x:c r="B243" s="37" t="str">
        <x:v>SRSCLTT</x:v>
      </x:c>
      <x:c r="C243" s="37" t="str">
        <x:v>SRSCLTT</x:v>
      </x:c>
      <x:c r="D243" s="37" t="str">
        <x:v>SRSCLT</x:v>
      </x:c>
      <x:c r="E243" s="37" t="n">
        <x:v>6</x:v>
      </x:c>
      <x:c r="F243" s="37" t="n">
        <x:v>16000</x:v>
      </x:c>
      <x:c r="G243" s="37" t="str">
        <x:v>g</x:v>
      </x:c>
      <x:c r="H243" s="37" t="str">
        <x:v>THÙNG</x:v>
      </x:c>
      <x:c r="I243" s="59" t="n">
        <x:v>0</x:v>
      </x:c>
      <x:c r="J243" s="59" t="n">
        <x:v>0</x:v>
      </x:c>
      <x:c r="K243" s="83" t="n">
        <x:v>0</x:v>
      </x:c>
    </x:row>
    <x:row r="244">
      <x:c r="A244" s="71" t="str">
        <x:v>SIRO A+ SOCOLA - THÙNG</x:v>
      </x:c>
      <x:c r="B244" s="37" t="str">
        <x:v>SRASCLT</x:v>
      </x:c>
      <x:c r="C244" s="37" t="str">
        <x:v>SRASCLT</x:v>
      </x:c>
      <x:c r="D244" s="37" t="str">
        <x:v>SRASCL</x:v>
      </x:c>
      <x:c r="E244" s="37" t="n">
        <x:v>24</x:v>
      </x:c>
      <x:c r="F244" s="37" t="n">
        <x:v>16000</x:v>
      </x:c>
      <x:c r="G244" s="37" t="str">
        <x:v>g</x:v>
      </x:c>
      <x:c r="H244" s="37" t="str">
        <x:v>THÙNG</x:v>
      </x:c>
      <x:c r="I244" s="59" t="n">
        <x:v>612000</x:v>
      </x:c>
      <x:c r="J244" s="59" t="n">
        <x:v>0</x:v>
      </x:c>
      <x:c r="K244" s="83" t="n">
        <x:v>0</x:v>
      </x:c>
    </x:row>
    <x:row r="245">
      <x:c r="A245" s="71" t="str">
        <x:v>SIRO A+ SÂM DỨA - THÙNG</x:v>
      </x:c>
      <x:c r="B245" s="37" t="str">
        <x:v>SRASDUT</x:v>
      </x:c>
      <x:c r="C245" s="37" t="str">
        <x:v>SRASDUT</x:v>
      </x:c>
      <x:c r="D245" s="37" t="str">
        <x:v>SRASDU</x:v>
      </x:c>
      <x:c r="E245" s="37" t="n">
        <x:v>24</x:v>
      </x:c>
      <x:c r="F245" s="37" t="n">
        <x:v>16000</x:v>
      </x:c>
      <x:c r="G245" s="37" t="str">
        <x:v>g</x:v>
      </x:c>
      <x:c r="H245" s="37" t="str">
        <x:v>THÙNG</x:v>
      </x:c>
      <x:c r="I245" s="59" t="n">
        <x:v>612000</x:v>
      </x:c>
      <x:c r="J245" s="59" t="n">
        <x:v>0</x:v>
      </x:c>
      <x:c r="K245" s="83" t="n">
        <x:v>0</x:v>
      </x:c>
    </x:row>
    <x:row r="246">
      <x:c r="A246" s="71" t="str">
        <x:v>SIRO PIXIE VIỆT QUỐC - THÙNG</x:v>
      </x:c>
      <x:c r="B246" s="37" t="str">
        <x:v>PIXVQUT</x:v>
      </x:c>
      <x:c r="C246" s="37" t="str">
        <x:v>PIXVQUT</x:v>
      </x:c>
      <x:c r="D246" s="37" t="str">
        <x:v>PIXVQU</x:v>
      </x:c>
      <x:c r="E246" s="37" t="n">
        <x:v>12</x:v>
      </x:c>
      <x:c r="F246" s="37" t="n">
        <x:v>13000</x:v>
      </x:c>
      <x:c r="G246" s="37" t="str">
        <x:v>g</x:v>
      </x:c>
      <x:c r="H246" s="37" t="str">
        <x:v>THÙNG</x:v>
      </x:c>
      <x:c r="I246" s="59" t="n">
        <x:v>675000</x:v>
      </x:c>
      <x:c r="J246" s="59" t="n">
        <x:v>0</x:v>
      </x:c>
      <x:c r="K246" s="83" t="n">
        <x:v>0</x:v>
      </x:c>
    </x:row>
    <x:row r="247">
      <x:c r="A247" s="71" t="str">
        <x:v>SIRO PIXIE VẢI - THÙNG</x:v>
      </x:c>
      <x:c r="B247" s="37" t="str">
        <x:v>PIXVAIT</x:v>
      </x:c>
      <x:c r="C247" s="37" t="str">
        <x:v>PIXVAIT</x:v>
      </x:c>
      <x:c r="D247" s="37" t="str">
        <x:v>PIXVAI</x:v>
      </x:c>
      <x:c r="E247" s="37" t="n">
        <x:v>12</x:v>
      </x:c>
      <x:c r="F247" s="37" t="n">
        <x:v>13000</x:v>
      </x:c>
      <x:c r="G247" s="37" t="str">
        <x:v>g</x:v>
      </x:c>
      <x:c r="H247" s="37" t="str">
        <x:v>THÙNG</x:v>
      </x:c>
      <x:c r="I247" s="59" t="n">
        <x:v>665000</x:v>
      </x:c>
      <x:c r="J247" s="59" t="n">
        <x:v>0</x:v>
      </x:c>
      <x:c r="K247" s="83" t="n">
        <x:v>0</x:v>
      </x:c>
    </x:row>
    <x:row r="248">
      <x:c r="A248" s="71" t="str">
        <x:v>SIRO PIXIE TÁO - THÙNG</x:v>
      </x:c>
      <x:c r="B248" s="37" t="str">
        <x:v>PIXTAOT</x:v>
      </x:c>
      <x:c r="C248" s="37" t="str">
        <x:v>PIXTAOT</x:v>
      </x:c>
      <x:c r="D248" s="37" t="str">
        <x:v>PIXTAO</x:v>
      </x:c>
      <x:c r="E248" s="37" t="n">
        <x:v>12</x:v>
      </x:c>
      <x:c r="F248" s="37" t="n">
        <x:v>13000</x:v>
      </x:c>
      <x:c r="G248" s="37" t="str">
        <x:v>g</x:v>
      </x:c>
      <x:c r="H248" s="37" t="str">
        <x:v>THÙNG</x:v>
      </x:c>
      <x:c r="I248" s="59" t="n">
        <x:v>665000</x:v>
      </x:c>
      <x:c r="J248" s="59" t="n">
        <x:v>0</x:v>
      </x:c>
      <x:c r="K248" s="83" t="n">
        <x:v>0</x:v>
      </x:c>
    </x:row>
    <x:row r="249">
      <x:c r="A249" s="71" t="str">
        <x:v>SIRO PIXIE SOCOLA - THÙNG</x:v>
      </x:c>
      <x:c r="B249" s="37" t="str">
        <x:v>PIXSCLT</x:v>
      </x:c>
      <x:c r="C249" s="37" t="str">
        <x:v>PIXSCLT</x:v>
      </x:c>
      <x:c r="D249" s="37" t="str">
        <x:v>PIXSCL</x:v>
      </x:c>
      <x:c r="E249" s="37" t="n">
        <x:v>12</x:v>
      </x:c>
      <x:c r="F249" s="37" t="n">
        <x:v>13000</x:v>
      </x:c>
      <x:c r="G249" s="37" t="str">
        <x:v>g</x:v>
      </x:c>
      <x:c r="H249" s="37" t="str">
        <x:v>THÙNG</x:v>
      </x:c>
      <x:c r="I249" s="59" t="n">
        <x:v>665000</x:v>
      </x:c>
      <x:c r="J249" s="59" t="n">
        <x:v>0</x:v>
      </x:c>
      <x:c r="K249" s="83" t="n">
        <x:v>0</x:v>
      </x:c>
    </x:row>
    <x:row r="250">
      <x:c r="A250" s="71" t="str">
        <x:v>SIRO PIXIE NHO - THÙNG</x:v>
      </x:c>
      <x:c r="B250" s="37" t="str">
        <x:v>PIXNHOT</x:v>
      </x:c>
      <x:c r="C250" s="37" t="str">
        <x:v>PIXNHOT</x:v>
      </x:c>
      <x:c r="D250" s="37" t="str">
        <x:v>PIXNHO</x:v>
      </x:c>
      <x:c r="E250" s="37" t="n">
        <x:v>12</x:v>
      </x:c>
      <x:c r="F250" s="37" t="n">
        <x:v>13000</x:v>
      </x:c>
      <x:c r="G250" s="37" t="str">
        <x:v>g</x:v>
      </x:c>
      <x:c r="H250" s="37" t="str">
        <x:v>THÙNG</x:v>
      </x:c>
      <x:c r="I250" s="59" t="n">
        <x:v>665000</x:v>
      </x:c>
      <x:c r="J250" s="59" t="n">
        <x:v>0</x:v>
      </x:c>
      <x:c r="K250" s="83" t="n">
        <x:v>0</x:v>
      </x:c>
    </x:row>
    <x:row r="251">
      <x:c r="A251" s="71" t="str">
        <x:v>SIRO PIXIE MATCHA - THÙNG</x:v>
      </x:c>
      <x:c r="B251" s="37" t="str">
        <x:v>PIXMATT</x:v>
      </x:c>
      <x:c r="C251" s="37" t="str">
        <x:v>PIXMATT</x:v>
      </x:c>
      <x:c r="D251" s="37" t="str">
        <x:v>PIXMAT</x:v>
      </x:c>
      <x:c r="E251" s="37" t="n">
        <x:v>12</x:v>
      </x:c>
      <x:c r="F251" s="37" t="n">
        <x:v>13000</x:v>
      </x:c>
      <x:c r="G251" s="37" t="str">
        <x:v>g</x:v>
      </x:c>
      <x:c r="H251" s="37" t="str">
        <x:v>THÙNG</x:v>
      </x:c>
      <x:c r="I251" s="59" t="n">
        <x:v>665000</x:v>
      </x:c>
      <x:c r="J251" s="59" t="n">
        <x:v>0</x:v>
      </x:c>
      <x:c r="K251" s="83" t="n">
        <x:v>0</x:v>
      </x:c>
    </x:row>
    <x:row r="252">
      <x:c r="A252" s="71" t="str">
        <x:v>SIRO PIXIE KIWI - THÙNG</x:v>
      </x:c>
      <x:c r="B252" s="37" t="str">
        <x:v>PIXKWIT</x:v>
      </x:c>
      <x:c r="C252" s="37" t="str">
        <x:v>PIXKWIT</x:v>
      </x:c>
      <x:c r="D252" s="37" t="str">
        <x:v>PIXKWI</x:v>
      </x:c>
      <x:c r="E252" s="37" t="n">
        <x:v>12</x:v>
      </x:c>
      <x:c r="F252" s="37" t="n">
        <x:v>13000</x:v>
      </x:c>
      <x:c r="G252" s="37" t="str">
        <x:v>g</x:v>
      </x:c>
      <x:c r="H252" s="37" t="str">
        <x:v>THÙNG</x:v>
      </x:c>
      <x:c r="I252" s="59" t="n">
        <x:v>665000</x:v>
      </x:c>
      <x:c r="J252" s="59" t="n">
        <x:v>0</x:v>
      </x:c>
      <x:c r="K252" s="83" t="n">
        <x:v>0</x:v>
      </x:c>
    </x:row>
    <x:row r="253">
      <x:c r="A253" s="71" t="str">
        <x:v>SIRO PIXIE ĐÀO - THÙNG</x:v>
      </x:c>
      <x:c r="B253" s="37" t="str">
        <x:v>PIXDAOT</x:v>
      </x:c>
      <x:c r="C253" s="37" t="str">
        <x:v>PIXDAOT</x:v>
      </x:c>
      <x:c r="D253" s="37" t="str">
        <x:v>PIXDAO</x:v>
      </x:c>
      <x:c r="E253" s="37" t="n">
        <x:v>12</x:v>
      </x:c>
      <x:c r="F253" s="37" t="n">
        <x:v>13000</x:v>
      </x:c>
      <x:c r="G253" s="37" t="str">
        <x:v>g</x:v>
      </x:c>
      <x:c r="H253" s="37" t="str">
        <x:v>THÙNG</x:v>
      </x:c>
      <x:c r="I253" s="59" t="n">
        <x:v>665000</x:v>
      </x:c>
      <x:c r="J253" s="59" t="n">
        <x:v>0</x:v>
      </x:c>
      <x:c r="K253" s="83" t="n">
        <x:v>0</x:v>
      </x:c>
    </x:row>
    <x:row r="254">
      <x:c r="A254" s="71" t="str">
        <x:v>SIRO PIXIE DƯA LƯỚI - THÙNG</x:v>
      </x:c>
      <x:c r="B254" s="37" t="str">
        <x:v>PIXDLUT</x:v>
      </x:c>
      <x:c r="C254" s="37" t="str">
        <x:v>PIXDLUT</x:v>
      </x:c>
      <x:c r="D254" s="37" t="str">
        <x:v>PIXDLU</x:v>
      </x:c>
      <x:c r="E254" s="37" t="n">
        <x:v>12</x:v>
      </x:c>
      <x:c r="F254" s="37" t="n">
        <x:v>13000</x:v>
      </x:c>
      <x:c r="G254" s="37" t="str">
        <x:v>g</x:v>
      </x:c>
      <x:c r="H254" s="37" t="str">
        <x:v>THÙNG</x:v>
      </x:c>
      <x:c r="I254" s="59" t="n">
        <x:v>665000</x:v>
      </x:c>
      <x:c r="J254" s="59" t="n">
        <x:v>0</x:v>
      </x:c>
      <x:c r="K254" s="83" t="n">
        <x:v>0</x:v>
      </x:c>
    </x:row>
    <x:row r="255">
      <x:c r="A255" s="71" t="str">
        <x:v>SIRO PIXIE DÂU - THÙNG</x:v>
      </x:c>
      <x:c r="B255" s="37" t="str">
        <x:v>PIXDAUT</x:v>
      </x:c>
      <x:c r="C255" s="37" t="str">
        <x:v>PIXDAUT</x:v>
      </x:c>
      <x:c r="D255" s="37" t="str">
        <x:v>PIXDAU</x:v>
      </x:c>
      <x:c r="E255" s="37" t="n">
        <x:v>12</x:v>
      </x:c>
      <x:c r="F255" s="37" t="n">
        <x:v>13000</x:v>
      </x:c>
      <x:c r="G255" s="37" t="str">
        <x:v>g</x:v>
      </x:c>
      <x:c r="H255" s="37" t="str">
        <x:v>THÙNG</x:v>
      </x:c>
      <x:c r="I255" s="59" t="n">
        <x:v>665000</x:v>
      </x:c>
      <x:c r="J255" s="59" t="n">
        <x:v>0</x:v>
      </x:c>
      <x:c r="K255" s="83" t="n">
        <x:v>0</x:v>
      </x:c>
    </x:row>
    <x:row r="256">
      <x:c r="A256" s="71" t="str">
        <x:v>SIRO PIXIE CHANH DÂY - THÙNG</x:v>
      </x:c>
      <x:c r="B256" s="37" t="str">
        <x:v>PIXCDAT</x:v>
      </x:c>
      <x:c r="C256" s="37" t="str">
        <x:v>PIXCDAT</x:v>
      </x:c>
      <x:c r="D256" s="37" t="str">
        <x:v>PIXCDA</x:v>
      </x:c>
      <x:c r="E256" s="37" t="n">
        <x:v>12</x:v>
      </x:c>
      <x:c r="F256" s="37" t="n">
        <x:v>13000</x:v>
      </x:c>
      <x:c r="G256" s="37" t="str">
        <x:v>g</x:v>
      </x:c>
      <x:c r="H256" s="37" t="str">
        <x:v>THÙNG</x:v>
      </x:c>
      <x:c r="I256" s="59" t="n">
        <x:v>665000</x:v>
      </x:c>
      <x:c r="J256" s="59" t="n">
        <x:v>0</x:v>
      </x:c>
      <x:c r="K256" s="83" t="n">
        <x:v>0</x:v>
      </x:c>
    </x:row>
    <x:row r="257">
      <x:c r="A257" s="71" t="str">
        <x:v>SIRO PIXIE BLUE PUNCH - THÙNG</x:v>
      </x:c>
      <x:c r="B257" s="37" t="str">
        <x:v>PIXPUNT</x:v>
      </x:c>
      <x:c r="C257" s="37" t="str">
        <x:v>PIXPUNT</x:v>
      </x:c>
      <x:c r="D257" s="37" t="str">
        <x:v>PIXPUN</x:v>
      </x:c>
      <x:c r="E257" s="37" t="n">
        <x:v>12</x:v>
      </x:c>
      <x:c r="F257" s="37" t="n">
        <x:v>13000</x:v>
      </x:c>
      <x:c r="G257" s="37" t="str">
        <x:v>g</x:v>
      </x:c>
      <x:c r="H257" s="37" t="str">
        <x:v>THÙNG</x:v>
      </x:c>
      <x:c r="I257" s="59" t="n">
        <x:v>665000</x:v>
      </x:c>
      <x:c r="J257" s="59" t="n">
        <x:v>0</x:v>
      </x:c>
      <x:c r="K257" s="83" t="n">
        <x:v>0</x:v>
      </x:c>
    </x:row>
    <x:row r="258">
      <x:c r="A258" s="71" t="str">
        <x:v>SIRO PIXIE BLUE CURACAO - THÙNG</x:v>
      </x:c>
      <x:c r="B258" s="37" t="str">
        <x:v>PIXBLUT</x:v>
      </x:c>
      <x:c r="C258" s="37" t="str">
        <x:v>PIXBLUT</x:v>
      </x:c>
      <x:c r="D258" s="37" t="str">
        <x:v>PIXBLU</x:v>
      </x:c>
      <x:c r="E258" s="37" t="n">
        <x:v>12</x:v>
      </x:c>
      <x:c r="F258" s="37" t="n">
        <x:v>13000</x:v>
      </x:c>
      <x:c r="G258" s="37" t="str">
        <x:v>g</x:v>
      </x:c>
      <x:c r="H258" s="37" t="str">
        <x:v>THÙNG</x:v>
      </x:c>
      <x:c r="I258" s="59" t="n">
        <x:v>665000</x:v>
      </x:c>
      <x:c r="J258" s="59" t="n">
        <x:v>0</x:v>
      </x:c>
      <x:c r="K258" s="83" t="n">
        <x:v>0</x:v>
      </x:c>
    </x:row>
    <x:row r="259">
      <x:c r="A259" s="71" t="str">
        <x:v>SIRO PIXIE BẠC HÀ - THÙNG</x:v>
      </x:c>
      <x:c r="B259" s="37" t="str">
        <x:v>PIXBHAT</x:v>
      </x:c>
      <x:c r="C259" s="37" t="str">
        <x:v>PIXBHAT</x:v>
      </x:c>
      <x:c r="D259" s="37" t="str">
        <x:v>PIXBHA</x:v>
      </x:c>
      <x:c r="E259" s="37" t="n">
        <x:v>12</x:v>
      </x:c>
      <x:c r="F259" s="37" t="n">
        <x:v>13000</x:v>
      </x:c>
      <x:c r="G259" s="37" t="str">
        <x:v>g</x:v>
      </x:c>
      <x:c r="H259" s="37" t="str">
        <x:v>THÙNG</x:v>
      </x:c>
      <x:c r="I259" s="59" t="n">
        <x:v>665000</x:v>
      </x:c>
      <x:c r="J259" s="59" t="n">
        <x:v>0</x:v>
      </x:c>
      <x:c r="K259" s="83" t="n">
        <x:v>0</x:v>
      </x:c>
    </x:row>
    <x:row r="260">
      <x:c r="A260" s="71" t="str">
        <x:v>GTP ỔI - THÙNG</x:v>
      </x:c>
      <x:c r="B260" s="37" t="str">
        <x:v>GTPOIIT</x:v>
      </x:c>
      <x:c r="C260" s="37" t="str">
        <x:v>GTPOIIT</x:v>
      </x:c>
      <x:c r="D260" s="37" t="str">
        <x:v>GTPOII</x:v>
      </x:c>
      <x:c r="E260" s="37" t="n">
        <x:v>6</x:v>
      </x:c>
      <x:c r="F260" s="37" t="n">
        <x:v>16000</x:v>
      </x:c>
      <x:c r="G260" s="37" t="str">
        <x:v>g</x:v>
      </x:c>
      <x:c r="H260" s="37" t="str">
        <x:v>THÙNG</x:v>
      </x:c>
      <x:c r="I260" s="59" t="n">
        <x:v>0</x:v>
      </x:c>
      <x:c r="J260" s="59" t="n">
        <x:v>834000</x:v>
      </x:c>
      <x:c r="K260" s="83" t="n">
        <x:v>0</x:v>
      </x:c>
    </x:row>
    <x:row r="261">
      <x:c r="A261" s="71" t="str">
        <x:v>GTP MÔN - THÙNG</x:v>
      </x:c>
      <x:c r="B261" s="37" t="str">
        <x:v>GTPMONT</x:v>
      </x:c>
      <x:c r="C261" s="37" t="str">
        <x:v>GTPMONT</x:v>
      </x:c>
      <x:c r="D261" s="37" t="str">
        <x:v>GTPMON</x:v>
      </x:c>
      <x:c r="E261" s="37" t="n">
        <x:v>6</x:v>
      </x:c>
      <x:c r="F261" s="37" t="n">
        <x:v>16000</x:v>
      </x:c>
      <x:c r="G261" s="37" t="str">
        <x:v>g</x:v>
      </x:c>
      <x:c r="H261" s="37" t="str">
        <x:v>THÙNG</x:v>
      </x:c>
      <x:c r="I261" s="59" t="n">
        <x:v>0</x:v>
      </x:c>
      <x:c r="J261" s="59" t="n">
        <x:v>0</x:v>
      </x:c>
      <x:c r="K261" s="83" t="n">
        <x:v>0</x:v>
      </x:c>
    </x:row>
    <x:row r="262">
      <x:c r="A262" s="71" t="str">
        <x:v>SIRO A+ MÔN - THÙNG</x:v>
      </x:c>
      <x:c r="B262" s="37" t="str">
        <x:v>SRAMONT</x:v>
      </x:c>
      <x:c r="C262" s="37" t="str">
        <x:v>SRAMONT</x:v>
      </x:c>
      <x:c r="D262" s="37" t="str">
        <x:v>SRAMON</x:v>
      </x:c>
      <x:c r="E262" s="37" t="n">
        <x:v>24</x:v>
      </x:c>
      <x:c r="F262" s="37" t="n">
        <x:v>16000</x:v>
      </x:c>
      <x:c r="G262" s="37" t="str">
        <x:v>g</x:v>
      </x:c>
      <x:c r="H262" s="37" t="str">
        <x:v>THÙNG</x:v>
      </x:c>
      <x:c r="I262" s="59" t="n">
        <x:v>612000</x:v>
      </x:c>
      <x:c r="J262" s="59" t="n">
        <x:v>0</x:v>
      </x:c>
      <x:c r="K262" s="83" t="n">
        <x:v>0</x:v>
      </x:c>
    </x:row>
    <x:row r="263">
      <x:c r="A263" s="71" t="str">
        <x:v>SIRO MAULIN VẢI - THÙNG</x:v>
      </x:c>
      <x:c r="B263" s="37" t="str">
        <x:v>SRMLVAT</x:v>
      </x:c>
      <x:c r="C263" s="37" t="str">
        <x:v>SRMLVAT</x:v>
      </x:c>
      <x:c r="D263" s="37" t="str">
        <x:v>SRMLVA</x:v>
      </x:c>
      <x:c r="E263" s="37" t="n">
        <x:v>6</x:v>
      </x:c>
      <x:c r="F263" s="37" t="n">
        <x:v>16</x:v>
      </x:c>
      <x:c r="G263" s="37" t="str">
        <x:v>kg</x:v>
      </x:c>
      <x:c r="H263" s="37" t="str">
        <x:v>THÙNG</x:v>
      </x:c>
      <x:c r="I263" s="59" t="n">
        <x:v>0</x:v>
      </x:c>
      <x:c r="J263" s="59" t="n">
        <x:v>0</x:v>
      </x:c>
      <x:c r="K263" s="83" t="n">
        <x:v>0</x:v>
      </x:c>
    </x:row>
    <x:row r="264">
      <x:c r="A264" s="71" t="str">
        <x:v>SIRO MAULIN ĐÀO - THÙNG</x:v>
      </x:c>
      <x:c r="B264" s="37" t="str">
        <x:v>SRMLDOT</x:v>
      </x:c>
      <x:c r="C264" s="37" t="str">
        <x:v>SRMLDOT</x:v>
      </x:c>
      <x:c r="D264" s="37" t="str">
        <x:v>SRMLDO</x:v>
      </x:c>
      <x:c r="E264" s="37" t="n">
        <x:v>6</x:v>
      </x:c>
      <x:c r="F264" s="37" t="n">
        <x:v>16</x:v>
      </x:c>
      <x:c r="G264" s="37" t="str">
        <x:v>kg</x:v>
      </x:c>
      <x:c r="H264" s="37" t="str">
        <x:v>THÙNG</x:v>
      </x:c>
      <x:c r="I264" s="59" t="n">
        <x:v>0</x:v>
      </x:c>
      <x:c r="J264" s="59" t="n">
        <x:v>0</x:v>
      </x:c>
      <x:c r="K264" s="83" t="n">
        <x:v>0</x:v>
      </x:c>
    </x:row>
    <x:row r="265">
      <x:c r="A265" s="71" t="str">
        <x:v>SIRO MAULIN DƯA LƯỚI - THÙNG</x:v>
      </x:c>
      <x:c r="B265" s="37" t="str">
        <x:v>SRMLDLT</x:v>
      </x:c>
      <x:c r="C265" s="37" t="str">
        <x:v>SRMLDLT</x:v>
      </x:c>
      <x:c r="D265" s="37" t="str">
        <x:v>SRMLDL</x:v>
      </x:c>
      <x:c r="E265" s="37" t="n">
        <x:v>6</x:v>
      </x:c>
      <x:c r="F265" s="37" t="n">
        <x:v>16</x:v>
      </x:c>
      <x:c r="G265" s="37" t="str">
        <x:v>kg</x:v>
      </x:c>
      <x:c r="H265" s="37" t="str">
        <x:v>THÙNG</x:v>
      </x:c>
      <x:c r="I265" s="59" t="n">
        <x:v>0</x:v>
      </x:c>
      <x:c r="J265" s="59" t="n">
        <x:v>0</x:v>
      </x:c>
      <x:c r="K265" s="83" t="n">
        <x:v>0</x:v>
      </x:c>
    </x:row>
    <x:row r="266">
      <x:c r="A266" s="71" t="str">
        <x:v>SIRO MAULIN DÂU - THÙNG</x:v>
      </x:c>
      <x:c r="B266" s="37" t="str">
        <x:v>SRMLDAT</x:v>
      </x:c>
      <x:c r="C266" s="37" t="str">
        <x:v>SRMLDAT</x:v>
      </x:c>
      <x:c r="D266" s="37" t="str">
        <x:v>SRMLDA</x:v>
      </x:c>
      <x:c r="E266" s="37" t="n">
        <x:v>6</x:v>
      </x:c>
      <x:c r="F266" s="37" t="n">
        <x:v>16</x:v>
      </x:c>
      <x:c r="G266" s="37" t="str">
        <x:v>kg</x:v>
      </x:c>
      <x:c r="H266" s="37" t="str">
        <x:v>THÙNG</x:v>
      </x:c>
      <x:c r="I266" s="59" t="n">
        <x:v>0</x:v>
      </x:c>
      <x:c r="J266" s="59" t="n">
        <x:v>0</x:v>
      </x:c>
      <x:c r="K266" s="83" t="n">
        <x:v>0</x:v>
      </x:c>
    </x:row>
    <x:row r="267">
      <x:c r="A267" s="71" t="str">
        <x:v>SIRO MAMA XOÀI - THÙNG</x:v>
      </x:c>
      <x:c r="B267" s="37" t="str">
        <x:v>SRMMXOT</x:v>
      </x:c>
      <x:c r="C267" s="37" t="str">
        <x:v>SRMMXOT</x:v>
      </x:c>
      <x:c r="D267" s="37" t="str">
        <x:v>SRMMXO</x:v>
      </x:c>
      <x:c r="E267" s="37" t="n">
        <x:v>12</x:v>
      </x:c>
      <x:c r="F267" s="37" t="n">
        <x:v>13000</x:v>
      </x:c>
      <x:c r="G267" s="37" t="str">
        <x:v>g</x:v>
      </x:c>
      <x:c r="H267" s="37" t="str">
        <x:v>THÙNG</x:v>
      </x:c>
      <x:c r="I267" s="59" t="n">
        <x:v>610000</x:v>
      </x:c>
      <x:c r="J267" s="59" t="n">
        <x:v>624000</x:v>
      </x:c>
      <x:c r="K267" s="83" t="n">
        <x:v>0</x:v>
      </x:c>
    </x:row>
    <x:row r="268">
      <x:c r="A268" s="71" t="str">
        <x:v>SIRO MAMA VỎ CAM - THÙNG</x:v>
      </x:c>
      <x:c r="B268" s="37" t="str">
        <x:v>SRMMVCT</x:v>
      </x:c>
      <x:c r="C268" s="37" t="str">
        <x:v>SRMMVCT</x:v>
      </x:c>
      <x:c r="D268" s="37" t="str">
        <x:v>SRMMVC</x:v>
      </x:c>
      <x:c r="E268" s="37" t="n">
        <x:v>12</x:v>
      </x:c>
      <x:c r="F268" s="37" t="n">
        <x:v>13000</x:v>
      </x:c>
      <x:c r="G268" s="37" t="str">
        <x:v>g</x:v>
      </x:c>
      <x:c r="H268" s="37" t="str">
        <x:v>THÙNG</x:v>
      </x:c>
      <x:c r="I268" s="59" t="n">
        <x:v>0</x:v>
      </x:c>
      <x:c r="J268" s="59" t="n">
        <x:v>800000</x:v>
      </x:c>
      <x:c r="K268" s="83" t="n">
        <x:v>0</x:v>
      </x:c>
    </x:row>
    <x:row r="269">
      <x:c r="A269" s="71" t="str">
        <x:v>SIRO MAMA VIỆT QUỐC PHÁP - THÙNG</x:v>
      </x:c>
      <x:c r="B269" s="37" t="str">
        <x:v>SRMMVPT</x:v>
      </x:c>
      <x:c r="C269" s="37" t="str">
        <x:v>SRMMVPT</x:v>
      </x:c>
      <x:c r="D269" s="37" t="str">
        <x:v>SRMMVP</x:v>
      </x:c>
      <x:c r="E269" s="37" t="n">
        <x:v>12</x:v>
      </x:c>
      <x:c r="F269" s="37" t="n">
        <x:v>13000</x:v>
      </x:c>
      <x:c r="G269" s="37" t="str">
        <x:v>g</x:v>
      </x:c>
      <x:c r="H269" s="37" t="str">
        <x:v>THÙNG</x:v>
      </x:c>
      <x:c r="I269" s="59" t="n">
        <x:v>610000</x:v>
      </x:c>
      <x:c r="J269" s="59" t="n">
        <x:v>624000</x:v>
      </x:c>
      <x:c r="K269" s="83" t="n">
        <x:v>0</x:v>
      </x:c>
    </x:row>
    <x:row r="270">
      <x:c r="A270" s="71" t="str">
        <x:v>SIRO MAMA TRÀ XANH - THÙNG</x:v>
      </x:c>
      <x:c r="B270" s="37" t="str">
        <x:v>SRMMTXT</x:v>
      </x:c>
      <x:c r="C270" s="37" t="str">
        <x:v>SRMMTXT</x:v>
      </x:c>
      <x:c r="D270" s="37" t="str">
        <x:v>SRMMTX</x:v>
      </x:c>
      <x:c r="E270" s="37" t="n">
        <x:v>12</x:v>
      </x:c>
      <x:c r="F270" s="37" t="n">
        <x:v>13000</x:v>
      </x:c>
      <x:c r="G270" s="37" t="str">
        <x:v>g</x:v>
      </x:c>
      <x:c r="H270" s="37" t="str">
        <x:v>THÙNG</x:v>
      </x:c>
      <x:c r="I270" s="59" t="n">
        <x:v>610000</x:v>
      </x:c>
      <x:c r="J270" s="59" t="n">
        <x:v>624000</x:v>
      </x:c>
      <x:c r="K270" s="83" t="n">
        <x:v>0</x:v>
      </x:c>
    </x:row>
    <x:row r="271">
      <x:c r="A271" s="71" t="str">
        <x:v>SIRO MAMA TRÀ ĐÀO - THÙNG</x:v>
      </x:c>
      <x:c r="B271" s="37" t="str">
        <x:v>SRMMTDT</x:v>
      </x:c>
      <x:c r="C271" s="37" t="str">
        <x:v>SRMMTDT</x:v>
      </x:c>
      <x:c r="D271" s="37" t="str">
        <x:v>SRMMTD</x:v>
      </x:c>
      <x:c r="E271" s="37" t="n">
        <x:v>12</x:v>
      </x:c>
      <x:c r="F271" s="37" t="n">
        <x:v>13000</x:v>
      </x:c>
      <x:c r="G271" s="37" t="str">
        <x:v>g</x:v>
      </x:c>
      <x:c r="H271" s="37" t="str">
        <x:v>THÙNG</x:v>
      </x:c>
      <x:c r="I271" s="59" t="n">
        <x:v>610000</x:v>
      </x:c>
      <x:c r="J271" s="59" t="n">
        <x:v>624000</x:v>
      </x:c>
      <x:c r="K271" s="83" t="n">
        <x:v>0</x:v>
      </x:c>
    </x:row>
    <x:row r="272">
      <x:c r="A272" s="71" t="str">
        <x:v>SIRO MAMA THƠM - THÙNG</x:v>
      </x:c>
      <x:c r="B272" s="37" t="str">
        <x:v>SRMMTHT</x:v>
      </x:c>
      <x:c r="C272" s="37" t="str">
        <x:v>SRMMTHT</x:v>
      </x:c>
      <x:c r="D272" s="37" t="str">
        <x:v>SRMMTH</x:v>
      </x:c>
      <x:c r="E272" s="37" t="n">
        <x:v>12</x:v>
      </x:c>
      <x:c r="F272" s="37" t="n">
        <x:v>13000</x:v>
      </x:c>
      <x:c r="G272" s="37" t="str">
        <x:v>g</x:v>
      </x:c>
      <x:c r="H272" s="37" t="str">
        <x:v>THÙNG</x:v>
      </x:c>
      <x:c r="I272" s="59" t="n">
        <x:v>610000</x:v>
      </x:c>
      <x:c r="J272" s="59" t="n">
        <x:v>624000</x:v>
      </x:c>
      <x:c r="K272" s="83" t="n">
        <x:v>0</x:v>
      </x:c>
    </x:row>
    <x:row r="273">
      <x:c r="A273" s="71" t="str">
        <x:v>SIRO MAMA SOCOLA - THÙNG</x:v>
      </x:c>
      <x:c r="B273" s="37" t="str">
        <x:v>SRMMSOT</x:v>
      </x:c>
      <x:c r="C273" s="37" t="str">
        <x:v>SRMMSOT</x:v>
      </x:c>
      <x:c r="D273" s="37" t="str">
        <x:v>SRMMSO</x:v>
      </x:c>
      <x:c r="E273" s="37" t="n">
        <x:v>12</x:v>
      </x:c>
      <x:c r="F273" s="37" t="n">
        <x:v>13000</x:v>
      </x:c>
      <x:c r="G273" s="37" t="str">
        <x:v>g</x:v>
      </x:c>
      <x:c r="H273" s="37" t="str">
        <x:v>THÙNG</x:v>
      </x:c>
      <x:c r="I273" s="59" t="n">
        <x:v>610000</x:v>
      </x:c>
      <x:c r="J273" s="59" t="n">
        <x:v>624000</x:v>
      </x:c>
      <x:c r="K273" s="83" t="n">
        <x:v>0</x:v>
      </x:c>
    </x:row>
    <x:row r="274">
      <x:c r="A274" s="71" t="str">
        <x:v>SIRO MAMA SẢ - THÙNG</x:v>
      </x:c>
      <x:c r="B274" s="37" t="str">
        <x:v>SRMMSAT</x:v>
      </x:c>
      <x:c r="C274" s="37" t="str">
        <x:v>SRMMSAT</x:v>
      </x:c>
      <x:c r="D274" s="37" t="str">
        <x:v>SRMMSA</x:v>
      </x:c>
      <x:c r="E274" s="37" t="n">
        <x:v>12</x:v>
      </x:c>
      <x:c r="F274" s="37" t="n">
        <x:v>13000</x:v>
      </x:c>
      <x:c r="G274" s="37" t="str">
        <x:v>g</x:v>
      </x:c>
      <x:c r="H274" s="37" t="str">
        <x:v>THÙNG</x:v>
      </x:c>
      <x:c r="I274" s="59" t="n">
        <x:v>610000</x:v>
      </x:c>
      <x:c r="J274" s="59" t="n">
        <x:v>624000</x:v>
      </x:c>
      <x:c r="K274" s="83" t="n">
        <x:v>0</x:v>
      </x:c>
    </x:row>
    <x:row r="275">
      <x:c r="A275" s="71" t="str">
        <x:v>SIRO MAMA PHÚC BỒN TỬ - THÙNG</x:v>
      </x:c>
      <x:c r="B275" s="37" t="str">
        <x:v>SRMMPBT</x:v>
      </x:c>
      <x:c r="C275" s="37" t="str">
        <x:v>SRMMPBT</x:v>
      </x:c>
      <x:c r="D275" s="37" t="str">
        <x:v>SRMMPB</x:v>
      </x:c>
      <x:c r="E275" s="37" t="n">
        <x:v>12</x:v>
      </x:c>
      <x:c r="F275" s="37" t="n">
        <x:v>13000</x:v>
      </x:c>
      <x:c r="G275" s="37" t="str">
        <x:v>g</x:v>
      </x:c>
      <x:c r="H275" s="37" t="str">
        <x:v>THÙNG</x:v>
      </x:c>
      <x:c r="I275" s="59" t="n">
        <x:v>610000</x:v>
      </x:c>
      <x:c r="J275" s="59" t="n">
        <x:v>624000</x:v>
      </x:c>
      <x:c r="K275" s="83" t="n">
        <x:v>0</x:v>
      </x:c>
    </x:row>
    <x:row r="276">
      <x:c r="A276" s="71" t="str">
        <x:v>SIRO MAMA MÃNG CẦU - THÙNG</x:v>
      </x:c>
      <x:c r="B276" s="37" t="str">
        <x:v>SRMMMCT</x:v>
      </x:c>
      <x:c r="C276" s="37" t="str">
        <x:v>SRMMMCT</x:v>
      </x:c>
      <x:c r="D276" s="37" t="str">
        <x:v>SRMMMC</x:v>
      </x:c>
      <x:c r="E276" s="37" t="n">
        <x:v>12</x:v>
      </x:c>
      <x:c r="F276" s="37" t="n">
        <x:v>13000</x:v>
      </x:c>
      <x:c r="G276" s="37" t="str">
        <x:v>g</x:v>
      </x:c>
      <x:c r="H276" s="37" t="str">
        <x:v>THÙNG</x:v>
      </x:c>
      <x:c r="I276" s="59" t="n">
        <x:v>610000</x:v>
      </x:c>
      <x:c r="J276" s="59" t="n">
        <x:v>624000</x:v>
      </x:c>
      <x:c r="K276" s="83" t="n">
        <x:v>0</x:v>
      </x:c>
    </x:row>
    <x:row r="277">
      <x:c r="A277" s="71" t="str">
        <x:v>SIRO MAMA LỰU - THÙNG</x:v>
      </x:c>
      <x:c r="B277" s="37" t="str">
        <x:v>SRMMLUT</x:v>
      </x:c>
      <x:c r="C277" s="37" t="str">
        <x:v>SRMMLUT</x:v>
      </x:c>
      <x:c r="D277" s="37" t="str">
        <x:v>SRMMLU</x:v>
      </x:c>
      <x:c r="E277" s="37" t="n">
        <x:v>12</x:v>
      </x:c>
      <x:c r="F277" s="37" t="n">
        <x:v>13000</x:v>
      </x:c>
      <x:c r="G277" s="37" t="str">
        <x:v>g</x:v>
      </x:c>
      <x:c r="H277" s="37" t="str">
        <x:v>THÙNG</x:v>
      </x:c>
      <x:c r="I277" s="59" t="n">
        <x:v>610000</x:v>
      </x:c>
      <x:c r="J277" s="59" t="n">
        <x:v>624000</x:v>
      </x:c>
      <x:c r="K277" s="83" t="n">
        <x:v>0</x:v>
      </x:c>
    </x:row>
    <x:row r="278">
      <x:c r="A278" s="71" t="str">
        <x:v>SIRO MAMA LÁ DỨA - THÙNG</x:v>
      </x:c>
      <x:c r="B278" s="37" t="str">
        <x:v>SRMMLDT</x:v>
      </x:c>
      <x:c r="C278" s="37" t="str">
        <x:v>SRMMLDT</x:v>
      </x:c>
      <x:c r="D278" s="37" t="str">
        <x:v>SRMMLD</x:v>
      </x:c>
      <x:c r="E278" s="37" t="n">
        <x:v>12</x:v>
      </x:c>
      <x:c r="F278" s="37" t="n">
        <x:v>13000</x:v>
      </x:c>
      <x:c r="G278" s="37" t="str">
        <x:v>g</x:v>
      </x:c>
      <x:c r="H278" s="37" t="str">
        <x:v>THÙNG</x:v>
      </x:c>
      <x:c r="I278" s="59" t="n">
        <x:v>610000</x:v>
      </x:c>
      <x:c r="J278" s="59" t="n">
        <x:v>624000</x:v>
      </x:c>
      <x:c r="K278" s="83" t="n">
        <x:v>0</x:v>
      </x:c>
    </x:row>
    <x:row r="279">
      <x:c r="A279" s="71" t="str">
        <x:v>SIRO MAMA KIWI - THÙNG</x:v>
      </x:c>
      <x:c r="B279" s="37" t="str">
        <x:v>SRMMKWT</x:v>
      </x:c>
      <x:c r="C279" s="37" t="str">
        <x:v>SRMMKWT</x:v>
      </x:c>
      <x:c r="D279" s="37" t="str">
        <x:v>SRMMKW</x:v>
      </x:c>
      <x:c r="E279" s="37" t="n">
        <x:v>12</x:v>
      </x:c>
      <x:c r="F279" s="37" t="n">
        <x:v>13000</x:v>
      </x:c>
      <x:c r="G279" s="37" t="str">
        <x:v>g</x:v>
      </x:c>
      <x:c r="H279" s="37" t="str">
        <x:v>THÙNG</x:v>
      </x:c>
      <x:c r="I279" s="59" t="n">
        <x:v>610000</x:v>
      </x:c>
      <x:c r="J279" s="59" t="n">
        <x:v>624000</x:v>
      </x:c>
      <x:c r="K279" s="83" t="n">
        <x:v>0</x:v>
      </x:c>
    </x:row>
    <x:row r="280">
      <x:c r="A280" s="71" t="str">
        <x:v>SIRO MAMA HOA HỒNG - THÙNG</x:v>
      </x:c>
      <x:c r="B280" s="37" t="str">
        <x:v>SRMMHHT</x:v>
      </x:c>
      <x:c r="C280" s="37" t="str">
        <x:v>SRMMHHT</x:v>
      </x:c>
      <x:c r="D280" s="37" t="str">
        <x:v>SRMMHH</x:v>
      </x:c>
      <x:c r="E280" s="37" t="n">
        <x:v>12</x:v>
      </x:c>
      <x:c r="F280" s="37" t="n">
        <x:v>13000</x:v>
      </x:c>
      <x:c r="G280" s="37" t="str">
        <x:v>g</x:v>
      </x:c>
      <x:c r="H280" s="37" t="str">
        <x:v>THÙNG</x:v>
      </x:c>
      <x:c r="I280" s="59" t="n">
        <x:v>610000</x:v>
      </x:c>
      <x:c r="J280" s="59" t="n">
        <x:v>624000</x:v>
      </x:c>
      <x:c r="K280" s="83" t="n">
        <x:v>0</x:v>
      </x:c>
    </x:row>
    <x:row r="281">
      <x:c r="A281" s="71" t="str">
        <x:v>SIRO MAMA DƯA HẤU - THÙNG</x:v>
      </x:c>
      <x:c r="B281" s="37" t="str">
        <x:v>SRMMDHT</x:v>
      </x:c>
      <x:c r="C281" s="37" t="str">
        <x:v>SRMMDHT</x:v>
      </x:c>
      <x:c r="D281" s="37" t="str">
        <x:v>SRMMDH</x:v>
      </x:c>
      <x:c r="E281" s="37" t="n">
        <x:v>12</x:v>
      </x:c>
      <x:c r="F281" s="37" t="n">
        <x:v>0</x:v>
      </x:c>
      <x:c r="G281" s="37" t="str">
        <x:v>g</x:v>
      </x:c>
      <x:c r="H281" s="37" t="str">
        <x:v>THÙNG</x:v>
      </x:c>
      <x:c r="I281" s="59" t="n">
        <x:v>610000</x:v>
      </x:c>
      <x:c r="J281" s="59" t="n">
        <x:v>624000</x:v>
      </x:c>
      <x:c r="K281" s="83" t="n">
        <x:v>0</x:v>
      </x:c>
    </x:row>
    <x:row r="282">
      <x:c r="A282" s="71" t="str">
        <x:v>SIRO MAMA CHANH DÂY - THÙNG</x:v>
      </x:c>
      <x:c r="B282" s="37" t="str">
        <x:v>SRMMCDT</x:v>
      </x:c>
      <x:c r="C282" s="37" t="str">
        <x:v>SRMMCDT</x:v>
      </x:c>
      <x:c r="D282" s="37" t="str">
        <x:v>SRMMCD</x:v>
      </x:c>
      <x:c r="E282" s="37" t="n">
        <x:v>12</x:v>
      </x:c>
      <x:c r="F282" s="37" t="n">
        <x:v>13000</x:v>
      </x:c>
      <x:c r="G282" s="37" t="str">
        <x:v>g</x:v>
      </x:c>
      <x:c r="H282" s="37" t="str">
        <x:v>THÙNG</x:v>
      </x:c>
      <x:c r="I282" s="59" t="n">
        <x:v>610000</x:v>
      </x:c>
      <x:c r="J282" s="59" t="n">
        <x:v>624000</x:v>
      </x:c>
      <x:c r="K282" s="83" t="n">
        <x:v>0</x:v>
      </x:c>
    </x:row>
    <x:row r="283">
      <x:c r="A283" s="71" t="str">
        <x:v>SIRO MAMA CHANH - THÙNG</x:v>
      </x:c>
      <x:c r="B283" s="37" t="str">
        <x:v>SRMMCHT</x:v>
      </x:c>
      <x:c r="C283" s="37" t="str">
        <x:v>SRMMCHT</x:v>
      </x:c>
      <x:c r="D283" s="37" t="str">
        <x:v>SRMMCH</x:v>
      </x:c>
      <x:c r="E283" s="37" t="n">
        <x:v>12</x:v>
      </x:c>
      <x:c r="F283" s="37" t="n">
        <x:v>13000</x:v>
      </x:c>
      <x:c r="G283" s="37" t="str">
        <x:v>g</x:v>
      </x:c>
      <x:c r="H283" s="37" t="str">
        <x:v>THÙNG</x:v>
      </x:c>
      <x:c r="I283" s="59" t="n">
        <x:v>610000</x:v>
      </x:c>
      <x:c r="J283" s="59" t="n">
        <x:v>624000</x:v>
      </x:c>
      <x:c r="K283" s="83" t="n">
        <x:v>0</x:v>
      </x:c>
    </x:row>
    <x:row r="284">
      <x:c r="A284" s="71" t="str">
        <x:v>SIRO MAMA CARAMEN - THÙNG</x:v>
      </x:c>
      <x:c r="B284" s="37" t="str">
        <x:v>SRMMCRT</x:v>
      </x:c>
      <x:c r="C284" s="37" t="str">
        <x:v>SRMMCRT</x:v>
      </x:c>
      <x:c r="D284" s="37" t="str">
        <x:v>SRMMCR</x:v>
      </x:c>
      <x:c r="E284" s="37" t="n">
        <x:v>12</x:v>
      </x:c>
      <x:c r="F284" s="37" t="n">
        <x:v>13000</x:v>
      </x:c>
      <x:c r="G284" s="37" t="str">
        <x:v>g</x:v>
      </x:c>
      <x:c r="H284" s="37" t="str">
        <x:v>THÙNG</x:v>
      </x:c>
      <x:c r="I284" s="59" t="n">
        <x:v>610000</x:v>
      </x:c>
      <x:c r="J284" s="59" t="n">
        <x:v>624000</x:v>
      </x:c>
      <x:c r="K284" s="83" t="n">
        <x:v>0</x:v>
      </x:c>
    </x:row>
    <x:row r="285">
      <x:c r="A285" s="71" t="str">
        <x:v>SIRO MAMA CAM - THÙNG</x:v>
      </x:c>
      <x:c r="B285" s="37" t="str">
        <x:v>SRMMCAT</x:v>
      </x:c>
      <x:c r="C285" s="37" t="str">
        <x:v>SRMMCAT</x:v>
      </x:c>
      <x:c r="D285" s="37" t="str">
        <x:v>SRMMCA</x:v>
      </x:c>
      <x:c r="E285" s="37" t="n">
        <x:v>12</x:v>
      </x:c>
      <x:c r="F285" s="37" t="n">
        <x:v>13000</x:v>
      </x:c>
      <x:c r="G285" s="37" t="str">
        <x:v>g</x:v>
      </x:c>
      <x:c r="H285" s="37" t="str">
        <x:v>THÙNG</x:v>
      </x:c>
      <x:c r="I285" s="59" t="n">
        <x:v>610000</x:v>
      </x:c>
      <x:c r="J285" s="59" t="n">
        <x:v>624000</x:v>
      </x:c>
      <x:c r="K285" s="83" t="n">
        <x:v>0</x:v>
      </x:c>
    </x:row>
    <x:row r="286">
      <x:c r="A286" s="71" t="str">
        <x:v>SIRO VUÔNG KIWI - THÙNG</x:v>
      </x:c>
      <x:c r="B286" s="37" t="str">
        <x:v>SRKWIVT</x:v>
      </x:c>
      <x:c r="C286" s="37" t="str">
        <x:v>SRKWIVT</x:v>
      </x:c>
      <x:c r="D286" s="37" t="str">
        <x:v>SRKWIV</x:v>
      </x:c>
      <x:c r="E286" s="37" t="n">
        <x:v>6</x:v>
      </x:c>
      <x:c r="F286" s="37" t="n">
        <x:v>16000</x:v>
      </x:c>
      <x:c r="G286" s="37" t="str">
        <x:v>g</x:v>
      </x:c>
      <x:c r="H286" s="37" t="str">
        <x:v>THÙNG</x:v>
      </x:c>
      <x:c r="I286" s="59" t="n">
        <x:v>0</x:v>
      </x:c>
      <x:c r="J286" s="59" t="n">
        <x:v>0</x:v>
      </x:c>
      <x:c r="K286" s="83" t="n">
        <x:v>0</x:v>
      </x:c>
    </x:row>
    <x:row r="287">
      <x:c r="A287" s="71" t="str">
        <x:v>SIRO A+ KIWI - THÙNG</x:v>
      </x:c>
      <x:c r="B287" s="37" t="str">
        <x:v>SRAKWIT</x:v>
      </x:c>
      <x:c r="C287" s="37" t="str">
        <x:v>SRAKWIT</x:v>
      </x:c>
      <x:c r="D287" s="37" t="str">
        <x:v>SRAKWI</x:v>
      </x:c>
      <x:c r="E287" s="37" t="n">
        <x:v>24</x:v>
      </x:c>
      <x:c r="F287" s="37" t="n">
        <x:v>16000</x:v>
      </x:c>
      <x:c r="G287" s="37" t="str">
        <x:v>g</x:v>
      </x:c>
      <x:c r="H287" s="37" t="str">
        <x:v>THÙNG</x:v>
      </x:c>
      <x:c r="I287" s="59" t="n">
        <x:v>612000</x:v>
      </x:c>
      <x:c r="J287" s="59" t="n">
        <x:v>0</x:v>
      </x:c>
      <x:c r="K287" s="83" t="n">
        <x:v>0</x:v>
      </x:c>
    </x:row>
    <x:row r="288">
      <x:c r="A288" s="71" t="str">
        <x:v>SIRO GOLD 2L VỎ CAM - THÙNG</x:v>
      </x:c>
      <x:c r="B288" s="37" t="str">
        <x:v>SRG2VCT</x:v>
      </x:c>
      <x:c r="C288" s="37" t="str">
        <x:v>SRG2VCT</x:v>
      </x:c>
      <x:c r="D288" s="37" t="str">
        <x:v>SRG2VC</x:v>
      </x:c>
      <x:c r="E288" s="37" t="n">
        <x:v>6</x:v>
      </x:c>
      <x:c r="F288" s="37" t="n">
        <x:v>16000</x:v>
      </x:c>
      <x:c r="G288" s="37" t="str">
        <x:v>g</x:v>
      </x:c>
      <x:c r="H288" s="37" t="str">
        <x:v>THÙNG</x:v>
      </x:c>
      <x:c r="I288" s="59" t="n">
        <x:v>0</x:v>
      </x:c>
      <x:c r="J288" s="59" t="n">
        <x:v>0</x:v>
      </x:c>
      <x:c r="K288" s="83" t="n">
        <x:v>0</x:v>
      </x:c>
    </x:row>
    <x:row r="289">
      <x:c r="A289" s="71" t="str">
        <x:v>SIRO GOLD 2L VIỆT QUỐC - THÙNG</x:v>
      </x:c>
      <x:c r="B289" s="37" t="str">
        <x:v>SRG2VQT</x:v>
      </x:c>
      <x:c r="C289" s="37" t="str">
        <x:v>SRG2VQT</x:v>
      </x:c>
      <x:c r="D289" s="37" t="str">
        <x:v>SRG2VQ</x:v>
      </x:c>
      <x:c r="E289" s="37" t="n">
        <x:v>6</x:v>
      </x:c>
      <x:c r="F289" s="37" t="n">
        <x:v>16000</x:v>
      </x:c>
      <x:c r="G289" s="37" t="str">
        <x:v>g</x:v>
      </x:c>
      <x:c r="H289" s="37" t="str">
        <x:v>THÙNG</x:v>
      </x:c>
      <x:c r="I289" s="59" t="n">
        <x:v>0</x:v>
      </x:c>
      <x:c r="J289" s="59" t="n">
        <x:v>0</x:v>
      </x:c>
      <x:c r="K289" s="83" t="n">
        <x:v>0</x:v>
      </x:c>
    </x:row>
    <x:row r="290">
      <x:c r="A290" s="71" t="str">
        <x:v>SIRO GOLD 2L VẢI - THÙNG</x:v>
      </x:c>
      <x:c r="B290" s="37" t="str">
        <x:v>SRG2VAT</x:v>
      </x:c>
      <x:c r="C290" s="37" t="str">
        <x:v>SRG2VAT</x:v>
      </x:c>
      <x:c r="D290" s="37" t="str">
        <x:v>SRG2VA</x:v>
      </x:c>
      <x:c r="E290" s="37" t="n">
        <x:v>6</x:v>
      </x:c>
      <x:c r="F290" s="37" t="n">
        <x:v>16000</x:v>
      </x:c>
      <x:c r="G290" s="37" t="str">
        <x:v>g</x:v>
      </x:c>
      <x:c r="H290" s="37" t="str">
        <x:v>THÙNG</x:v>
      </x:c>
      <x:c r="I290" s="59" t="n">
        <x:v>0</x:v>
      </x:c>
      <x:c r="J290" s="59" t="n">
        <x:v>0</x:v>
      </x:c>
      <x:c r="K290" s="83" t="n">
        <x:v>0</x:v>
      </x:c>
    </x:row>
    <x:row r="291">
      <x:c r="A291" s="71" t="str">
        <x:v>SIRO GOLD 2L ĐÀO - THÙNG</x:v>
      </x:c>
      <x:c r="B291" s="37" t="str">
        <x:v>SRG2DOT</x:v>
      </x:c>
      <x:c r="C291" s="37" t="str">
        <x:v>SRG2DOT</x:v>
      </x:c>
      <x:c r="D291" s="37" t="str">
        <x:v>SRG2DO</x:v>
      </x:c>
      <x:c r="E291" s="37" t="n">
        <x:v>6</x:v>
      </x:c>
      <x:c r="F291" s="37" t="n">
        <x:v>16000</x:v>
      </x:c>
      <x:c r="G291" s="37" t="str">
        <x:v>g</x:v>
      </x:c>
      <x:c r="H291" s="37" t="str">
        <x:v>THÙNG</x:v>
      </x:c>
      <x:c r="I291" s="59" t="n">
        <x:v>0</x:v>
      </x:c>
      <x:c r="J291" s="59" t="n">
        <x:v>0</x:v>
      </x:c>
      <x:c r="K291" s="83" t="n">
        <x:v>0</x:v>
      </x:c>
    </x:row>
    <x:row r="292">
      <x:c r="A292" s="71" t="str">
        <x:v>SIRO GOLD 2L DƯA LƯỚI - THÙNG</x:v>
      </x:c>
      <x:c r="B292" s="37" t="str">
        <x:v>SRG2DLT</x:v>
      </x:c>
      <x:c r="C292" s="37" t="str">
        <x:v>SRG2DLT</x:v>
      </x:c>
      <x:c r="D292" s="37" t="str">
        <x:v>SRG2DL</x:v>
      </x:c>
      <x:c r="E292" s="37" t="n">
        <x:v>6</x:v>
      </x:c>
      <x:c r="F292" s="37" t="n">
        <x:v>16000</x:v>
      </x:c>
      <x:c r="G292" s="37" t="str">
        <x:v>g</x:v>
      </x:c>
      <x:c r="H292" s="37" t="str">
        <x:v>THÙNG</x:v>
      </x:c>
      <x:c r="I292" s="59" t="n">
        <x:v>0</x:v>
      </x:c>
      <x:c r="J292" s="59" t="n">
        <x:v>0</x:v>
      </x:c>
      <x:c r="K292" s="83" t="n">
        <x:v>0</x:v>
      </x:c>
    </x:row>
    <x:row r="293">
      <x:c r="A293" s="71" t="str">
        <x:v>SIRO GOLD 2L DÂU - THÙNG</x:v>
      </x:c>
      <x:c r="B293" s="37" t="str">
        <x:v>SRG2DAT</x:v>
      </x:c>
      <x:c r="C293" s="37" t="str">
        <x:v>SRG2DAT</x:v>
      </x:c>
      <x:c r="D293" s="37" t="str">
        <x:v>SRG2DA</x:v>
      </x:c>
      <x:c r="E293" s="37" t="n">
        <x:v>6</x:v>
      </x:c>
      <x:c r="F293" s="37" t="n">
        <x:v>16000</x:v>
      </x:c>
      <x:c r="G293" s="37" t="str">
        <x:v>g</x:v>
      </x:c>
      <x:c r="H293" s="37" t="str">
        <x:v>THÙNG</x:v>
      </x:c>
      <x:c r="I293" s="59" t="n">
        <x:v>0</x:v>
      </x:c>
      <x:c r="J293" s="59" t="n">
        <x:v>0</x:v>
      </x:c>
      <x:c r="K293" s="83" t="n">
        <x:v>0</x:v>
      </x:c>
    </x:row>
    <x:row r="294">
      <x:c r="A294" s="71" t="str">
        <x:v>SIRO GOLD 2L CHANH - THÙNG</x:v>
      </x:c>
      <x:c r="B294" s="37" t="str">
        <x:v>SRG2CHT</x:v>
      </x:c>
      <x:c r="C294" s="37" t="str">
        <x:v>SRG2CHT</x:v>
      </x:c>
      <x:c r="D294" s="37" t="str">
        <x:v>SRG2CH</x:v>
      </x:c>
      <x:c r="E294" s="37" t="n">
        <x:v>6</x:v>
      </x:c>
      <x:c r="F294" s="37" t="n">
        <x:v>16000</x:v>
      </x:c>
      <x:c r="G294" s="37" t="str">
        <x:v>g</x:v>
      </x:c>
      <x:c r="H294" s="37" t="str">
        <x:v>THÙNG</x:v>
      </x:c>
      <x:c r="I294" s="59" t="n">
        <x:v>0</x:v>
      </x:c>
      <x:c r="J294" s="59" t="n">
        <x:v>0</x:v>
      </x:c>
      <x:c r="K294" s="83" t="n">
        <x:v>0</x:v>
      </x:c>
    </x:row>
    <x:row r="295">
      <x:c r="A295" s="71" t="str">
        <x:v>SIRO VUÔNG ĐƯỜNG ĐEN - THÙNG</x:v>
      </x:c>
      <x:c r="B295" s="37" t="str">
        <x:v>SRDDEVT</x:v>
      </x:c>
      <x:c r="C295" s="37" t="str">
        <x:v>SRDDEVT</x:v>
      </x:c>
      <x:c r="D295" s="37" t="str">
        <x:v>SRDDEV</x:v>
      </x:c>
      <x:c r="E295" s="37" t="n">
        <x:v>6</x:v>
      </x:c>
      <x:c r="F295" s="37" t="n">
        <x:v>16000</x:v>
      </x:c>
      <x:c r="G295" s="37" t="str">
        <x:v>g</x:v>
      </x:c>
      <x:c r="H295" s="37" t="str">
        <x:v>THÙNG</x:v>
      </x:c>
      <x:c r="I295" s="59" t="n">
        <x:v>0</x:v>
      </x:c>
      <x:c r="J295" s="59" t="n">
        <x:v>0</x:v>
      </x:c>
      <x:c r="K295" s="83" t="n">
        <x:v>0</x:v>
      </x:c>
    </x:row>
    <x:row r="296">
      <x:c r="A296" s="71" t="str">
        <x:v>SIRO TRÒN ĐƯỜNG ĐEN - THÙNG</x:v>
      </x:c>
      <x:c r="B296" s="37" t="str">
        <x:v>SRDDETT</x:v>
      </x:c>
      <x:c r="C296" s="37" t="str">
        <x:v>SRDDETT</x:v>
      </x:c>
      <x:c r="D296" s="37" t="str">
        <x:v>SRDDET</x:v>
      </x:c>
      <x:c r="E296" s="37" t="n">
        <x:v>6</x:v>
      </x:c>
      <x:c r="F296" s="37" t="n">
        <x:v>0</x:v>
      </x:c>
      <x:c r="G296" s="37" t="str">
        <x:v>g</x:v>
      </x:c>
      <x:c r="H296" s="37" t="str">
        <x:v>THÙNG</x:v>
      </x:c>
      <x:c r="I296" s="59" t="n">
        <x:v>0</x:v>
      </x:c>
      <x:c r="J296" s="59" t="n">
        <x:v>0</x:v>
      </x:c>
      <x:c r="K296" s="83" t="n">
        <x:v>0</x:v>
      </x:c>
    </x:row>
    <x:row r="297">
      <x:c r="A297" s="71" t="str">
        <x:v>SIRO A+ ĐƯỜNG ĐEN - THÙNG</x:v>
      </x:c>
      <x:c r="B297" s="37" t="str">
        <x:v>SRADDET</x:v>
      </x:c>
      <x:c r="C297" s="37" t="str">
        <x:v>SRADDET</x:v>
      </x:c>
      <x:c r="D297" s="37" t="str">
        <x:v>SRADDE</x:v>
      </x:c>
      <x:c r="E297" s="37" t="n">
        <x:v>24</x:v>
      </x:c>
      <x:c r="F297" s="37" t="n">
        <x:v>16000</x:v>
      </x:c>
      <x:c r="G297" s="37" t="str">
        <x:v>g</x:v>
      </x:c>
      <x:c r="H297" s="37" t="str">
        <x:v>THÙNG</x:v>
      </x:c>
      <x:c r="I297" s="59" t="n">
        <x:v>612000</x:v>
      </x:c>
      <x:c r="J297" s="59" t="n">
        <x:v>0</x:v>
      </x:c>
      <x:c r="K297" s="83" t="n">
        <x:v>0</x:v>
      </x:c>
    </x:row>
    <x:row r="298">
      <x:c r="A298" s="71" t="str">
        <x:v>SIRO VUÔNG ĐÀO - THÙNG</x:v>
      </x:c>
      <x:c r="B298" s="37" t="str">
        <x:v>SRDAOVT</x:v>
      </x:c>
      <x:c r="C298" s="37" t="str">
        <x:v>SRDAOVT</x:v>
      </x:c>
      <x:c r="D298" s="37" t="str">
        <x:v>SRDAOV</x:v>
      </x:c>
      <x:c r="E298" s="37" t="n">
        <x:v>6</x:v>
      </x:c>
      <x:c r="F298" s="37" t="n">
        <x:v>16000</x:v>
      </x:c>
      <x:c r="G298" s="37" t="str">
        <x:v>g</x:v>
      </x:c>
      <x:c r="H298" s="37" t="str">
        <x:v>THÙNG</x:v>
      </x:c>
      <x:c r="I298" s="59" t="n">
        <x:v>0</x:v>
      </x:c>
      <x:c r="J298" s="59" t="n">
        <x:v>0</x:v>
      </x:c>
      <x:c r="K298" s="83" t="n">
        <x:v>0</x:v>
      </x:c>
    </x:row>
    <x:row r="299">
      <x:c r="A299" s="71" t="str">
        <x:v>SIRO TRÒN ĐÀO - THÙNG</x:v>
      </x:c>
      <x:c r="B299" s="37" t="str">
        <x:v>SRDAOTT</x:v>
      </x:c>
      <x:c r="C299" s="37" t="str">
        <x:v>SRDAOTT</x:v>
      </x:c>
      <x:c r="D299" s="37" t="str">
        <x:v>SRDAOT</x:v>
      </x:c>
      <x:c r="E299" s="37" t="n">
        <x:v>6</x:v>
      </x:c>
      <x:c r="F299" s="37" t="n">
        <x:v>16000</x:v>
      </x:c>
      <x:c r="G299" s="37" t="str">
        <x:v>g</x:v>
      </x:c>
      <x:c r="H299" s="37" t="str">
        <x:v>THÙNG</x:v>
      </x:c>
      <x:c r="I299" s="59" t="n">
        <x:v>0</x:v>
      </x:c>
      <x:c r="J299" s="59" t="n">
        <x:v>0</x:v>
      </x:c>
      <x:c r="K299" s="83" t="n">
        <x:v>0</x:v>
      </x:c>
    </x:row>
    <x:row r="300">
      <x:c r="A300" s="71" t="str">
        <x:v>SIRO A+ ĐÀO - THÙNG</x:v>
      </x:c>
      <x:c r="B300" s="37" t="str">
        <x:v>SRADAOT</x:v>
      </x:c>
      <x:c r="C300" s="37" t="str">
        <x:v>SRADAOT</x:v>
      </x:c>
      <x:c r="D300" s="37" t="str">
        <x:v>SRADAO</x:v>
      </x:c>
      <x:c r="E300" s="37" t="n">
        <x:v>24</x:v>
      </x:c>
      <x:c r="F300" s="37" t="n">
        <x:v>16000</x:v>
      </x:c>
      <x:c r="G300" s="37" t="str">
        <x:v>g</x:v>
      </x:c>
      <x:c r="H300" s="37" t="str">
        <x:v>THÙNG</x:v>
      </x:c>
      <x:c r="I300" s="59" t="n">
        <x:v>612000</x:v>
      </x:c>
      <x:c r="J300" s="59" t="n">
        <x:v>0</x:v>
      </x:c>
      <x:c r="K300" s="83" t="n">
        <x:v>0</x:v>
      </x:c>
    </x:row>
    <x:row r="301">
      <x:c r="A301" s="71" t="str">
        <x:v>SIRO VUÔNG DƯA LƯỚI - THÙNG</x:v>
      </x:c>
      <x:c r="B301" s="37" t="str">
        <x:v>SRDLUVT</x:v>
      </x:c>
      <x:c r="C301" s="37" t="str">
        <x:v>SRDLUVT</x:v>
      </x:c>
      <x:c r="D301" s="37" t="str">
        <x:v>SRDLUV</x:v>
      </x:c>
      <x:c r="E301" s="37" t="n">
        <x:v>6</x:v>
      </x:c>
      <x:c r="F301" s="37" t="n">
        <x:v>16000</x:v>
      </x:c>
      <x:c r="G301" s="37" t="str">
        <x:v>g</x:v>
      </x:c>
      <x:c r="H301" s="37" t="str">
        <x:v>THÙNG</x:v>
      </x:c>
      <x:c r="I301" s="59" t="n">
        <x:v>0</x:v>
      </x:c>
      <x:c r="J301" s="59" t="n">
        <x:v>0</x:v>
      </x:c>
      <x:c r="K301" s="83" t="n">
        <x:v>0</x:v>
      </x:c>
    </x:row>
    <x:row r="302">
      <x:c r="A302" s="71" t="str">
        <x:v>SIRO A+ DƯA LƯỚI - THÙNG</x:v>
      </x:c>
      <x:c r="B302" s="37" t="str">
        <x:v>SRADLUT</x:v>
      </x:c>
      <x:c r="C302" s="37" t="str">
        <x:v>SRADLUT</x:v>
      </x:c>
      <x:c r="D302" s="37" t="str">
        <x:v>SRADLU</x:v>
      </x:c>
      <x:c r="E302" s="37" t="n">
        <x:v>24</x:v>
      </x:c>
      <x:c r="F302" s="37" t="n">
        <x:v>16000</x:v>
      </x:c>
      <x:c r="G302" s="37" t="str">
        <x:v>g</x:v>
      </x:c>
      <x:c r="H302" s="37" t="str">
        <x:v>THÙNG</x:v>
      </x:c>
      <x:c r="I302" s="59" t="n">
        <x:v>612000</x:v>
      </x:c>
      <x:c r="J302" s="59" t="n">
        <x:v>0</x:v>
      </x:c>
      <x:c r="K302" s="83" t="n">
        <x:v>0</x:v>
      </x:c>
    </x:row>
    <x:row r="303">
      <x:c r="A303" s="71" t="str">
        <x:v>SIRO VUÔNG DÂU - THÙNG</x:v>
      </x:c>
      <x:c r="B303" s="37" t="str">
        <x:v>SRDAUVT</x:v>
      </x:c>
      <x:c r="C303" s="37" t="str">
        <x:v>SRDAUVT</x:v>
      </x:c>
      <x:c r="D303" s="37" t="str">
        <x:v>SRDAUV</x:v>
      </x:c>
      <x:c r="E303" s="37" t="n">
        <x:v>6</x:v>
      </x:c>
      <x:c r="F303" s="37" t="n">
        <x:v>16000</x:v>
      </x:c>
      <x:c r="G303" s="37" t="str">
        <x:v>g</x:v>
      </x:c>
      <x:c r="H303" s="37" t="str">
        <x:v>THÙNG</x:v>
      </x:c>
      <x:c r="I303" s="59" t="n">
        <x:v>0</x:v>
      </x:c>
      <x:c r="J303" s="59" t="n">
        <x:v>0</x:v>
      </x:c>
      <x:c r="K303" s="83" t="n">
        <x:v>0</x:v>
      </x:c>
    </x:row>
    <x:row r="304">
      <x:c r="A304" s="71" t="str">
        <x:v>SIRO A+ DÂU - THÙNG</x:v>
      </x:c>
      <x:c r="B304" s="37" t="str">
        <x:v>SRADAUT</x:v>
      </x:c>
      <x:c r="C304" s="37" t="str">
        <x:v>SRADAUT</x:v>
      </x:c>
      <x:c r="D304" s="37" t="str">
        <x:v>SRADAU</x:v>
      </x:c>
      <x:c r="E304" s="37" t="n">
        <x:v>24</x:v>
      </x:c>
      <x:c r="F304" s="37" t="n">
        <x:v>16000</x:v>
      </x:c>
      <x:c r="G304" s="37" t="str">
        <x:v>g</x:v>
      </x:c>
      <x:c r="H304" s="37" t="str">
        <x:v>THÙNG</x:v>
      </x:c>
      <x:c r="I304" s="59" t="n">
        <x:v>612000</x:v>
      </x:c>
      <x:c r="J304" s="59" t="n">
        <x:v>0</x:v>
      </x:c>
      <x:c r="K304" s="83" t="n">
        <x:v>0</x:v>
      </x:c>
    </x:row>
    <x:row r="305">
      <x:c r="A305" s="71" t="str">
        <x:v>SIRO VUÔNG CHANH DÂY - THÙNG</x:v>
      </x:c>
      <x:c r="B305" s="37" t="str">
        <x:v>CDAYVGT</x:v>
      </x:c>
      <x:c r="C305" s="37" t="str">
        <x:v>CDAYVGT</x:v>
      </x:c>
      <x:c r="D305" s="37" t="str">
        <x:v>CDAYVG</x:v>
      </x:c>
      <x:c r="E305" s="37" t="n">
        <x:v>6</x:v>
      </x:c>
      <x:c r="F305" s="37" t="n">
        <x:v>16000</x:v>
      </x:c>
      <x:c r="G305" s="37" t="str">
        <x:v>g</x:v>
      </x:c>
      <x:c r="H305" s="37" t="str">
        <x:v>THÙNG</x:v>
      </x:c>
      <x:c r="I305" s="59" t="n">
        <x:v>0</x:v>
      </x:c>
      <x:c r="J305" s="59" t="n">
        <x:v>504000</x:v>
      </x:c>
      <x:c r="K305" s="83" t="n">
        <x:v>0</x:v>
      </x:c>
    </x:row>
    <x:row r="306">
      <x:c r="A306" s="71" t="str">
        <x:v>SIRO A+ CHANH DÂY - THÙNG</x:v>
      </x:c>
      <x:c r="B306" s="37" t="str">
        <x:v>SRACDAT</x:v>
      </x:c>
      <x:c r="C306" s="37" t="str">
        <x:v>SRACDAT</x:v>
      </x:c>
      <x:c r="D306" s="37" t="str">
        <x:v>SRACDA</x:v>
      </x:c>
      <x:c r="E306" s="37" t="n">
        <x:v>24</x:v>
      </x:c>
      <x:c r="F306" s="37" t="n">
        <x:v>16000</x:v>
      </x:c>
      <x:c r="G306" s="37" t="str">
        <x:v>g</x:v>
      </x:c>
      <x:c r="H306" s="37" t="str">
        <x:v>THÙNG</x:v>
      </x:c>
      <x:c r="I306" s="59" t="n">
        <x:v>612000</x:v>
      </x:c>
      <x:c r="J306" s="59" t="n">
        <x:v>0</x:v>
      </x:c>
      <x:c r="K306" s="83" t="n">
        <x:v>0</x:v>
      </x:c>
    </x:row>
    <x:row r="307">
      <x:c r="A307" s="71" t="str">
        <x:v>SIRO CASALANCA VIỆT QUỐC - THÙNG</x:v>
      </x:c>
      <x:c r="B307" s="37" t="str">
        <x:v>CSAVQUT</x:v>
      </x:c>
      <x:c r="C307" s="37" t="str">
        <x:v>CSAVQUT</x:v>
      </x:c>
      <x:c r="D307" s="37" t="str">
        <x:v>CSAVQU</x:v>
      </x:c>
      <x:c r="E307" s="37" t="n">
        <x:v>12</x:v>
      </x:c>
      <x:c r="F307" s="37" t="n">
        <x:v>16</x:v>
      </x:c>
      <x:c r="G307" s="37" t="str">
        <x:v>kg</x:v>
      </x:c>
      <x:c r="H307" s="37" t="str">
        <x:v>THÙNG</x:v>
      </x:c>
      <x:c r="I307" s="59" t="n">
        <x:v>0</x:v>
      </x:c>
      <x:c r="J307" s="59" t="n">
        <x:v>0</x:v>
      </x:c>
      <x:c r="K307" s="83" t="n">
        <x:v>0</x:v>
      </x:c>
    </x:row>
    <x:row r="308">
      <x:c r="A308" s="71" t="str">
        <x:v>SIRO CASALANCA VẢI - THÙNG</x:v>
      </x:c>
      <x:c r="B308" s="37" t="str">
        <x:v>CSAVAIT</x:v>
      </x:c>
      <x:c r="C308" s="37" t="str">
        <x:v>CSAVAIT</x:v>
      </x:c>
      <x:c r="D308" s="37" t="str">
        <x:v>CSAVAI</x:v>
      </x:c>
      <x:c r="E308" s="37" t="n">
        <x:v>12</x:v>
      </x:c>
      <x:c r="F308" s="37" t="n">
        <x:v>16</x:v>
      </x:c>
      <x:c r="G308" s="37" t="str">
        <x:v>kg</x:v>
      </x:c>
      <x:c r="H308" s="37" t="str">
        <x:v>THÙNG</x:v>
      </x:c>
      <x:c r="I308" s="59" t="n">
        <x:v>0</x:v>
      </x:c>
      <x:c r="J308" s="59" t="n">
        <x:v>0</x:v>
      </x:c>
      <x:c r="K308" s="83" t="n">
        <x:v>0</x:v>
      </x:c>
    </x:row>
    <x:row r="309">
      <x:c r="A309" s="71" t="str">
        <x:v>SIRO CASALANCA ỔI - THÙNG</x:v>
      </x:c>
      <x:c r="B309" s="37" t="str">
        <x:v>CSAOIHT</x:v>
      </x:c>
      <x:c r="C309" s="37" t="str">
        <x:v>CSAOIHT</x:v>
      </x:c>
      <x:c r="D309" s="37" t="str">
        <x:v>CSAOIH</x:v>
      </x:c>
      <x:c r="E309" s="37" t="n">
        <x:v>12</x:v>
      </x:c>
      <x:c r="F309" s="37" t="n">
        <x:v>16</x:v>
      </x:c>
      <x:c r="G309" s="37" t="str">
        <x:v>kg</x:v>
      </x:c>
      <x:c r="H309" s="37" t="str">
        <x:v>THÙNG</x:v>
      </x:c>
      <x:c r="I309" s="59" t="n">
        <x:v>0</x:v>
      </x:c>
      <x:c r="J309" s="59" t="n">
        <x:v>0</x:v>
      </x:c>
      <x:c r="K309" s="83" t="n">
        <x:v>0</x:v>
      </x:c>
    </x:row>
    <x:row r="310">
      <x:c r="A310" s="71" t="str">
        <x:v>SIRO CASALANCA NHÃN - THÙNG</x:v>
      </x:c>
      <x:c r="B310" s="37" t="str">
        <x:v>CSANHAT</x:v>
      </x:c>
      <x:c r="C310" s="37" t="str">
        <x:v>CSANHAT</x:v>
      </x:c>
      <x:c r="D310" s="37" t="str">
        <x:v>CSANHA</x:v>
      </x:c>
      <x:c r="E310" s="37" t="n">
        <x:v>12</x:v>
      </x:c>
      <x:c r="F310" s="37" t="n">
        <x:v>16</x:v>
      </x:c>
      <x:c r="G310" s="37" t="str">
        <x:v>kg</x:v>
      </x:c>
      <x:c r="H310" s="37" t="str">
        <x:v>THÙNG</x:v>
      </x:c>
      <x:c r="I310" s="59" t="n">
        <x:v>0</x:v>
      </x:c>
      <x:c r="J310" s="59" t="n">
        <x:v>0</x:v>
      </x:c>
      <x:c r="K310" s="83" t="n">
        <x:v>0</x:v>
      </x:c>
    </x:row>
    <x:row r="311">
      <x:c r="A311" s="71" t="str">
        <x:v>SIRO CASALANCA LỰU - THÙNG</x:v>
      </x:c>
      <x:c r="B311" s="37" t="str">
        <x:v>CSALUUT</x:v>
      </x:c>
      <x:c r="C311" s="37" t="str">
        <x:v>CSALUUT</x:v>
      </x:c>
      <x:c r="D311" s="37" t="str">
        <x:v>CSALUU</x:v>
      </x:c>
      <x:c r="E311" s="37" t="n">
        <x:v>12</x:v>
      </x:c>
      <x:c r="F311" s="37" t="n">
        <x:v>16</x:v>
      </x:c>
      <x:c r="G311" s="37" t="str">
        <x:v>kg</x:v>
      </x:c>
      <x:c r="H311" s="37" t="str">
        <x:v>THÙNG</x:v>
      </x:c>
      <x:c r="I311" s="59" t="n">
        <x:v>0</x:v>
      </x:c>
      <x:c r="J311" s="59" t="n">
        <x:v>0</x:v>
      </x:c>
      <x:c r="K311" s="83" t="n">
        <x:v>0</x:v>
      </x:c>
    </x:row>
    <x:row r="312">
      <x:c r="A312" s="71" t="str">
        <x:v>SIRO CASALANCA ĐÀO - THÙNG</x:v>
      </x:c>
      <x:c r="B312" s="37" t="str">
        <x:v>CSADAOT</x:v>
      </x:c>
      <x:c r="C312" s="37" t="str">
        <x:v>CSADAOT</x:v>
      </x:c>
      <x:c r="D312" s="37" t="str">
        <x:v>CSADAO</x:v>
      </x:c>
      <x:c r="E312" s="37" t="n">
        <x:v>12</x:v>
      </x:c>
      <x:c r="F312" s="37" t="n">
        <x:v>0</x:v>
      </x:c>
      <x:c r="G312" s="37" t="str">
        <x:v>g</x:v>
      </x:c>
      <x:c r="H312" s="37" t="str">
        <x:v>THÙNG</x:v>
      </x:c>
      <x:c r="I312" s="59" t="n">
        <x:v>0</x:v>
      </x:c>
      <x:c r="J312" s="59" t="n">
        <x:v>0</x:v>
      </x:c>
      <x:c r="K312" s="83" t="n">
        <x:v>0</x:v>
      </x:c>
    </x:row>
    <x:row r="313">
      <x:c r="A313" s="71" t="str">
        <x:v>SIRO CASALANCA DƯA LƯỚI - THÙNG</x:v>
      </x:c>
      <x:c r="B313" s="37" t="str">
        <x:v>CSADLUT</x:v>
      </x:c>
      <x:c r="C313" s="37" t="str">
        <x:v>CSADLUT</x:v>
      </x:c>
      <x:c r="D313" s="37" t="str">
        <x:v>CSADLU</x:v>
      </x:c>
      <x:c r="E313" s="37" t="n">
        <x:v>12</x:v>
      </x:c>
      <x:c r="F313" s="37" t="n">
        <x:v>0</x:v>
      </x:c>
      <x:c r="G313" s="37" t="str">
        <x:v>g</x:v>
      </x:c>
      <x:c r="H313" s="37" t="str">
        <x:v>THÙNG</x:v>
      </x:c>
      <x:c r="I313" s="59" t="n">
        <x:v>0</x:v>
      </x:c>
      <x:c r="J313" s="59" t="n">
        <x:v>0</x:v>
      </x:c>
      <x:c r="K313" s="83" t="n">
        <x:v>0</x:v>
      </x:c>
    </x:row>
    <x:row r="314">
      <x:c r="A314" s="71" t="str">
        <x:v>SIRO CASALANCA DÂU - THÙNG</x:v>
      </x:c>
      <x:c r="B314" s="37" t="str">
        <x:v>CSADAUT</x:v>
      </x:c>
      <x:c r="C314" s="37" t="str">
        <x:v>CSADAUT</x:v>
      </x:c>
      <x:c r="D314" s="37" t="str">
        <x:v>CSADAU</x:v>
      </x:c>
      <x:c r="E314" s="37" t="n">
        <x:v>12</x:v>
      </x:c>
      <x:c r="F314" s="37" t="n">
        <x:v>0</x:v>
      </x:c>
      <x:c r="G314" s="37" t="str">
        <x:v>g</x:v>
      </x:c>
      <x:c r="H314" s="37" t="str">
        <x:v>THÙNG</x:v>
      </x:c>
      <x:c r="I314" s="59" t="n">
        <x:v>0</x:v>
      </x:c>
      <x:c r="J314" s="59" t="n">
        <x:v>0</x:v>
      </x:c>
      <x:c r="K314" s="83" t="n">
        <x:v>0</x:v>
      </x:c>
    </x:row>
    <x:row r="315">
      <x:c r="A315" s="71" t="str">
        <x:v>SIRO CASALANCA THƠM - THÙNG</x:v>
      </x:c>
      <x:c r="B315" s="37" t="str">
        <x:v>CSATHOT</x:v>
      </x:c>
      <x:c r="C315" s="37" t="str">
        <x:v>CSATHOT</x:v>
      </x:c>
      <x:c r="D315" s="37" t="str">
        <x:v>CSATHO</x:v>
      </x:c>
      <x:c r="E315" s="37" t="n">
        <x:v>12</x:v>
      </x:c>
      <x:c r="F315" s="37" t="n">
        <x:v>0</x:v>
      </x:c>
      <x:c r="G315" s="37" t="str">
        <x:v>g</x:v>
      </x:c>
      <x:c r="H315" s="37" t="str">
        <x:v>THÙNG</x:v>
      </x:c>
      <x:c r="I315" s="59" t="n">
        <x:v>0</x:v>
      </x:c>
      <x:c r="J315" s="59" t="n">
        <x:v>0</x:v>
      </x:c>
      <x:c r="K315" s="83" t="n">
        <x:v>0</x:v>
      </x:c>
    </x:row>
    <x:row r="316">
      <x:c r="A316" s="71" t="str">
        <x:v>SIRO TRÒN BÍ ĐAO - THÙNG</x:v>
      </x:c>
      <x:c r="B316" s="37" t="str">
        <x:v>SRBITRT</x:v>
      </x:c>
      <x:c r="C316" s="37" t="str">
        <x:v>SRBITRT</x:v>
      </x:c>
      <x:c r="D316" s="37" t="str">
        <x:v>SRBITR</x:v>
      </x:c>
      <x:c r="E316" s="37" t="n">
        <x:v>6</x:v>
      </x:c>
      <x:c r="F316" s="37" t="n">
        <x:v>16000</x:v>
      </x:c>
      <x:c r="G316" s="37" t="str">
        <x:v>g</x:v>
      </x:c>
      <x:c r="H316" s="37" t="str">
        <x:v>THÙNG</x:v>
      </x:c>
      <x:c r="I316" s="59" t="n">
        <x:v>0</x:v>
      </x:c>
      <x:c r="J316" s="59" t="n">
        <x:v>0</x:v>
      </x:c>
      <x:c r="K316" s="83" t="n">
        <x:v>0</x:v>
      </x:c>
    </x:row>
    <x:row r="317">
      <x:c r="A317" s="71" t="str">
        <x:v>SIRO VUÔNG BẠC HÀ - THÙNG</x:v>
      </x:c>
      <x:c r="B317" s="37" t="str">
        <x:v>SRBHVGT</x:v>
      </x:c>
      <x:c r="C317" s="37" t="str">
        <x:v>SRBHVGT</x:v>
      </x:c>
      <x:c r="D317" s="37" t="str">
        <x:v>SRBHVG</x:v>
      </x:c>
      <x:c r="E317" s="37" t="n">
        <x:v>6</x:v>
      </x:c>
      <x:c r="F317" s="37" t="n">
        <x:v>16000</x:v>
      </x:c>
      <x:c r="G317" s="37" t="str">
        <x:v>g</x:v>
      </x:c>
      <x:c r="H317" s="37" t="str">
        <x:v>THÙNG</x:v>
      </x:c>
      <x:c r="I317" s="59" t="n">
        <x:v>0</x:v>
      </x:c>
      <x:c r="J317" s="59" t="n">
        <x:v>0</x:v>
      </x:c>
      <x:c r="K317" s="83" t="n">
        <x:v>0</x:v>
      </x:c>
    </x:row>
    <x:row r="318">
      <x:c r="A318" s="71" t="str">
        <x:v>SIRO A+ BẠC HÀ - THÙNG</x:v>
      </x:c>
      <x:c r="B318" s="37" t="str">
        <x:v>SRABHAT</x:v>
      </x:c>
      <x:c r="C318" s="37" t="str">
        <x:v>SRABHAT</x:v>
      </x:c>
      <x:c r="D318" s="37" t="str">
        <x:v>SRABHA</x:v>
      </x:c>
      <x:c r="E318" s="37" t="n">
        <x:v>24</x:v>
      </x:c>
      <x:c r="F318" s="37" t="n">
        <x:v>16000</x:v>
      </x:c>
      <x:c r="G318" s="37" t="str">
        <x:v>g</x:v>
      </x:c>
      <x:c r="H318" s="37" t="str">
        <x:v>THÙNG</x:v>
      </x:c>
      <x:c r="I318" s="59" t="n">
        <x:v>612000</x:v>
      </x:c>
      <x:c r="J318" s="59" t="n">
        <x:v>0</x:v>
      </x:c>
      <x:c r="K318" s="83" t="n">
        <x:v>0</x:v>
      </x:c>
    </x:row>
    <x:row r="319">
      <x:c r="A319" s="71" t="str">
        <x:v>SIRO GOLD 2L ỔI - THÙNG</x:v>
      </x:c>
      <x:c r="B319" s="37" t="str">
        <x:v>SRG2OIT</x:v>
      </x:c>
      <x:c r="C319" s="37" t="str">
        <x:v>SRG2OIT</x:v>
      </x:c>
      <x:c r="D319" s="37" t="str">
        <x:v>SRG2OI</x:v>
      </x:c>
      <x:c r="E319" s="37" t="n">
        <x:v>6</x:v>
      </x:c>
      <x:c r="F319" s="37" t="n">
        <x:v>16000</x:v>
      </x:c>
      <x:c r="G319" s="37" t="str">
        <x:v>g</x:v>
      </x:c>
      <x:c r="H319" s="37" t="str">
        <x:v>THÙNG</x:v>
      </x:c>
      <x:c r="I319" s="59" t="n">
        <x:v>0</x:v>
      </x:c>
      <x:c r="J319" s="59" t="n">
        <x:v>0</x:v>
      </x:c>
      <x:c r="K319" s="83" t="n">
        <x:v>0</x:v>
      </x:c>
    </x:row>
    <x:row r="320">
      <x:c r="A320" s="71" t="str">
        <x:v>SIRO GOLD 2L NHO - THÙNG</x:v>
      </x:c>
      <x:c r="B320" s="37" t="str">
        <x:v>SRG2NHT</x:v>
      </x:c>
      <x:c r="C320" s="37" t="str">
        <x:v>SRG2NHT</x:v>
      </x:c>
      <x:c r="D320" s="37" t="str">
        <x:v>SRG2NH</x:v>
      </x:c>
      <x:c r="E320" s="37" t="n">
        <x:v>6</x:v>
      </x:c>
      <x:c r="F320" s="37" t="n">
        <x:v>16000</x:v>
      </x:c>
      <x:c r="G320" s="37" t="str">
        <x:v>g</x:v>
      </x:c>
      <x:c r="H320" s="37" t="str">
        <x:v>THÙNG</x:v>
      </x:c>
      <x:c r="I320" s="59" t="n">
        <x:v>0</x:v>
      </x:c>
      <x:c r="J320" s="59" t="n">
        <x:v>0</x:v>
      </x:c>
      <x:c r="K320" s="83" t="n">
        <x:v>0</x:v>
      </x:c>
    </x:row>
    <x:row r="321">
      <x:c r="A321" s="71" t="str">
        <x:v>SEN TIM - THÙNG</x:v>
      </x:c>
      <x:c r="B321" s="37" t="str">
        <x:v>SENTIMT</x:v>
      </x:c>
      <x:c r="C321" s="37" t="str">
        <x:v>SENTIMT</x:v>
      </x:c>
      <x:c r="D321" s="37" t="str">
        <x:v>SENTIM</x:v>
      </x:c>
      <x:c r="E321" s="37" t="n">
        <x:v>12</x:v>
      </x:c>
      <x:c r="F321" s="37" t="n">
        <x:v>8000</x:v>
      </x:c>
      <x:c r="G321" s="37" t="str">
        <x:v>g</x:v>
      </x:c>
      <x:c r="H321" s="37" t="str">
        <x:v>THÙNG</x:v>
      </x:c>
      <x:c r="I321" s="59" t="n">
        <x:v>0</x:v>
      </x:c>
      <x:c r="J321" s="59" t="n">
        <x:v>640000</x:v>
      </x:c>
      <x:c r="K321" s="83" t="n">
        <x:v>0</x:v>
      </x:c>
    </x:row>
    <x:row r="322">
      <x:c r="A322" s="71" t="str">
        <x:v>SIRO TRÒN SÂM DỨA - THÙNG</x:v>
      </x:c>
      <x:c r="B322" s="37" t="str">
        <x:v>SRSDTRT</x:v>
      </x:c>
      <x:c r="C322" s="37" t="str">
        <x:v>SRSDTRT</x:v>
      </x:c>
      <x:c r="D322" s="37" t="str">
        <x:v>SRSDTR</x:v>
      </x:c>
      <x:c r="E322" s="37" t="n">
        <x:v>6</x:v>
      </x:c>
      <x:c r="F322" s="37" t="n">
        <x:v>16000</x:v>
      </x:c>
      <x:c r="G322" s="37" t="str">
        <x:v>g</x:v>
      </x:c>
      <x:c r="H322" s="37" t="str">
        <x:v>THÙNG</x:v>
      </x:c>
      <x:c r="I322" s="59" t="n">
        <x:v>0</x:v>
      </x:c>
      <x:c r="J322" s="59" t="n">
        <x:v>0</x:v>
      </x:c>
      <x:c r="K322" s="83" t="n">
        <x:v>0</x:v>
      </x:c>
    </x:row>
    <x:row r="323">
      <x:c r="A323" s="71" t="str">
        <x:v>RUỐC ANH TÚ - THÙNG</x:v>
      </x:c>
      <x:c r="B323" s="37" t="str">
        <x:v>RUOCATT</x:v>
      </x:c>
      <x:c r="C323" s="37" t="str">
        <x:v>RUOCATT</x:v>
      </x:c>
      <x:c r="D323" s="37" t="str">
        <x:v>RUOCAT</x:v>
      </x:c>
      <x:c r="E323" s="37" t="n">
        <x:v>60</x:v>
      </x:c>
      <x:c r="F323" s="37" t="n">
        <x:v>30000</x:v>
      </x:c>
      <x:c r="G323" s="37" t="str">
        <x:v>g</x:v>
      </x:c>
      <x:c r="H323" s="37" t="str">
        <x:v>THÙNG</x:v>
      </x:c>
      <x:c r="I323" s="59" t="n">
        <x:v>0</x:v>
      </x:c>
      <x:c r="J323" s="59" t="n">
        <x:v>0</x:v>
      </x:c>
      <x:c r="K323" s="83" t="n">
        <x:v>0</x:v>
      </x:c>
    </x:row>
    <x:row r="324">
      <x:c r="A324" s="71" t="str">
        <x:v>RAU CÂU WINGS - THÙNG</x:v>
      </x:c>
      <x:c r="B324" s="37" t="str">
        <x:v>RCWINGT</x:v>
      </x:c>
      <x:c r="C324" s="37" t="str">
        <x:v>RCWINGT</x:v>
      </x:c>
      <x:c r="D324" s="37" t="str">
        <x:v>RCWING</x:v>
      </x:c>
      <x:c r="E324" s="37" t="n">
        <x:v>10</x:v>
      </x:c>
      <x:c r="F324" s="37" t="n">
        <x:v>0</x:v>
      </x:c>
      <x:c r="G324" s="37" t="str">
        <x:v>g</x:v>
      </x:c>
      <x:c r="H324" s="37" t="str">
        <x:v>THÙNG</x:v>
      </x:c>
      <x:c r="I324" s="59" t="n">
        <x:v>0</x:v>
      </x:c>
      <x:c r="J324" s="59" t="n">
        <x:v>450000</x:v>
      </x:c>
      <x:c r="K324" s="83" t="n">
        <x:v>0</x:v>
      </x:c>
    </x:row>
    <x:row r="325">
      <x:c r="A325" s="71" t="str">
        <x:v>RAU CÂU GIÒN HOÀNG YẾN - THÙNG</x:v>
      </x:c>
      <x:c r="B325" s="37" t="str">
        <x:v>RCHYGIT</x:v>
      </x:c>
      <x:c r="C325" s="37" t="str">
        <x:v>RCHYGIT</x:v>
      </x:c>
      <x:c r="D325" s="37" t="str">
        <x:v>RCHYGI</x:v>
      </x:c>
      <x:c r="E325" s="37" t="n">
        <x:v>20</x:v>
      </x:c>
      <x:c r="F325" s="37" t="n">
        <x:v>0</x:v>
      </x:c>
      <x:c r="G325" s="37" t="str">
        <x:v>g</x:v>
      </x:c>
      <x:c r="H325" s="37" t="str">
        <x:v>THÙNG</x:v>
      </x:c>
      <x:c r="I325" s="59" t="n">
        <x:v>0</x:v>
      </x:c>
      <x:c r="J325" s="59" t="n">
        <x:v>0</x:v>
      </x:c>
      <x:c r="K325" s="83" t="n">
        <x:v>0</x:v>
      </x:c>
    </x:row>
    <x:row r="326">
      <x:c r="A326" s="71" t="str">
        <x:v>RAU CÂU DẺO HOÀNG YẾN - THÙNG</x:v>
      </x:c>
      <x:c r="B326" s="37" t="str">
        <x:v>RCHYDET</x:v>
      </x:c>
      <x:c r="C326" s="37" t="str">
        <x:v>RCHYDET</x:v>
      </x:c>
      <x:c r="D326" s="37" t="str">
        <x:v>RCHYDE</x:v>
      </x:c>
      <x:c r="E326" s="37" t="n">
        <x:v>20</x:v>
      </x:c>
      <x:c r="F326" s="37" t="n">
        <x:v>0</x:v>
      </x:c>
      <x:c r="G326" s="37" t="str">
        <x:v>g</x:v>
      </x:c>
      <x:c r="H326" s="37" t="str">
        <x:v>THÙNG</x:v>
      </x:c>
      <x:c r="I326" s="59" t="n">
        <x:v>0</x:v>
      </x:c>
      <x:c r="J326" s="59" t="n">
        <x:v>0</x:v>
      </x:c>
      <x:c r="K326" s="83" t="n">
        <x:v>0</x:v>
      </x:c>
    </x:row>
    <x:row r="327">
      <x:c r="A327" s="71" t="str">
        <x:v>RAU CÂU CÁ DẺO - THÙNG</x:v>
      </x:c>
      <x:c r="B327" s="37" t="str">
        <x:v>RCCADET</x:v>
      </x:c>
      <x:c r="C327" s="37" t="str">
        <x:v>RCCADET</x:v>
      </x:c>
      <x:c r="D327" s="37" t="str">
        <x:v>RCCADE</x:v>
      </x:c>
      <x:c r="E327" s="37" t="n">
        <x:v>10</x:v>
      </x:c>
      <x:c r="F327" s="37" t="n">
        <x:v>0</x:v>
      </x:c>
      <x:c r="G327" s="37" t="str">
        <x:v>g</x:v>
      </x:c>
      <x:c r="H327" s="37" t="str">
        <x:v>THÙNG</x:v>
      </x:c>
      <x:c r="I327" s="59" t="n">
        <x:v>580000</x:v>
      </x:c>
      <x:c r="J327" s="59" t="n">
        <x:v>0</x:v>
      </x:c>
      <x:c r="K327" s="83" t="n">
        <x:v>0</x:v>
      </x:c>
    </x:row>
    <x:row r="328">
      <x:c r="A328" s="71" t="str">
        <x:v>RAU CÂU SÓC VÀNG - THÙNG</x:v>
      </x:c>
      <x:c r="B328" s="37" t="str">
        <x:v>RCSOCVT</x:v>
      </x:c>
      <x:c r="C328" s="37" t="str">
        <x:v>RCSOCVT</x:v>
      </x:c>
      <x:c r="D328" s="37" t="str">
        <x:v>RCSOCV</x:v>
      </x:c>
      <x:c r="E328" s="37" t="n">
        <x:v>10</x:v>
      </x:c>
      <x:c r="F328" s="37" t="n">
        <x:v>2000</x:v>
      </x:c>
      <x:c r="G328" s="37" t="str">
        <x:v>g</x:v>
      </x:c>
      <x:c r="H328" s="37" t="str">
        <x:v>THÙNG</x:v>
      </x:c>
      <x:c r="I328" s="59" t="n">
        <x:v>0</x:v>
      </x:c>
      <x:c r="J328" s="59" t="n">
        <x:v>510000</x:v>
      </x:c>
      <x:c r="K328" s="83" t="n">
        <x:v>0</x:v>
      </x:c>
    </x:row>
    <x:row r="329">
      <x:c r="A329" s="71" t="str">
        <x:v>PHOMAI ANCHOR (CREAM CHEESE) - THÙNG</x:v>
      </x:c>
      <x:c r="B329" s="37" t="str">
        <x:v>PMANCHT</x:v>
      </x:c>
      <x:c r="C329" s="37" t="str">
        <x:v>PMANCHT</x:v>
      </x:c>
      <x:c r="D329" s="37" t="str">
        <x:v>PMANCH</x:v>
      </x:c>
      <x:c r="E329" s="37" t="n">
        <x:v>12</x:v>
      </x:c>
      <x:c r="F329" s="37" t="n">
        <x:v>13</x:v>
      </x:c>
      <x:c r="G329" s="37" t="str">
        <x:v>kg</x:v>
      </x:c>
      <x:c r="H329" s="37" t="str">
        <x:v>THÙNG</x:v>
      </x:c>
      <x:c r="I329" s="59" t="n">
        <x:v>0</x:v>
      </x:c>
      <x:c r="J329" s="59" t="n">
        <x:v>0</x:v>
      </x:c>
      <x:c r="K329" s="83" t="n">
        <x:v>0</x:v>
      </x:c>
    </x:row>
    <x:row r="330">
      <x:c r="A330" s="71" t="str">
        <x:v>PUDING TRỨNG DOUXIAN - THÙNG</x:v>
      </x:c>
      <x:c r="B330" s="37" t="str">
        <x:v>PLDXTRT</x:v>
      </x:c>
      <x:c r="C330" s="37" t="str">
        <x:v>PLDXTRT</x:v>
      </x:c>
      <x:c r="D330" s="37" t="str">
        <x:v>PLDXTR</x:v>
      </x:c>
      <x:c r="E330" s="37" t="n">
        <x:v>12</x:v>
      </x:c>
      <x:c r="F330" s="37" t="n">
        <x:v>13000</x:v>
      </x:c>
      <x:c r="G330" s="37" t="str">
        <x:v>g</x:v>
      </x:c>
      <x:c r="H330" s="37" t="str">
        <x:v>THÙNG</x:v>
      </x:c>
      <x:c r="I330" s="59" t="n">
        <x:v>0</x:v>
      </x:c>
      <x:c r="J330" s="59" t="n">
        <x:v>0</x:v>
      </x:c>
      <x:c r="K330" s="83" t="n">
        <x:v>0</x:v>
      </x:c>
    </x:row>
    <x:row r="331">
      <x:c r="A331" s="71" t="str">
        <x:v>PUDING SỮA DOUXIAN - THÙNG</x:v>
      </x:c>
      <x:c r="B331" s="37" t="str">
        <x:v>PLDXSUT</x:v>
      </x:c>
      <x:c r="C331" s="37" t="str">
        <x:v>PLDXSUT</x:v>
      </x:c>
      <x:c r="D331" s="37" t="str">
        <x:v>PLDXSU</x:v>
      </x:c>
      <x:c r="E331" s="37" t="n">
        <x:v>12</x:v>
      </x:c>
      <x:c r="F331" s="37" t="n">
        <x:v>13000</x:v>
      </x:c>
      <x:c r="G331" s="37" t="str">
        <x:v>g</x:v>
      </x:c>
      <x:c r="H331" s="37" t="str">
        <x:v>THÙNG</x:v>
      </x:c>
      <x:c r="I331" s="59" t="n">
        <x:v>0</x:v>
      </x:c>
      <x:c r="J331" s="59" t="n">
        <x:v>0</x:v>
      </x:c>
      <x:c r="K331" s="83" t="n">
        <x:v>0</x:v>
      </x:c>
    </x:row>
    <x:row r="332">
      <x:c r="A332" s="71" t="str">
        <x:v>PUDING SOCOLA DOUXIAN - THÙNG</x:v>
      </x:c>
      <x:c r="B332" s="37" t="str">
        <x:v>PLDXSOT</x:v>
      </x:c>
      <x:c r="C332" s="37" t="str">
        <x:v>PLDXSOT</x:v>
      </x:c>
      <x:c r="D332" s="37" t="str">
        <x:v>PLDXSO</x:v>
      </x:c>
      <x:c r="E332" s="37" t="n">
        <x:v>12</x:v>
      </x:c>
      <x:c r="F332" s="37" t="n">
        <x:v>13000</x:v>
      </x:c>
      <x:c r="G332" s="37" t="str">
        <x:v>g</x:v>
      </x:c>
      <x:c r="H332" s="37" t="str">
        <x:v>THÙNG</x:v>
      </x:c>
      <x:c r="I332" s="59" t="n">
        <x:v>0</x:v>
      </x:c>
      <x:c r="J332" s="59" t="n">
        <x:v>0</x:v>
      </x:c>
      <x:c r="K332" s="83" t="n">
        <x:v>0</x:v>
      </x:c>
    </x:row>
    <x:row r="333">
      <x:c r="A333" s="71" t="str">
        <x:v>PUDING MÔN DOUXIAN - THÙNG</x:v>
      </x:c>
      <x:c r="B333" s="37" t="str">
        <x:v>PLDXMNT</x:v>
      </x:c>
      <x:c r="C333" s="37" t="str">
        <x:v>PLDXMNT</x:v>
      </x:c>
      <x:c r="D333" s="37" t="str">
        <x:v>PLDXMN</x:v>
      </x:c>
      <x:c r="E333" s="37" t="n">
        <x:v>12</x:v>
      </x:c>
      <x:c r="F333" s="37" t="n">
        <x:v>13000</x:v>
      </x:c>
      <x:c r="G333" s="37" t="str">
        <x:v>g</x:v>
      </x:c>
      <x:c r="H333" s="37" t="str">
        <x:v>THÙNG</x:v>
      </x:c>
      <x:c r="I333" s="59" t="n">
        <x:v>0</x:v>
      </x:c>
      <x:c r="J333" s="59" t="n">
        <x:v>0</x:v>
      </x:c>
      <x:c r="K333" s="83" t="n">
        <x:v>0</x:v>
      </x:c>
    </x:row>
    <x:row r="334">
      <x:c r="A334" s="71" t="str">
        <x:v>PUDING MOTA TRỨNG - THÙNG</x:v>
      </x:c>
      <x:c r="B334" s="37" t="str">
        <x:v>PLMOTRT</x:v>
      </x:c>
      <x:c r="C334" s="37" t="str">
        <x:v>PLMOTRT</x:v>
      </x:c>
      <x:c r="D334" s="37" t="str">
        <x:v>PLMOTR</x:v>
      </x:c>
      <x:c r="E334" s="37" t="n">
        <x:v>20</x:v>
      </x:c>
      <x:c r="F334" s="37" t="n">
        <x:v>21000</x:v>
      </x:c>
      <x:c r="G334" s="37" t="str">
        <x:v>g</x:v>
      </x:c>
      <x:c r="H334" s="37" t="str">
        <x:v>THÙNG</x:v>
      </x:c>
      <x:c r="I334" s="59" t="n">
        <x:v>0</x:v>
      </x:c>
      <x:c r="J334" s="59" t="n">
        <x:v>0</x:v>
      </x:c>
      <x:c r="K334" s="83" t="n">
        <x:v>0</x:v>
      </x:c>
    </x:row>
    <x:row r="335">
      <x:c r="A335" s="71" t="str">
        <x:v>PUDING MOTA SOCOLA - THÙNG</x:v>
      </x:c>
      <x:c r="B335" s="37" t="str">
        <x:v>PLMOSOT</x:v>
      </x:c>
      <x:c r="C335" s="37" t="str">
        <x:v>PLMOSOT</x:v>
      </x:c>
      <x:c r="D335" s="37" t="str">
        <x:v>PLMOSO</x:v>
      </x:c>
      <x:c r="E335" s="37" t="n">
        <x:v>20</x:v>
      </x:c>
      <x:c r="F335" s="37" t="n">
        <x:v>21000</x:v>
      </x:c>
      <x:c r="G335" s="37" t="str">
        <x:v>g</x:v>
      </x:c>
      <x:c r="H335" s="37" t="str">
        <x:v>THÙNG</x:v>
      </x:c>
      <x:c r="I335" s="59" t="n">
        <x:v>0</x:v>
      </x:c>
      <x:c r="J335" s="59" t="n">
        <x:v>0</x:v>
      </x:c>
      <x:c r="K335" s="83" t="n">
        <x:v>0</x:v>
      </x:c>
    </x:row>
    <x:row r="336">
      <x:c r="A336" s="71" t="str">
        <x:v>PUDING MOTA MÔN - THÙNG</x:v>
      </x:c>
      <x:c r="B336" s="37" t="str">
        <x:v>PLMOMNT</x:v>
      </x:c>
      <x:c r="C336" s="37" t="str">
        <x:v>PLMOMNT</x:v>
      </x:c>
      <x:c r="D336" s="37" t="str">
        <x:v>PLMOMN</x:v>
      </x:c>
      <x:c r="E336" s="37" t="n">
        <x:v>20</x:v>
      </x:c>
      <x:c r="F336" s="37" t="n">
        <x:v>21000</x:v>
      </x:c>
      <x:c r="G336" s="37" t="str">
        <x:v>g</x:v>
      </x:c>
      <x:c r="H336" s="37" t="str">
        <x:v>THÙNG</x:v>
      </x:c>
      <x:c r="I336" s="59" t="n">
        <x:v>0</x:v>
      </x:c>
      <x:c r="J336" s="59" t="n">
        <x:v>0</x:v>
      </x:c>
      <x:c r="K336" s="83" t="n">
        <x:v>0</x:v>
      </x:c>
    </x:row>
    <x:row r="337">
      <x:c r="A337" s="71" t="str">
        <x:v>PUDING MOTA LƯỚI - THÙNG</x:v>
      </x:c>
      <x:c r="B337" s="37" t="str">
        <x:v>PLMODUT</x:v>
      </x:c>
      <x:c r="C337" s="37" t="str">
        <x:v>PLMODUT</x:v>
      </x:c>
      <x:c r="D337" s="37" t="str">
        <x:v>PLMODU</x:v>
      </x:c>
      <x:c r="E337" s="37" t="n">
        <x:v>20</x:v>
      </x:c>
      <x:c r="F337" s="37" t="n">
        <x:v>21000</x:v>
      </x:c>
      <x:c r="G337" s="37" t="str">
        <x:v>g</x:v>
      </x:c>
      <x:c r="H337" s="37" t="str">
        <x:v>THÙNG</x:v>
      </x:c>
      <x:c r="I337" s="59" t="n">
        <x:v>0</x:v>
      </x:c>
      <x:c r="J337" s="59" t="n">
        <x:v>0</x:v>
      </x:c>
      <x:c r="K337" s="83" t="n">
        <x:v>0</x:v>
      </x:c>
    </x:row>
    <x:row r="338">
      <x:c r="A338" s="71" t="str">
        <x:v>PUDING MOTA DÂU - THÙNG</x:v>
      </x:c>
      <x:c r="B338" s="37" t="str">
        <x:v>PLMODAT</x:v>
      </x:c>
      <x:c r="C338" s="37" t="str">
        <x:v>PLMODAT</x:v>
      </x:c>
      <x:c r="D338" s="37" t="str">
        <x:v>PLMODA</x:v>
      </x:c>
      <x:c r="E338" s="37" t="n">
        <x:v>20</x:v>
      </x:c>
      <x:c r="F338" s="37" t="n">
        <x:v>21000</x:v>
      </x:c>
      <x:c r="G338" s="37" t="str">
        <x:v>g</x:v>
      </x:c>
      <x:c r="H338" s="37" t="str">
        <x:v>THÙNG</x:v>
      </x:c>
      <x:c r="I338" s="59" t="n">
        <x:v>0</x:v>
      </x:c>
      <x:c r="J338" s="59" t="n">
        <x:v>0</x:v>
      </x:c>
      <x:c r="K338" s="83" t="n">
        <x:v>0</x:v>
      </x:c>
    </x:row>
    <x:row r="339">
      <x:c r="A339" s="71" t="str">
        <x:v>PUDING MOLE TRỨNG - THÙNG</x:v>
      </x:c>
      <x:c r="B339" s="37" t="str">
        <x:v>PLMTRUT</x:v>
      </x:c>
      <x:c r="C339" s="37" t="str">
        <x:v>PLMTRUT</x:v>
      </x:c>
      <x:c r="D339" s="37" t="str">
        <x:v>PLMTRU</x:v>
      </x:c>
      <x:c r="E339" s="37" t="n">
        <x:v>20</x:v>
      </x:c>
      <x:c r="F339" s="37" t="n">
        <x:v>0</x:v>
      </x:c>
      <x:c r="G339" s="37" t="str">
        <x:v>g</x:v>
      </x:c>
      <x:c r="H339" s="37" t="str">
        <x:v>THÙNG</x:v>
      </x:c>
      <x:c r="I339" s="59" t="n">
        <x:v>0</x:v>
      </x:c>
      <x:c r="J339" s="59" t="n">
        <x:v>0</x:v>
      </x:c>
      <x:c r="K339" s="83" t="n">
        <x:v>0</x:v>
      </x:c>
    </x:row>
    <x:row r="340">
      <x:c r="A340" s="71" t="str">
        <x:v>PUDING MOLE SOCOLA - THÙNG</x:v>
      </x:c>
      <x:c r="B340" s="37" t="str">
        <x:v>PLMSCLT</x:v>
      </x:c>
      <x:c r="C340" s="37" t="str">
        <x:v>PLMSCLT</x:v>
      </x:c>
      <x:c r="D340" s="37" t="str">
        <x:v>PLMSCL</x:v>
      </x:c>
      <x:c r="E340" s="37" t="n">
        <x:v>20</x:v>
      </x:c>
      <x:c r="F340" s="37" t="n">
        <x:v>21000</x:v>
      </x:c>
      <x:c r="G340" s="37" t="str">
        <x:v>g</x:v>
      </x:c>
      <x:c r="H340" s="37" t="str">
        <x:v>THÙNG</x:v>
      </x:c>
      <x:c r="I340" s="59" t="n">
        <x:v>0</x:v>
      </x:c>
      <x:c r="J340" s="59" t="n">
        <x:v>0</x:v>
      </x:c>
      <x:c r="K340" s="83" t="n">
        <x:v>0</x:v>
      </x:c>
    </x:row>
    <x:row r="341">
      <x:c r="A341" s="71" t="str">
        <x:v>PUDING MOLE MÔN - THÙNG</x:v>
      </x:c>
      <x:c r="B341" s="37" t="str">
        <x:v>PLMMONT</x:v>
      </x:c>
      <x:c r="C341" s="37" t="str">
        <x:v>PLMMONT</x:v>
      </x:c>
      <x:c r="D341" s="37" t="str">
        <x:v>PLMMON</x:v>
      </x:c>
      <x:c r="E341" s="37" t="n">
        <x:v>20</x:v>
      </x:c>
      <x:c r="F341" s="37" t="n">
        <x:v>21000</x:v>
      </x:c>
      <x:c r="G341" s="37" t="str">
        <x:v>g</x:v>
      </x:c>
      <x:c r="H341" s="37" t="str">
        <x:v>THÙNG</x:v>
      </x:c>
      <x:c r="I341" s="59" t="n">
        <x:v>0</x:v>
      </x:c>
      <x:c r="J341" s="59" t="n">
        <x:v>0</x:v>
      </x:c>
      <x:c r="K341" s="83" t="n">
        <x:v>0</x:v>
      </x:c>
    </x:row>
    <x:row r="342">
      <x:c r="A342" s="71" t="str">
        <x:v>PUDING MOLE DƯA LƯỚI - THÙNG</x:v>
      </x:c>
      <x:c r="B342" s="37" t="str">
        <x:v>PLMDLUT</x:v>
      </x:c>
      <x:c r="C342" s="37" t="str">
        <x:v>PLMDLUT</x:v>
      </x:c>
      <x:c r="D342" s="37" t="str">
        <x:v>PLMDLU</x:v>
      </x:c>
      <x:c r="E342" s="37" t="n">
        <x:v>20</x:v>
      </x:c>
      <x:c r="F342" s="37" t="n">
        <x:v>21000</x:v>
      </x:c>
      <x:c r="G342" s="37" t="str">
        <x:v>g</x:v>
      </x:c>
      <x:c r="H342" s="37" t="str">
        <x:v>THÙNG</x:v>
      </x:c>
      <x:c r="I342" s="59" t="n">
        <x:v>0</x:v>
      </x:c>
      <x:c r="J342" s="59" t="n">
        <x:v>0</x:v>
      </x:c>
      <x:c r="K342" s="83" t="n">
        <x:v>0</x:v>
      </x:c>
    </x:row>
    <x:row r="343">
      <x:c r="A343" s="71" t="str">
        <x:v>PUDING MOLE DÂU - THÙNG</x:v>
      </x:c>
      <x:c r="B343" s="37" t="str">
        <x:v>PLMDAUT</x:v>
      </x:c>
      <x:c r="C343" s="37" t="str">
        <x:v>PLMDAUT</x:v>
      </x:c>
      <x:c r="D343" s="37" t="str">
        <x:v>PLMDAU</x:v>
      </x:c>
      <x:c r="E343" s="37" t="n">
        <x:v>20</x:v>
      </x:c>
      <x:c r="F343" s="37" t="n">
        <x:v>21000</x:v>
      </x:c>
      <x:c r="G343" s="37" t="str">
        <x:v>g</x:v>
      </x:c>
      <x:c r="H343" s="37" t="str">
        <x:v>THÙNG</x:v>
      </x:c>
      <x:c r="I343" s="59" t="n">
        <x:v>0</x:v>
      </x:c>
      <x:c r="J343" s="59" t="n">
        <x:v>0</x:v>
      </x:c>
      <x:c r="K343" s="83" t="n">
        <x:v>0</x:v>
      </x:c>
    </x:row>
    <x:row r="344">
      <x:c r="A344" s="71" t="str">
        <x:v>PUDING MATCHA DOUXIAN - THÙNG</x:v>
      </x:c>
      <x:c r="B344" s="37" t="str">
        <x:v>PLDXMAT</x:v>
      </x:c>
      <x:c r="C344" s="37" t="str">
        <x:v>PLDXMAT</x:v>
      </x:c>
      <x:c r="D344" s="37" t="str">
        <x:v>PLDXMA</x:v>
      </x:c>
      <x:c r="E344" s="37" t="n">
        <x:v>12</x:v>
      </x:c>
      <x:c r="F344" s="37" t="n">
        <x:v>13000</x:v>
      </x:c>
      <x:c r="G344" s="37" t="str">
        <x:v>g</x:v>
      </x:c>
      <x:c r="H344" s="37" t="str">
        <x:v>THÙNG</x:v>
      </x:c>
      <x:c r="I344" s="59" t="n">
        <x:v>0</x:v>
      </x:c>
      <x:c r="J344" s="59" t="n">
        <x:v>0</x:v>
      </x:c>
      <x:c r="K344" s="83" t="n">
        <x:v>0</x:v>
      </x:c>
    </x:row>
    <x:row r="345">
      <x:c r="A345" s="71" t="str">
        <x:v>PUDING ĐÀO DOUXIAN - THÙNG</x:v>
      </x:c>
      <x:c r="B345" s="37" t="str">
        <x:v>PLDXDOT</x:v>
      </x:c>
      <x:c r="C345" s="37" t="str">
        <x:v>PLDXDOT</x:v>
      </x:c>
      <x:c r="D345" s="37" t="str">
        <x:v>PLDXDO</x:v>
      </x:c>
      <x:c r="E345" s="37" t="n">
        <x:v>12</x:v>
      </x:c>
      <x:c r="F345" s="37" t="n">
        <x:v>13000</x:v>
      </x:c>
      <x:c r="G345" s="37" t="str">
        <x:v>g</x:v>
      </x:c>
      <x:c r="H345" s="37" t="str">
        <x:v>THÙNG</x:v>
      </x:c>
      <x:c r="I345" s="59" t="n">
        <x:v>0</x:v>
      </x:c>
      <x:c r="J345" s="59" t="n">
        <x:v>0</x:v>
      </x:c>
      <x:c r="K345" s="83" t="n">
        <x:v>0</x:v>
      </x:c>
    </x:row>
    <x:row r="346">
      <x:c r="A346" s="71" t="str">
        <x:v>PUDING DƯA LƯỚI DOUXIAN - THÙNG</x:v>
      </x:c>
      <x:c r="B346" s="37" t="str">
        <x:v>PLDXDLT</x:v>
      </x:c>
      <x:c r="C346" s="37" t="str">
        <x:v>PLDXDLT</x:v>
      </x:c>
      <x:c r="D346" s="37" t="str">
        <x:v>PLDXDL</x:v>
      </x:c>
      <x:c r="E346" s="37" t="n">
        <x:v>12</x:v>
      </x:c>
      <x:c r="F346" s="37" t="n">
        <x:v>13000</x:v>
      </x:c>
      <x:c r="G346" s="37" t="str">
        <x:v>g</x:v>
      </x:c>
      <x:c r="H346" s="37" t="str">
        <x:v>THÙNG</x:v>
      </x:c>
      <x:c r="I346" s="59" t="n">
        <x:v>0</x:v>
      </x:c>
      <x:c r="J346" s="59" t="n">
        <x:v>0</x:v>
      </x:c>
      <x:c r="K346" s="83" t="n">
        <x:v>0</x:v>
      </x:c>
    </x:row>
    <x:row r="347">
      <x:c r="A347" s="71" t="str">
        <x:v>PUDING DÂU DOUXIAN - THÙNG</x:v>
      </x:c>
      <x:c r="B347" s="37" t="str">
        <x:v>PLDXDAT</x:v>
      </x:c>
      <x:c r="C347" s="37" t="str">
        <x:v>PLDXDAT</x:v>
      </x:c>
      <x:c r="D347" s="37" t="str">
        <x:v>PLDXDA</x:v>
      </x:c>
      <x:c r="E347" s="37" t="n">
        <x:v>12</x:v>
      </x:c>
      <x:c r="F347" s="37" t="n">
        <x:v>13000</x:v>
      </x:c>
      <x:c r="G347" s="37" t="str">
        <x:v>g</x:v>
      </x:c>
      <x:c r="H347" s="37" t="str">
        <x:v>THÙNG</x:v>
      </x:c>
      <x:c r="I347" s="59" t="n">
        <x:v>0</x:v>
      </x:c>
      <x:c r="J347" s="59" t="n">
        <x:v>0</x:v>
      </x:c>
      <x:c r="K347" s="83" t="n">
        <x:v>0</x:v>
      </x:c>
    </x:row>
    <x:row r="348">
      <x:c r="A348" s="71" t="str">
        <x:v>OSTERBER ĐÀO - THÙNG</x:v>
      </x:c>
      <x:c r="B348" s="37" t="str">
        <x:v>OCTDAOT</x:v>
      </x:c>
      <x:c r="C348" s="37" t="str">
        <x:v>OCTDAOT</x:v>
      </x:c>
      <x:c r="D348" s="37" t="str">
        <x:v>OCTDAO</x:v>
      </x:c>
      <x:c r="E348" s="37" t="n">
        <x:v>12</x:v>
      </x:c>
      <x:c r="F348" s="37" t="n">
        <x:v>15</x:v>
      </x:c>
      <x:c r="G348" s="37" t="str">
        <x:v>kg</x:v>
      </x:c>
      <x:c r="H348" s="37" t="str">
        <x:v>THÙNG</x:v>
      </x:c>
      <x:c r="I348" s="59" t="n">
        <x:v>0</x:v>
      </x:c>
      <x:c r="J348" s="59" t="n">
        <x:v>0</x:v>
      </x:c>
      <x:c r="K348" s="83" t="n">
        <x:v>0</x:v>
      </x:c>
    </x:row>
    <x:row r="349">
      <x:c r="A349" s="71" t="str">
        <x:v>OSTERBER DÂU - THÙNG</x:v>
      </x:c>
      <x:c r="B349" s="37" t="str">
        <x:v>OCTDAUT</x:v>
      </x:c>
      <x:c r="C349" s="37" t="str">
        <x:v>OCTDAUT</x:v>
      </x:c>
      <x:c r="D349" s="37" t="str">
        <x:v>OCTDAU</x:v>
      </x:c>
      <x:c r="E349" s="37" t="n">
        <x:v>12</x:v>
      </x:c>
      <x:c r="F349" s="37" t="n">
        <x:v>16</x:v>
      </x:c>
      <x:c r="G349" s="37" t="str">
        <x:v>kg</x:v>
      </x:c>
      <x:c r="H349" s="37" t="str">
        <x:v>THÙNG</x:v>
      </x:c>
      <x:c r="I349" s="59" t="n">
        <x:v>0</x:v>
      </x:c>
      <x:c r="J349" s="59" t="n">
        <x:v>0</x:v>
      </x:c>
      <x:c r="K349" s="83" t="n">
        <x:v>0</x:v>
      </x:c>
    </x:row>
    <x:row r="350">
      <x:c r="A350" s="71" t="str">
        <x:v>SỮA OATSIDE - THÙNG</x:v>
      </x:c>
      <x:c r="B350" s="37" t="str">
        <x:v>OATSIDT</x:v>
      </x:c>
      <x:c r="C350" s="37" t="str">
        <x:v>OATSIDT</x:v>
      </x:c>
      <x:c r="D350" s="37" t="str">
        <x:v>OATSID</x:v>
      </x:c>
      <x:c r="E350" s="37" t="n">
        <x:v>6</x:v>
      </x:c>
      <x:c r="F350" s="37" t="n">
        <x:v>7000</x:v>
      </x:c>
      <x:c r="G350" s="37" t="str">
        <x:v>g</x:v>
      </x:c>
      <x:c r="H350" s="37" t="str">
        <x:v>THÙNG</x:v>
      </x:c>
      <x:c r="I350" s="59" t="n">
        <x:v>0</x:v>
      </x:c>
      <x:c r="J350" s="59" t="n">
        <x:v>220000</x:v>
      </x:c>
      <x:c r="K350" s="83" t="n">
        <x:v>0</x:v>
      </x:c>
    </x:row>
    <x:row r="351">
      <x:c r="A351" s="71" t="str">
        <x:v>NHÃN LON THÁI - THÙNG</x:v>
      </x:c>
      <x:c r="B351" s="37" t="str">
        <x:v>NHANTHT</x:v>
      </x:c>
      <x:c r="C351" s="37" t="str">
        <x:v>NHANTHT</x:v>
      </x:c>
      <x:c r="D351" s="37" t="str">
        <x:v>NHANTH</x:v>
      </x:c>
      <x:c r="E351" s="37" t="n">
        <x:v>24</x:v>
      </x:c>
      <x:c r="F351" s="37" t="n">
        <x:v>16</x:v>
      </x:c>
      <x:c r="G351" s="37" t="str">
        <x:v>kg</x:v>
      </x:c>
      <x:c r="H351" s="37" t="str">
        <x:v>THÙNG</x:v>
      </x:c>
      <x:c r="I351" s="59" t="n">
        <x:v>0</x:v>
      </x:c>
      <x:c r="J351" s="59" t="n">
        <x:v>920000</x:v>
      </x:c>
      <x:c r="K351" s="83" t="n">
        <x:v>0</x:v>
      </x:c>
    </x:row>
    <x:row r="352">
      <x:c r="A352" s="71" t="str">
        <x:v>NHA ĐAM PESO - THÙNG</x:v>
      </x:c>
      <x:c r="B352" s="37" t="str">
        <x:v>NDPESOT</x:v>
      </x:c>
      <x:c r="C352" s="37" t="str">
        <x:v>NDPESOT</x:v>
      </x:c>
      <x:c r="D352" s="37" t="str">
        <x:v>NDPESO</x:v>
      </x:c>
      <x:c r="E352" s="37" t="n">
        <x:v>10</x:v>
      </x:c>
      <x:c r="F352" s="37" t="n">
        <x:v>13</x:v>
      </x:c>
      <x:c r="G352" s="37" t="str">
        <x:v>kg</x:v>
      </x:c>
      <x:c r="H352" s="37" t="str">
        <x:v>THÙNG</x:v>
      </x:c>
      <x:c r="I352" s="59" t="n">
        <x:v>0</x:v>
      </x:c>
      <x:c r="J352" s="59" t="n">
        <x:v>280000</x:v>
      </x:c>
      <x:c r="K352" s="83" t="n">
        <x:v>0</x:v>
      </x:c>
    </x:row>
    <x:row r="353">
      <x:c r="A353" s="71" t="str">
        <x:v>NƯỚC CỐT TẮC LIME - THÙNG</x:v>
      </x:c>
      <x:c r="B353" s="37" t="str">
        <x:v>CTLIMET</x:v>
      </x:c>
      <x:c r="C353" s="37" t="str">
        <x:v>CTLIMET</x:v>
      </x:c>
      <x:c r="D353" s="37" t="str">
        <x:v>CTLIME</x:v>
      </x:c>
      <x:c r="E353" s="37" t="n">
        <x:v>12</x:v>
      </x:c>
      <x:c r="F353" s="37" t="n">
        <x:v>16</x:v>
      </x:c>
      <x:c r="G353" s="37" t="str">
        <x:v>kg</x:v>
      </x:c>
      <x:c r="H353" s="37" t="str">
        <x:v>THÙNG</x:v>
      </x:c>
      <x:c r="I353" s="59" t="n">
        <x:v>0</x:v>
      </x:c>
      <x:c r="J353" s="59" t="n">
        <x:v>0</x:v>
      </x:c>
      <x:c r="K353" s="83" t="n">
        <x:v>0</x:v>
      </x:c>
    </x:row>
    <x:row r="354">
      <x:c r="A354" s="71" t="str">
        <x:v>NƯỚC CỐT CHANH LIME - THÙNG</x:v>
      </x:c>
      <x:c r="B354" s="37" t="str">
        <x:v>CCLIMET</x:v>
      </x:c>
      <x:c r="C354" s="37" t="str">
        <x:v>CCLIMET</x:v>
      </x:c>
      <x:c r="D354" s="37" t="str">
        <x:v>CCLIME</x:v>
      </x:c>
      <x:c r="E354" s="37" t="n">
        <x:v>12</x:v>
      </x:c>
      <x:c r="F354" s="37" t="n">
        <x:v>16</x:v>
      </x:c>
      <x:c r="G354" s="37" t="str">
        <x:v>kg</x:v>
      </x:c>
      <x:c r="H354" s="37" t="str">
        <x:v>THÙNG</x:v>
      </x:c>
      <x:c r="I354" s="59" t="n">
        <x:v>0</x:v>
      </x:c>
      <x:c r="J354" s="59" t="n">
        <x:v>0</x:v>
      </x:c>
      <x:c r="K354" s="83" t="n">
        <x:v>0</x:v>
      </x:c>
    </x:row>
    <x:row r="355">
      <x:c r="A355" s="71" t="str">
        <x:v>NƯỚC BÒ 1 LÍT - THÙNG</x:v>
      </x:c>
      <x:c r="B355" s="37" t="str">
        <x:v>NCBO1LT</x:v>
      </x:c>
      <x:c r="C355" s="37" t="str">
        <x:v>NCBO1LT</x:v>
      </x:c>
      <x:c r="D355" s="37" t="str">
        <x:v>NCBO1L</x:v>
      </x:c>
      <x:c r="E355" s="37" t="n">
        <x:v>24</x:v>
      </x:c>
      <x:c r="F355" s="37" t="n">
        <x:v>25</x:v>
      </x:c>
      <x:c r="G355" s="37" t="str">
        <x:v>kg</x:v>
      </x:c>
      <x:c r="H355" s="37" t="str">
        <x:v>THÙNG</x:v>
      </x:c>
      <x:c r="I355" s="59" t="n">
        <x:v>780000</x:v>
      </x:c>
      <x:c r="J355" s="59" t="n">
        <x:v>0</x:v>
      </x:c>
      <x:c r="K355" s="83" t="n">
        <x:v>0</x:v>
      </x:c>
    </x:row>
    <x:row r="356">
      <x:c r="A356" s="71" t="str">
        <x:v>NƯỚC BÒ 5 LÍT - THÙNG</x:v>
      </x:c>
      <x:c r="B356" s="37" t="str">
        <x:v>NCBO5LT</x:v>
      </x:c>
      <x:c r="C356" s="37" t="str">
        <x:v>NCBO5LT</x:v>
      </x:c>
      <x:c r="D356" s="37" t="str">
        <x:v>NCBO5L</x:v>
      </x:c>
      <x:c r="E356" s="37" t="n">
        <x:v>6</x:v>
      </x:c>
      <x:c r="F356" s="37" t="n">
        <x:v>31</x:v>
      </x:c>
      <x:c r="G356" s="37" t="str">
        <x:v>kg</x:v>
      </x:c>
      <x:c r="H356" s="37" t="str">
        <x:v>THÙNG</x:v>
      </x:c>
      <x:c r="I356" s="59" t="n">
        <x:v>830000</x:v>
      </x:c>
      <x:c r="J356" s="59" t="n">
        <x:v>0</x:v>
      </x:c>
      <x:c r="K356" s="83" t="n">
        <x:v>0</x:v>
      </x:c>
    </x:row>
    <x:row r="357">
      <x:c r="A357" s="71" t="str">
        <x:v>NẤM 20GAM - THÙNG</x:v>
      </x:c>
      <x:c r="B357" s="37" t="str">
        <x:v>NAM200T</x:v>
      </x:c>
      <x:c r="C357" s="37" t="str">
        <x:v>NAM200T</x:v>
      </x:c>
      <x:c r="D357" s="37" t="str">
        <x:v>NAM200</x:v>
      </x:c>
      <x:c r="E357" s="37" t="n">
        <x:v>35</x:v>
      </x:c>
      <x:c r="F357" s="37" t="n">
        <x:v>700</x:v>
      </x:c>
      <x:c r="G357" s="37" t="str">
        <x:v>g</x:v>
      </x:c>
      <x:c r="H357" s="37" t="str">
        <x:v>THÙNG</x:v>
      </x:c>
      <x:c r="I357" s="59" t="n">
        <x:v>0</x:v>
      </x:c>
      <x:c r="J357" s="59" t="n">
        <x:v>0</x:v>
      </x:c>
      <x:c r="K357" s="83" t="n">
        <x:v>0</x:v>
      </x:c>
    </x:row>
    <x:row r="358">
      <x:c r="A358" s="71" t="str">
        <x:v>NẮP CẦU VUÔNG 95 - THÙNG</x:v>
      </x:c>
      <x:c r="B358" s="37" t="str">
        <x:v>NCVG95T</x:v>
      </x:c>
      <x:c r="C358" s="37" t="str">
        <x:v>NCVG95T</x:v>
      </x:c>
      <x:c r="D358" s="37" t="str">
        <x:v>NCVG95</x:v>
      </x:c>
      <x:c r="E358" s="37" t="n">
        <x:v>40</x:v>
      </x:c>
      <x:c r="F358" s="37" t="n">
        <x:v>10</x:v>
      </x:c>
      <x:c r="G358" s="37" t="str">
        <x:v>kg</x:v>
      </x:c>
      <x:c r="H358" s="37" t="str">
        <x:v>THÙNG</x:v>
      </x:c>
      <x:c r="I358" s="59" t="n">
        <x:v>0</x:v>
      </x:c>
      <x:c r="J358" s="59" t="n">
        <x:v>0</x:v>
      </x:c>
      <x:c r="K358" s="83" t="n">
        <x:v>0</x:v>
      </x:c>
    </x:row>
    <x:row r="359">
      <x:c r="A359" s="71" t="str">
        <x:v>NẮP CẦU TRÒN PHI 95 - THÙNG</x:v>
      </x:c>
      <x:c r="B359" s="37" t="str">
        <x:v>NCTR95T</x:v>
      </x:c>
      <x:c r="C359" s="37" t="str">
        <x:v>NCTR95T</x:v>
      </x:c>
      <x:c r="D359" s="37" t="str">
        <x:v>NCTR95</x:v>
      </x:c>
      <x:c r="E359" s="37" t="n">
        <x:v>40</x:v>
      </x:c>
      <x:c r="F359" s="37" t="n">
        <x:v>10</x:v>
      </x:c>
      <x:c r="G359" s="37" t="str">
        <x:v>kg</x:v>
      </x:c>
      <x:c r="H359" s="37" t="str">
        <x:v>THÙNG</x:v>
      </x:c>
      <x:c r="I359" s="59" t="n">
        <x:v>0</x:v>
      </x:c>
      <x:c r="J359" s="59" t="n">
        <x:v>0</x:v>
      </x:c>
      <x:c r="K359" s="83" t="n">
        <x:v>0</x:v>
      </x:c>
    </x:row>
    <x:row r="360">
      <x:c r="A360" s="71" t="str">
        <x:v>MỨT VINA 1L XOÀI - THÙNG</x:v>
      </x:c>
      <x:c r="B360" s="37" t="str">
        <x:v>STV1XOT</x:v>
      </x:c>
      <x:c r="C360" s="37" t="str">
        <x:v>STV1XOT</x:v>
      </x:c>
      <x:c r="D360" s="37" t="str">
        <x:v>STV1XO</x:v>
      </x:c>
      <x:c r="E360" s="37" t="n">
        <x:v>12</x:v>
      </x:c>
      <x:c r="F360" s="37" t="n">
        <x:v>16000</x:v>
      </x:c>
      <x:c r="G360" s="37" t="str">
        <x:v>g</x:v>
      </x:c>
      <x:c r="H360" s="37" t="str">
        <x:v>THÙNG</x:v>
      </x:c>
      <x:c r="I360" s="59" t="n">
        <x:v>0</x:v>
      </x:c>
      <x:c r="J360" s="59" t="n">
        <x:v>0</x:v>
      </x:c>
      <x:c r="K360" s="83" t="n">
        <x:v>0</x:v>
      </x:c>
    </x:row>
    <x:row r="361">
      <x:c r="A361" s="71" t="str">
        <x:v>MỨT GOLD XOÀI - THÙNG</x:v>
      </x:c>
      <x:c r="B361" s="37" t="str">
        <x:v>STGXOAT</x:v>
      </x:c>
      <x:c r="C361" s="37" t="str">
        <x:v>STGXOAT</x:v>
      </x:c>
      <x:c r="D361" s="37" t="str">
        <x:v>STGXOA</x:v>
      </x:c>
      <x:c r="E361" s="37" t="n">
        <x:v>12</x:v>
      </x:c>
      <x:c r="F361" s="37" t="n">
        <x:v>16000</x:v>
      </x:c>
      <x:c r="G361" s="37" t="str">
        <x:v>g</x:v>
      </x:c>
      <x:c r="H361" s="37" t="str">
        <x:v>THÙNG</x:v>
      </x:c>
      <x:c r="I361" s="59" t="n">
        <x:v>1164000</x:v>
      </x:c>
      <x:c r="J361" s="59" t="n">
        <x:v>0</x:v>
      </x:c>
      <x:c r="K361" s="83" t="n">
        <x:v>0</x:v>
      </x:c>
    </x:row>
    <x:row r="362">
      <x:c r="A362" s="71" t="str">
        <x:v>MỨT VINA 650G VIỆT QUỐC - THÙNG</x:v>
      </x:c>
      <x:c r="B362" s="37" t="str">
        <x:v>STVHVQT</x:v>
      </x:c>
      <x:c r="C362" s="37" t="str">
        <x:v>STVHVQT</x:v>
      </x:c>
      <x:c r="D362" s="37" t="str">
        <x:v>STVHVQ</x:v>
      </x:c>
      <x:c r="E362" s="37" t="n">
        <x:v>24</x:v>
      </x:c>
      <x:c r="F362" s="37" t="n">
        <x:v>16000</x:v>
      </x:c>
      <x:c r="G362" s="37" t="str">
        <x:v>g</x:v>
      </x:c>
      <x:c r="H362" s="37" t="str">
        <x:v>THÙNG</x:v>
      </x:c>
      <x:c r="I362" s="59" t="n">
        <x:v>0</x:v>
      </x:c>
      <x:c r="J362" s="59" t="n">
        <x:v>0</x:v>
      </x:c>
      <x:c r="K362" s="83" t="n">
        <x:v>0</x:v>
      </x:c>
    </x:row>
    <x:row r="363">
      <x:c r="A363" s="71" t="str">
        <x:v>MỨT VINA 650G DÂU - THÙNG</x:v>
      </x:c>
      <x:c r="B363" s="37" t="str">
        <x:v>STVHDAT</x:v>
      </x:c>
      <x:c r="C363" s="37" t="str">
        <x:v>STVHDAT</x:v>
      </x:c>
      <x:c r="D363" s="37" t="str">
        <x:v>STVHDA</x:v>
      </x:c>
      <x:c r="E363" s="37" t="n">
        <x:v>24</x:v>
      </x:c>
      <x:c r="F363" s="37" t="n">
        <x:v>16000</x:v>
      </x:c>
      <x:c r="G363" s="37" t="str">
        <x:v>g</x:v>
      </x:c>
      <x:c r="H363" s="37" t="str">
        <x:v>THÙNG</x:v>
      </x:c>
      <x:c r="I363" s="59" t="n">
        <x:v>0</x:v>
      </x:c>
      <x:c r="J363" s="59" t="n">
        <x:v>0</x:v>
      </x:c>
      <x:c r="K363" s="83" t="n">
        <x:v>0</x:v>
      </x:c>
    </x:row>
    <x:row r="364">
      <x:c r="A364" s="71" t="str">
        <x:v>MỨT VINA 650G ỔI - THÙNG</x:v>
      </x:c>
      <x:c r="B364" s="37" t="str">
        <x:v>STVHOIT</x:v>
      </x:c>
      <x:c r="C364" s="37" t="str">
        <x:v>STVHOIT</x:v>
      </x:c>
      <x:c r="D364" s="37" t="str">
        <x:v>STVHOI</x:v>
      </x:c>
      <x:c r="E364" s="37" t="n">
        <x:v>24</x:v>
      </x:c>
      <x:c r="F364" s="37" t="n">
        <x:v>16000</x:v>
      </x:c>
      <x:c r="G364" s="37" t="str">
        <x:v>g</x:v>
      </x:c>
      <x:c r="H364" s="37" t="str">
        <x:v>THÙNG</x:v>
      </x:c>
      <x:c r="I364" s="59" t="n">
        <x:v>0</x:v>
      </x:c>
      <x:c r="J364" s="59" t="n">
        <x:v>0</x:v>
      </x:c>
      <x:c r="K364" s="83" t="n">
        <x:v>0</x:v>
      </x:c>
    </x:row>
    <x:row r="365">
      <x:c r="A365" s="71" t="str">
        <x:v>MỨT VINA 650G ĐÀO - THÙNG</x:v>
      </x:c>
      <x:c r="B365" s="37" t="str">
        <x:v>STVHDOT</x:v>
      </x:c>
      <x:c r="C365" s="37" t="str">
        <x:v>STVHDOT</x:v>
      </x:c>
      <x:c r="D365" s="37" t="str">
        <x:v>STVHDO</x:v>
      </x:c>
      <x:c r="E365" s="37" t="n">
        <x:v>24</x:v>
      </x:c>
      <x:c r="F365" s="37" t="n">
        <x:v>16000</x:v>
      </x:c>
      <x:c r="G365" s="37" t="str">
        <x:v>g</x:v>
      </x:c>
      <x:c r="H365" s="37" t="str">
        <x:v>THÙNG</x:v>
      </x:c>
      <x:c r="I365" s="59" t="n">
        <x:v>0</x:v>
      </x:c>
      <x:c r="J365" s="59" t="n">
        <x:v>0</x:v>
      </x:c>
      <x:c r="K365" s="83" t="n">
        <x:v>0</x:v>
      </x:c>
    </x:row>
    <x:row r="366">
      <x:c r="A366" s="71" t="str">
        <x:v>MỨT VINA 1L VIỆT QUỐC - THÙNG</x:v>
      </x:c>
      <x:c r="B366" s="37" t="str">
        <x:v>STV1VQT</x:v>
      </x:c>
      <x:c r="C366" s="37" t="str">
        <x:v>STV1VQT</x:v>
      </x:c>
      <x:c r="D366" s="37" t="str">
        <x:v>STV1VQ</x:v>
      </x:c>
      <x:c r="E366" s="37" t="n">
        <x:v>12</x:v>
      </x:c>
      <x:c r="F366" s="37" t="n">
        <x:v>16000</x:v>
      </x:c>
      <x:c r="G366" s="37" t="str">
        <x:v>g</x:v>
      </x:c>
      <x:c r="H366" s="37" t="str">
        <x:v>THÙNG</x:v>
      </x:c>
      <x:c r="I366" s="59" t="n">
        <x:v>0</x:v>
      </x:c>
      <x:c r="J366" s="59" t="n">
        <x:v>0</x:v>
      </x:c>
      <x:c r="K366" s="83" t="n">
        <x:v>0</x:v>
      </x:c>
    </x:row>
    <x:row r="367">
      <x:c r="A367" s="71" t="str">
        <x:v>MỨT GOLD VIỆT QUỐC - THÙNG</x:v>
      </x:c>
      <x:c r="B367" s="37" t="str">
        <x:v>STGVQUT</x:v>
      </x:c>
      <x:c r="C367" s="37" t="str">
        <x:v>STGVQUT</x:v>
      </x:c>
      <x:c r="D367" s="37" t="str">
        <x:v>STGVQU</x:v>
      </x:c>
      <x:c r="E367" s="37" t="n">
        <x:v>12</x:v>
      </x:c>
      <x:c r="F367" s="37" t="n">
        <x:v>16000</x:v>
      </x:c>
      <x:c r="G367" s="37" t="str">
        <x:v>g</x:v>
      </x:c>
      <x:c r="H367" s="37" t="str">
        <x:v>THÙNG</x:v>
      </x:c>
      <x:c r="I367" s="59" t="n">
        <x:v>1455000</x:v>
      </x:c>
      <x:c r="J367" s="59" t="n">
        <x:v>0</x:v>
      </x:c>
      <x:c r="K367" s="83" t="n">
        <x:v>0</x:v>
      </x:c>
    </x:row>
    <x:row r="368">
      <x:c r="A368" s="71" t="str">
        <x:v>MỨT ICEHOT VIỆT QUẤT - THÙNG</x:v>
      </x:c>
      <x:c r="B368" s="37" t="str">
        <x:v>MVQUIHT</x:v>
      </x:c>
      <x:c r="C368" s="37" t="str">
        <x:v>MVQUIHT</x:v>
      </x:c>
      <x:c r="D368" s="37" t="str">
        <x:v>MVQUIH</x:v>
      </x:c>
      <x:c r="E368" s="37" t="n">
        <x:v>8</x:v>
      </x:c>
      <x:c r="F368" s="37" t="n">
        <x:v>9000</x:v>
      </x:c>
      <x:c r="G368" s="37" t="str">
        <x:v>g</x:v>
      </x:c>
      <x:c r="H368" s="37" t="str">
        <x:v>THÙNG</x:v>
      </x:c>
      <x:c r="I368" s="59" t="n">
        <x:v>0</x:v>
      </x:c>
      <x:c r="J368" s="59" t="n">
        <x:v>0</x:v>
      </x:c>
      <x:c r="K368" s="83" t="n">
        <x:v>0</x:v>
      </x:c>
    </x:row>
    <x:row r="369">
      <x:c r="A369" s="71" t="str">
        <x:v>MỨT VINA 1L VẢI - THÙNG</x:v>
      </x:c>
      <x:c r="B369" s="37" t="str">
        <x:v>STV1VAT</x:v>
      </x:c>
      <x:c r="C369" s="37" t="str">
        <x:v>STV1VAT</x:v>
      </x:c>
      <x:c r="D369" s="37" t="str">
        <x:v>STV1VA</x:v>
      </x:c>
      <x:c r="E369" s="37" t="n">
        <x:v>12</x:v>
      </x:c>
      <x:c r="F369" s="37" t="n">
        <x:v>16000</x:v>
      </x:c>
      <x:c r="G369" s="37" t="str">
        <x:v>g</x:v>
      </x:c>
      <x:c r="H369" s="37" t="str">
        <x:v>THÙNG</x:v>
      </x:c>
      <x:c r="I369" s="59" t="n">
        <x:v>0</x:v>
      </x:c>
      <x:c r="J369" s="59" t="n">
        <x:v>0</x:v>
      </x:c>
      <x:c r="K369" s="83" t="n">
        <x:v>0</x:v>
      </x:c>
    </x:row>
    <x:row r="370">
      <x:c r="A370" s="71" t="str">
        <x:v>MỨT GOLD VẢI - THÙNG</x:v>
      </x:c>
      <x:c r="B370" s="37" t="str">
        <x:v>STGVAIT</x:v>
      </x:c>
      <x:c r="C370" s="37" t="str">
        <x:v>STGVAIT</x:v>
      </x:c>
      <x:c r="D370" s="37" t="str">
        <x:v>STGVAI</x:v>
      </x:c>
      <x:c r="E370" s="37" t="n">
        <x:v>12</x:v>
      </x:c>
      <x:c r="F370" s="37" t="n">
        <x:v>16000</x:v>
      </x:c>
      <x:c r="G370" s="37" t="str">
        <x:v>g</x:v>
      </x:c>
      <x:c r="H370" s="37" t="str">
        <x:v>THÙNG</x:v>
      </x:c>
      <x:c r="I370" s="59" t="n">
        <x:v>1394000</x:v>
      </x:c>
      <x:c r="J370" s="59" t="n">
        <x:v>0</x:v>
      </x:c>
      <x:c r="K370" s="83" t="n">
        <x:v>0</x:v>
      </x:c>
    </x:row>
    <x:row r="371">
      <x:c r="A371" s="71" t="str">
        <x:v>MỨT VINA 1L THƠM - THÙNG</x:v>
      </x:c>
      <x:c r="B371" s="37" t="str">
        <x:v>STV1THT</x:v>
      </x:c>
      <x:c r="C371" s="37" t="str">
        <x:v>STV1THT</x:v>
      </x:c>
      <x:c r="D371" s="37" t="str">
        <x:v>STV1TH</x:v>
      </x:c>
      <x:c r="E371" s="37" t="n">
        <x:v>12</x:v>
      </x:c>
      <x:c r="F371" s="37" t="n">
        <x:v>16000</x:v>
      </x:c>
      <x:c r="G371" s="37" t="str">
        <x:v>g</x:v>
      </x:c>
      <x:c r="H371" s="37" t="str">
        <x:v>THÙNG</x:v>
      </x:c>
      <x:c r="I371" s="59" t="n">
        <x:v>0</x:v>
      </x:c>
      <x:c r="J371" s="59" t="n">
        <x:v>0</x:v>
      </x:c>
      <x:c r="K371" s="83" t="n">
        <x:v>0</x:v>
      </x:c>
    </x:row>
    <x:row r="372">
      <x:c r="A372" s="71" t="str">
        <x:v>MỨT GOLD THƠM - THÙNG</x:v>
      </x:c>
      <x:c r="B372" s="37" t="str">
        <x:v>STGTHMT</x:v>
      </x:c>
      <x:c r="C372" s="37" t="str">
        <x:v>STGTHMT</x:v>
      </x:c>
      <x:c r="D372" s="37" t="str">
        <x:v>STGTHM</x:v>
      </x:c>
      <x:c r="E372" s="37" t="n">
        <x:v>12</x:v>
      </x:c>
      <x:c r="F372" s="37" t="n">
        <x:v>16000</x:v>
      </x:c>
      <x:c r="G372" s="37" t="str">
        <x:v>g</x:v>
      </x:c>
      <x:c r="H372" s="37" t="str">
        <x:v>THÙNG</x:v>
      </x:c>
      <x:c r="I372" s="59" t="n">
        <x:v>1213000</x:v>
      </x:c>
      <x:c r="J372" s="59" t="n">
        <x:v>0</x:v>
      </x:c>
      <x:c r="K372" s="83" t="n">
        <x:v>0</x:v>
      </x:c>
    </x:row>
    <x:row r="373">
      <x:c r="A373" s="71" t="str">
        <x:v>MỨT GOLD TÁO XANH - THÙNG</x:v>
      </x:c>
      <x:c r="B373" s="37" t="str">
        <x:v>STGTAOT</x:v>
      </x:c>
      <x:c r="C373" s="37" t="str">
        <x:v>STGTAOT</x:v>
      </x:c>
      <x:c r="D373" s="37" t="str">
        <x:v>STGTAO</x:v>
      </x:c>
      <x:c r="E373" s="37" t="n">
        <x:v>12</x:v>
      </x:c>
      <x:c r="F373" s="37" t="n">
        <x:v>16000</x:v>
      </x:c>
      <x:c r="G373" s="37" t="str">
        <x:v>g</x:v>
      </x:c>
      <x:c r="H373" s="37" t="str">
        <x:v>THÙNG</x:v>
      </x:c>
      <x:c r="I373" s="59" t="n">
        <x:v>0</x:v>
      </x:c>
      <x:c r="J373" s="59" t="n">
        <x:v>0</x:v>
      </x:c>
      <x:c r="K373" s="83" t="n">
        <x:v>0</x:v>
      </x:c>
    </x:row>
    <x:row r="374">
      <x:c r="A374" s="71" t="str">
        <x:v>MỨT GOLD PHÚC BỒN TỬ - THÙNG</x:v>
      </x:c>
      <x:c r="B374" s="37" t="str">
        <x:v>STGPBTT</x:v>
      </x:c>
      <x:c r="C374" s="37" t="str">
        <x:v>STGPBTT</x:v>
      </x:c>
      <x:c r="D374" s="37" t="str">
        <x:v>STGPBT</x:v>
      </x:c>
      <x:c r="E374" s="37" t="n">
        <x:v>12</x:v>
      </x:c>
      <x:c r="F374" s="37" t="n">
        <x:v>16000</x:v>
      </x:c>
      <x:c r="G374" s="37" t="str">
        <x:v>g</x:v>
      </x:c>
      <x:c r="H374" s="37" t="str">
        <x:v>THÙNG</x:v>
      </x:c>
      <x:c r="I374" s="59" t="n">
        <x:v>1398000</x:v>
      </x:c>
      <x:c r="J374" s="59" t="n">
        <x:v>0</x:v>
      </x:c>
      <x:c r="K374" s="83" t="n">
        <x:v>0</x:v>
      </x:c>
    </x:row>
    <x:row r="375">
      <x:c r="A375" s="71" t="str">
        <x:v>MỨT VINA 1L ỔI  - THÙNG</x:v>
      </x:c>
      <x:c r="B375" s="37" t="str">
        <x:v>STV1OIT</x:v>
      </x:c>
      <x:c r="C375" s="37" t="str">
        <x:v>STV1OIT</x:v>
      </x:c>
      <x:c r="D375" s="37" t="str">
        <x:v>STV1OI</x:v>
      </x:c>
      <x:c r="E375" s="37" t="n">
        <x:v>12</x:v>
      </x:c>
      <x:c r="F375" s="37" t="n">
        <x:v>16000</x:v>
      </x:c>
      <x:c r="G375" s="37" t="str">
        <x:v>g</x:v>
      </x:c>
      <x:c r="H375" s="37" t="str">
        <x:v>THÙNG</x:v>
      </x:c>
      <x:c r="I375" s="59" t="n">
        <x:v>0</x:v>
      </x:c>
      <x:c r="J375" s="59" t="n">
        <x:v>0</x:v>
      </x:c>
      <x:c r="K375" s="83" t="n">
        <x:v>0</x:v>
      </x:c>
    </x:row>
    <x:row r="376">
      <x:c r="A376" s="71" t="str">
        <x:v>MỨT GOLD ỔI - THÙNG</x:v>
      </x:c>
      <x:c r="B376" s="37" t="str">
        <x:v>STGOIHT</x:v>
      </x:c>
      <x:c r="C376" s="37" t="str">
        <x:v>STGOIHT</x:v>
      </x:c>
      <x:c r="D376" s="37" t="str">
        <x:v>STGOIH</x:v>
      </x:c>
      <x:c r="E376" s="37" t="n">
        <x:v>12</x:v>
      </x:c>
      <x:c r="F376" s="37" t="n">
        <x:v>16000</x:v>
      </x:c>
      <x:c r="G376" s="37" t="str">
        <x:v>g</x:v>
      </x:c>
      <x:c r="H376" s="37" t="str">
        <x:v>THÙNG</x:v>
      </x:c>
      <x:c r="I376" s="59" t="n">
        <x:v>1214000</x:v>
      </x:c>
      <x:c r="J376" s="59" t="n">
        <x:v>0</x:v>
      </x:c>
      <x:c r="K376" s="83" t="n">
        <x:v>0</x:v>
      </x:c>
    </x:row>
    <x:row r="377">
      <x:c r="A377" s="71" t="str">
        <x:v>MỨT GOLD NHO - THÙNG</x:v>
      </x:c>
      <x:c r="B377" s="37" t="str">
        <x:v>STGNHOT</x:v>
      </x:c>
      <x:c r="C377" s="37" t="str">
        <x:v>STGNHOT</x:v>
      </x:c>
      <x:c r="D377" s="37" t="str">
        <x:v>STGNHO</x:v>
      </x:c>
      <x:c r="E377" s="37" t="n">
        <x:v>12</x:v>
      </x:c>
      <x:c r="F377" s="37" t="n">
        <x:v>16000</x:v>
      </x:c>
      <x:c r="G377" s="37" t="str">
        <x:v>g</x:v>
      </x:c>
      <x:c r="H377" s="37" t="str">
        <x:v>THÙNG</x:v>
      </x:c>
      <x:c r="I377" s="59" t="n">
        <x:v>1155000</x:v>
      </x:c>
      <x:c r="J377" s="59" t="n">
        <x:v>0</x:v>
      </x:c>
      <x:c r="K377" s="83" t="n">
        <x:v>0</x:v>
      </x:c>
    </x:row>
    <x:row r="378">
      <x:c r="A378" s="71" t="str">
        <x:v>MỨT GOLD NHÃN - THÙNG</x:v>
      </x:c>
      <x:c r="B378" s="37" t="str">
        <x:v>STGNHNT</x:v>
      </x:c>
      <x:c r="C378" s="37" t="str">
        <x:v>STGNHNT</x:v>
      </x:c>
      <x:c r="D378" s="37" t="str">
        <x:v>STGNHN</x:v>
      </x:c>
      <x:c r="E378" s="37" t="n">
        <x:v>12</x:v>
      </x:c>
      <x:c r="F378" s="37" t="n">
        <x:v>16000</x:v>
      </x:c>
      <x:c r="G378" s="37" t="str">
        <x:v>g</x:v>
      </x:c>
      <x:c r="H378" s="37" t="str">
        <x:v>THÙNG</x:v>
      </x:c>
      <x:c r="I378" s="59" t="n">
        <x:v>0</x:v>
      </x:c>
      <x:c r="J378" s="59" t="n">
        <x:v>0</x:v>
      </x:c>
      <x:c r="K378" s="83" t="n">
        <x:v>0</x:v>
      </x:c>
    </x:row>
    <x:row r="379">
      <x:c r="A379" s="71" t="str">
        <x:v>MỨT VINA 1L MÃNG CẦU - THÙNG</x:v>
      </x:c>
      <x:c r="B379" s="37" t="str">
        <x:v>STV1MCT</x:v>
      </x:c>
      <x:c r="C379" s="37" t="str">
        <x:v>STV1MCT</x:v>
      </x:c>
      <x:c r="D379" s="37" t="str">
        <x:v>STV1MC</x:v>
      </x:c>
      <x:c r="E379" s="37" t="n">
        <x:v>12</x:v>
      </x:c>
      <x:c r="F379" s="37" t="n">
        <x:v>16000</x:v>
      </x:c>
      <x:c r="G379" s="37" t="str">
        <x:v>g</x:v>
      </x:c>
      <x:c r="H379" s="37" t="str">
        <x:v>THÙNG</x:v>
      </x:c>
      <x:c r="I379" s="59" t="n">
        <x:v>0</x:v>
      </x:c>
      <x:c r="J379" s="59" t="n">
        <x:v>0</x:v>
      </x:c>
      <x:c r="K379" s="83" t="n">
        <x:v>0</x:v>
      </x:c>
    </x:row>
    <x:row r="380">
      <x:c r="A380" s="71" t="str">
        <x:v>MỨT GOLD MÃNG CẦU - THÙNG</x:v>
      </x:c>
      <x:c r="B380" s="37" t="str">
        <x:v>STGMCAT</x:v>
      </x:c>
      <x:c r="C380" s="37" t="str">
        <x:v>STGMCAT</x:v>
      </x:c>
      <x:c r="D380" s="37" t="str">
        <x:v>STGMCA</x:v>
      </x:c>
      <x:c r="E380" s="37" t="n">
        <x:v>12</x:v>
      </x:c>
      <x:c r="F380" s="37" t="n">
        <x:v>16000</x:v>
      </x:c>
      <x:c r="G380" s="37" t="str">
        <x:v>g</x:v>
      </x:c>
      <x:c r="H380" s="37" t="str">
        <x:v>THÙNG</x:v>
      </x:c>
      <x:c r="I380" s="59" t="n">
        <x:v>1336000</x:v>
      </x:c>
      <x:c r="J380" s="59" t="n">
        <x:v>0</x:v>
      </x:c>
      <x:c r="K380" s="83" t="n">
        <x:v>0</x:v>
      </x:c>
    </x:row>
    <x:row r="381">
      <x:c r="A381" s="71" t="str">
        <x:v>MỨT VINA 1L LỰU - THÙNG</x:v>
      </x:c>
      <x:c r="B381" s="37" t="str">
        <x:v>STV1LUT</x:v>
      </x:c>
      <x:c r="C381" s="37" t="str">
        <x:v>STV1LUT</x:v>
      </x:c>
      <x:c r="D381" s="37" t="str">
        <x:v>STV1LU</x:v>
      </x:c>
      <x:c r="E381" s="37" t="n">
        <x:v>12</x:v>
      </x:c>
      <x:c r="F381" s="37" t="n">
        <x:v>16000</x:v>
      </x:c>
      <x:c r="G381" s="37" t="str">
        <x:v>g</x:v>
      </x:c>
      <x:c r="H381" s="37" t="str">
        <x:v>THÙNG</x:v>
      </x:c>
      <x:c r="I381" s="59" t="n">
        <x:v>0</x:v>
      </x:c>
      <x:c r="J381" s="59" t="n">
        <x:v>0</x:v>
      </x:c>
      <x:c r="K381" s="83" t="n">
        <x:v>0</x:v>
      </x:c>
    </x:row>
    <x:row r="382">
      <x:c r="A382" s="71" t="str">
        <x:v>MỨT VINA 1L KIWI - THÙNG</x:v>
      </x:c>
      <x:c r="B382" s="37" t="str">
        <x:v>STV1KWT</x:v>
      </x:c>
      <x:c r="C382" s="37" t="str">
        <x:v>STV1KWT</x:v>
      </x:c>
      <x:c r="D382" s="37" t="str">
        <x:v>STV1KW</x:v>
      </x:c>
      <x:c r="E382" s="37" t="n">
        <x:v>12</x:v>
      </x:c>
      <x:c r="F382" s="37" t="n">
        <x:v>16000</x:v>
      </x:c>
      <x:c r="G382" s="37" t="str">
        <x:v>g</x:v>
      </x:c>
      <x:c r="H382" s="37" t="str">
        <x:v>THÙNG</x:v>
      </x:c>
      <x:c r="I382" s="59" t="n">
        <x:v>0</x:v>
      </x:c>
      <x:c r="J382" s="59" t="n">
        <x:v>0</x:v>
      </x:c>
      <x:c r="K382" s="83" t="n">
        <x:v>0</x:v>
      </x:c>
    </x:row>
    <x:row r="383">
      <x:c r="A383" s="71" t="str">
        <x:v>MỨT GOLD KIWI - THÙNG</x:v>
      </x:c>
      <x:c r="B383" s="37" t="str">
        <x:v>STGKWIT</x:v>
      </x:c>
      <x:c r="C383" s="37" t="str">
        <x:v>STGKWIT</x:v>
      </x:c>
      <x:c r="D383" s="37" t="str">
        <x:v>STGKWI</x:v>
      </x:c>
      <x:c r="E383" s="37" t="n">
        <x:v>12</x:v>
      </x:c>
      <x:c r="F383" s="37" t="n">
        <x:v>16000</x:v>
      </x:c>
      <x:c r="G383" s="37" t="str">
        <x:v>g</x:v>
      </x:c>
      <x:c r="H383" s="37" t="str">
        <x:v>THÙNG</x:v>
      </x:c>
      <x:c r="I383" s="59" t="n">
        <x:v>1155000</x:v>
      </x:c>
      <x:c r="J383" s="59" t="n">
        <x:v>0</x:v>
      </x:c>
      <x:c r="K383" s="83" t="n">
        <x:v>0</x:v>
      </x:c>
    </x:row>
    <x:row r="384">
      <x:c r="A384" s="71" t="str">
        <x:v>MỨT VINA 1L ĐÀO  - THÙNG</x:v>
      </x:c>
      <x:c r="B384" s="37" t="str">
        <x:v>STV1DOT</x:v>
      </x:c>
      <x:c r="C384" s="37" t="str">
        <x:v>STV1DOT</x:v>
      </x:c>
      <x:c r="D384" s="37" t="str">
        <x:v>STV1DO</x:v>
      </x:c>
      <x:c r="E384" s="37" t="n">
        <x:v>12</x:v>
      </x:c>
      <x:c r="F384" s="37" t="n">
        <x:v>16000</x:v>
      </x:c>
      <x:c r="G384" s="37" t="str">
        <x:v>g</x:v>
      </x:c>
      <x:c r="H384" s="37" t="str">
        <x:v>THÙNG</x:v>
      </x:c>
      <x:c r="I384" s="59" t="n">
        <x:v>0</x:v>
      </x:c>
      <x:c r="J384" s="59" t="n">
        <x:v>0</x:v>
      </x:c>
      <x:c r="K384" s="83" t="n">
        <x:v>0</x:v>
      </x:c>
    </x:row>
    <x:row r="385">
      <x:c r="A385" s="71" t="str">
        <x:v>MỨT ICEHOT ĐÀO - THÙNG</x:v>
      </x:c>
      <x:c r="B385" s="37" t="str">
        <x:v>MDAOIHT</x:v>
      </x:c>
      <x:c r="C385" s="37" t="str">
        <x:v>MDAOIHT</x:v>
      </x:c>
      <x:c r="D385" s="37" t="str">
        <x:v>MDAOIH</x:v>
      </x:c>
      <x:c r="E385" s="37" t="n">
        <x:v>8</x:v>
      </x:c>
      <x:c r="F385" s="37" t="n">
        <x:v>9000</x:v>
      </x:c>
      <x:c r="G385" s="37" t="str">
        <x:v>g</x:v>
      </x:c>
      <x:c r="H385" s="37" t="str">
        <x:v>THÙNG</x:v>
      </x:c>
      <x:c r="I385" s="59" t="n">
        <x:v>0</x:v>
      </x:c>
      <x:c r="J385" s="59" t="n">
        <x:v>0</x:v>
      </x:c>
      <x:c r="K385" s="83" t="n">
        <x:v>0</x:v>
      </x:c>
    </x:row>
    <x:row r="386">
      <x:c r="A386" s="71" t="str">
        <x:v>MỨT GOLD ĐÀO - THÙNG</x:v>
      </x:c>
      <x:c r="B386" s="37" t="str">
        <x:v>STGDAOT</x:v>
      </x:c>
      <x:c r="C386" s="37" t="str">
        <x:v>STGDAOT</x:v>
      </x:c>
      <x:c r="D386" s="37" t="str">
        <x:v>STGDAO</x:v>
      </x:c>
      <x:c r="E386" s="37" t="n">
        <x:v>12</x:v>
      </x:c>
      <x:c r="F386" s="37" t="n">
        <x:v>16000</x:v>
      </x:c>
      <x:c r="G386" s="37" t="str">
        <x:v>g</x:v>
      </x:c>
      <x:c r="H386" s="37" t="str">
        <x:v>THÙNG</x:v>
      </x:c>
      <x:c r="I386" s="59" t="n">
        <x:v>1102000</x:v>
      </x:c>
      <x:c r="J386" s="59" t="n">
        <x:v>0</x:v>
      </x:c>
      <x:c r="K386" s="83" t="n">
        <x:v>0</x:v>
      </x:c>
    </x:row>
    <x:row r="387">
      <x:c r="A387" s="71" t="str">
        <x:v>MỨT GOLD DƯA LƯỚI XANH - THÙNG</x:v>
      </x:c>
      <x:c r="B387" s="37" t="str">
        <x:v>STGDLUT</x:v>
      </x:c>
      <x:c r="C387" s="37" t="str">
        <x:v>STGDLUT</x:v>
      </x:c>
      <x:c r="D387" s="37" t="str">
        <x:v>STGDLU</x:v>
      </x:c>
      <x:c r="E387" s="37" t="n">
        <x:v>12</x:v>
      </x:c>
      <x:c r="F387" s="37" t="n">
        <x:v>16000</x:v>
      </x:c>
      <x:c r="G387" s="37" t="str">
        <x:v>g</x:v>
      </x:c>
      <x:c r="H387" s="37" t="str">
        <x:v>THÙNG</x:v>
      </x:c>
      <x:c r="I387" s="59" t="n">
        <x:v>1212000</x:v>
      </x:c>
      <x:c r="J387" s="59" t="n">
        <x:v>0</x:v>
      </x:c>
      <x:c r="K387" s="83" t="n">
        <x:v>0</x:v>
      </x:c>
    </x:row>
    <x:row r="388">
      <x:c r="A388" s="71" t="str">
        <x:v>MỨT VINA 1L DƯA LƯỚI - THÙNG</x:v>
      </x:c>
      <x:c r="B388" s="37" t="str">
        <x:v>STV1DLT</x:v>
      </x:c>
      <x:c r="C388" s="37" t="str">
        <x:v>STV1DLT</x:v>
      </x:c>
      <x:c r="D388" s="37" t="str">
        <x:v>STV1DL</x:v>
      </x:c>
      <x:c r="E388" s="37" t="n">
        <x:v>12</x:v>
      </x:c>
      <x:c r="F388" s="37" t="n">
        <x:v>16000</x:v>
      </x:c>
      <x:c r="G388" s="37" t="str">
        <x:v>g</x:v>
      </x:c>
      <x:c r="H388" s="37" t="str">
        <x:v>THÙNG</x:v>
      </x:c>
      <x:c r="I388" s="59" t="n">
        <x:v>0</x:v>
      </x:c>
      <x:c r="J388" s="59" t="n">
        <x:v>0</x:v>
      </x:c>
      <x:c r="K388" s="83" t="n">
        <x:v>0</x:v>
      </x:c>
    </x:row>
    <x:row r="389">
      <x:c r="A389" s="71" t="str">
        <x:v>MỨT DOUXIAN ĐƯỜNG ĐEN - THÙNG</x:v>
      </x:c>
      <x:c r="B389" s="37" t="str">
        <x:v>STDXDDT</x:v>
      </x:c>
      <x:c r="C389" s="37" t="str">
        <x:v>STDXDDT</x:v>
      </x:c>
      <x:c r="D389" s="37" t="str">
        <x:v>STDXDD</x:v>
      </x:c>
      <x:c r="E389" s="37" t="n">
        <x:v>12</x:v>
      </x:c>
      <x:c r="F389" s="37" t="n">
        <x:v>16000</x:v>
      </x:c>
      <x:c r="G389" s="37" t="str">
        <x:v>g</x:v>
      </x:c>
      <x:c r="H389" s="37" t="str">
        <x:v>THÙNG</x:v>
      </x:c>
      <x:c r="I389" s="59" t="n">
        <x:v>0</x:v>
      </x:c>
      <x:c r="J389" s="59" t="n">
        <x:v>0</x:v>
      </x:c>
      <x:c r="K389" s="83" t="n">
        <x:v>0</x:v>
      </x:c>
    </x:row>
    <x:row r="390">
      <x:c r="A390" s="71" t="str">
        <x:v>MỨT DOUXIAN ĐÀO - THÙNG</x:v>
      </x:c>
      <x:c r="B390" s="37" t="str">
        <x:v>STDXDOT</x:v>
      </x:c>
      <x:c r="C390" s="37" t="str">
        <x:v>STDXDOT</x:v>
      </x:c>
      <x:c r="D390" s="37" t="str">
        <x:v>STDXDO</x:v>
      </x:c>
      <x:c r="E390" s="37" t="n">
        <x:v>12</x:v>
      </x:c>
      <x:c r="F390" s="37" t="n">
        <x:v>16000</x:v>
      </x:c>
      <x:c r="G390" s="37" t="str">
        <x:v>g</x:v>
      </x:c>
      <x:c r="H390" s="37" t="str">
        <x:v>THÙNG</x:v>
      </x:c>
      <x:c r="I390" s="59" t="n">
        <x:v>0</x:v>
      </x:c>
      <x:c r="J390" s="59" t="n">
        <x:v>0</x:v>
      </x:c>
      <x:c r="K390" s="83" t="n">
        <x:v>0</x:v>
      </x:c>
    </x:row>
    <x:row r="391">
      <x:c r="A391" s="71" t="str">
        <x:v>MỨT DOUXIAN DÂU - THÙNG</x:v>
      </x:c>
      <x:c r="B391" s="37" t="str">
        <x:v>STDXDAT</x:v>
      </x:c>
      <x:c r="C391" s="37" t="str">
        <x:v>STDXDAT</x:v>
      </x:c>
      <x:c r="D391" s="37" t="str">
        <x:v>STDXDA</x:v>
      </x:c>
      <x:c r="E391" s="37" t="n">
        <x:v>12</x:v>
      </x:c>
      <x:c r="F391" s="37" t="n">
        <x:v>16000</x:v>
      </x:c>
      <x:c r="G391" s="37" t="str">
        <x:v>g</x:v>
      </x:c>
      <x:c r="H391" s="37" t="str">
        <x:v>THÙNG</x:v>
      </x:c>
      <x:c r="I391" s="59" t="n">
        <x:v>0</x:v>
      </x:c>
      <x:c r="J391" s="59" t="n">
        <x:v>0</x:v>
      </x:c>
      <x:c r="K391" s="83" t="n">
        <x:v>0</x:v>
      </x:c>
    </x:row>
    <x:row r="392">
      <x:c r="A392" s="71" t="str">
        <x:v>MỨT DOUXIAN CHANH DÂY - THÙNG</x:v>
      </x:c>
      <x:c r="B392" s="37" t="str">
        <x:v>STDXCDT</x:v>
      </x:c>
      <x:c r="C392" s="37" t="str">
        <x:v>STDXCDT</x:v>
      </x:c>
      <x:c r="D392" s="37" t="str">
        <x:v>STDXCD</x:v>
      </x:c>
      <x:c r="E392" s="37" t="n">
        <x:v>12</x:v>
      </x:c>
      <x:c r="F392" s="37" t="n">
        <x:v>16000</x:v>
      </x:c>
      <x:c r="G392" s="37" t="str">
        <x:v>g</x:v>
      </x:c>
      <x:c r="H392" s="37" t="str">
        <x:v>THÙNG</x:v>
      </x:c>
      <x:c r="I392" s="59" t="n">
        <x:v>0</x:v>
      </x:c>
      <x:c r="J392" s="59" t="n">
        <x:v>0</x:v>
      </x:c>
      <x:c r="K392" s="83" t="n">
        <x:v>0</x:v>
      </x:c>
    </x:row>
    <x:row r="393">
      <x:c r="A393" s="71" t="str">
        <x:v>MỨT VINA 1L DÂU - THÙNG</x:v>
      </x:c>
      <x:c r="B393" s="37" t="str">
        <x:v>STV1DAT</x:v>
      </x:c>
      <x:c r="C393" s="37" t="str">
        <x:v>STV1DAT</x:v>
      </x:c>
      <x:c r="D393" s="37" t="str">
        <x:v>STV1DA</x:v>
      </x:c>
      <x:c r="E393" s="37" t="n">
        <x:v>12</x:v>
      </x:c>
      <x:c r="F393" s="37" t="n">
        <x:v>16000</x:v>
      </x:c>
      <x:c r="G393" s="37" t="str">
        <x:v>g</x:v>
      </x:c>
      <x:c r="H393" s="37" t="str">
        <x:v>THÙNG</x:v>
      </x:c>
      <x:c r="I393" s="59" t="n">
        <x:v>0</x:v>
      </x:c>
      <x:c r="J393" s="59" t="n">
        <x:v>0</x:v>
      </x:c>
      <x:c r="K393" s="83" t="n">
        <x:v>0</x:v>
      </x:c>
    </x:row>
    <x:row r="394">
      <x:c r="A394" s="71" t="str">
        <x:v>MỨT VINA 1L DÂU TẰM - THÙNG</x:v>
      </x:c>
      <x:c r="B394" s="37" t="str">
        <x:v>STV1DTT</x:v>
      </x:c>
      <x:c r="C394" s="37" t="str">
        <x:v>STV1DTT</x:v>
      </x:c>
      <x:c r="D394" s="37" t="str">
        <x:v>STV1DT</x:v>
      </x:c>
      <x:c r="E394" s="37" t="n">
        <x:v>12</x:v>
      </x:c>
      <x:c r="F394" s="37" t="n">
        <x:v>16000</x:v>
      </x:c>
      <x:c r="G394" s="37" t="str">
        <x:v>g</x:v>
      </x:c>
      <x:c r="H394" s="37" t="str">
        <x:v>THÙNG</x:v>
      </x:c>
      <x:c r="I394" s="59" t="n">
        <x:v>0</x:v>
      </x:c>
      <x:c r="J394" s="59" t="n">
        <x:v>0</x:v>
      </x:c>
      <x:c r="K394" s="83" t="n">
        <x:v>0</x:v>
      </x:c>
    </x:row>
    <x:row r="395">
      <x:c r="A395" s="71" t="str">
        <x:v>MỨT GOLD DÂU TẰM - THÙNG</x:v>
      </x:c>
      <x:c r="B395" s="37" t="str">
        <x:v>STGDTMT</x:v>
      </x:c>
      <x:c r="C395" s="37" t="str">
        <x:v>STGDTMT</x:v>
      </x:c>
      <x:c r="D395" s="37" t="str">
        <x:v>STGDTM</x:v>
      </x:c>
      <x:c r="E395" s="37" t="n">
        <x:v>12</x:v>
      </x:c>
      <x:c r="F395" s="37" t="n">
        <x:v>16000</x:v>
      </x:c>
      <x:c r="G395" s="37" t="str">
        <x:v>g</x:v>
      </x:c>
      <x:c r="H395" s="37" t="str">
        <x:v>THÙNG</x:v>
      </x:c>
      <x:c r="I395" s="59" t="n">
        <x:v>1155000</x:v>
      </x:c>
      <x:c r="J395" s="59" t="n">
        <x:v>0</x:v>
      </x:c>
      <x:c r="K395" s="83" t="n">
        <x:v>0</x:v>
      </x:c>
    </x:row>
    <x:row r="396">
      <x:c r="A396" s="71" t="str">
        <x:v>MỨT GOLD DÂU - THÙNG</x:v>
      </x:c>
      <x:c r="B396" s="37" t="str">
        <x:v>STGDAUT</x:v>
      </x:c>
      <x:c r="C396" s="37" t="str">
        <x:v>STGDAUT</x:v>
      </x:c>
      <x:c r="D396" s="37" t="str">
        <x:v>STGDAU</x:v>
      </x:c>
      <x:c r="E396" s="37" t="n">
        <x:v>12</x:v>
      </x:c>
      <x:c r="F396" s="37" t="n">
        <x:v>16000</x:v>
      </x:c>
      <x:c r="G396" s="37" t="str">
        <x:v>g</x:v>
      </x:c>
      <x:c r="H396" s="37" t="str">
        <x:v>THÙNG</x:v>
      </x:c>
      <x:c r="I396" s="59" t="n">
        <x:v>1044000</x:v>
      </x:c>
      <x:c r="J396" s="59" t="n">
        <x:v>0</x:v>
      </x:c>
      <x:c r="K396" s="83" t="n">
        <x:v>0</x:v>
      </x:c>
    </x:row>
    <x:row r="397">
      <x:c r="A397" s="71" t="str">
        <x:v>MỨT VINA 1L CHANH DÂY - THÙNG</x:v>
      </x:c>
      <x:c r="B397" s="37" t="str">
        <x:v>STV1CDT</x:v>
      </x:c>
      <x:c r="C397" s="37" t="str">
        <x:v>STV1CDT</x:v>
      </x:c>
      <x:c r="D397" s="37" t="str">
        <x:v>STV1CD</x:v>
      </x:c>
      <x:c r="E397" s="37" t="n">
        <x:v>12</x:v>
      </x:c>
      <x:c r="F397" s="37" t="n">
        <x:v>16000</x:v>
      </x:c>
      <x:c r="G397" s="37" t="str">
        <x:v>g</x:v>
      </x:c>
      <x:c r="H397" s="37" t="str">
        <x:v>THÙNG</x:v>
      </x:c>
      <x:c r="I397" s="59" t="n">
        <x:v>0</x:v>
      </x:c>
      <x:c r="J397" s="59" t="n">
        <x:v>0</x:v>
      </x:c>
      <x:c r="K397" s="83" t="n">
        <x:v>0</x:v>
      </x:c>
    </x:row>
    <x:row r="398">
      <x:c r="A398" s="71" t="str">
        <x:v>MỨT GOLD CHANH DÂY - THÙNG</x:v>
      </x:c>
      <x:c r="B398" s="37" t="str">
        <x:v>STGCDAT</x:v>
      </x:c>
      <x:c r="C398" s="37" t="str">
        <x:v>STGCDAT</x:v>
      </x:c>
      <x:c r="D398" s="37" t="str">
        <x:v>STGCDA</x:v>
      </x:c>
      <x:c r="E398" s="37" t="n">
        <x:v>12</x:v>
      </x:c>
      <x:c r="F398" s="37" t="n">
        <x:v>16000</x:v>
      </x:c>
      <x:c r="G398" s="37" t="str">
        <x:v>g</x:v>
      </x:c>
      <x:c r="H398" s="37" t="str">
        <x:v>THÙNG</x:v>
      </x:c>
      <x:c r="I398" s="59" t="n">
        <x:v>1222000</x:v>
      </x:c>
      <x:c r="J398" s="59" t="n">
        <x:v>0</x:v>
      </x:c>
      <x:c r="K398" s="83" t="n">
        <x:v>0</x:v>
      </x:c>
    </x:row>
    <x:row r="399">
      <x:c r="A399" s="71" t="str">
        <x:v>MUỖNG UKP - THÙNG</x:v>
      </x:c>
      <x:c r="B399" s="37" t="str">
        <x:v>MUOUKPT</x:v>
      </x:c>
      <x:c r="C399" s="37" t="str">
        <x:v>MUOUKPT</x:v>
      </x:c>
      <x:c r="D399" s="37" t="str">
        <x:v>MUOUKP</x:v>
      </x:c>
      <x:c r="E399" s="37" t="n">
        <x:v>100</x:v>
      </x:c>
      <x:c r="F399" s="37" t="n">
        <x:v>10</x:v>
      </x:c>
      <x:c r="G399" s="37" t="str">
        <x:v>kg</x:v>
      </x:c>
      <x:c r="H399" s="37" t="str">
        <x:v>THÙNG</x:v>
      </x:c>
      <x:c r="I399" s="59" t="n">
        <x:v>0</x:v>
      </x:c>
      <x:c r="J399" s="59" t="n">
        <x:v>0</x:v>
      </x:c>
      <x:c r="K399" s="83" t="n">
        <x:v>0</x:v>
      </x:c>
    </x:row>
    <x:row r="400">
      <x:c r="A400" s="71" t="str">
        <x:v>MUỖNG NGẮN XANH - THÙNG</x:v>
      </x:c>
      <x:c r="B400" s="37" t="str">
        <x:v>MUXANGT</x:v>
      </x:c>
      <x:c r="C400" s="37" t="str">
        <x:v>MUXANGT</x:v>
      </x:c>
      <x:c r="D400" s="37" t="str">
        <x:v>MUXANG</x:v>
      </x:c>
      <x:c r="E400" s="37" t="n">
        <x:v>100</x:v>
      </x:c>
      <x:c r="F400" s="37" t="n">
        <x:v>0</x:v>
      </x:c>
      <x:c r="G400" s="37" t="str">
        <x:v>g</x:v>
      </x:c>
      <x:c r="H400" s="37" t="str">
        <x:v>THÙNG</x:v>
      </x:c>
      <x:c r="I400" s="59" t="n">
        <x:v>0</x:v>
      </x:c>
      <x:c r="J400" s="59" t="n">
        <x:v>0</x:v>
      </x:c>
      <x:c r="K400" s="83" t="n">
        <x:v>0</x:v>
      </x:c>
    </x:row>
    <x:row r="401">
      <x:c r="A401" s="71" t="str">
        <x:v>MUỖNG NGẮN VÀNG - THÙNG</x:v>
      </x:c>
      <x:c r="B401" s="37" t="str">
        <x:v>MUVANGT</x:v>
      </x:c>
      <x:c r="C401" s="37" t="str">
        <x:v>MUVANGT</x:v>
      </x:c>
      <x:c r="D401" s="37" t="str">
        <x:v>MUVANG</x:v>
      </x:c>
      <x:c r="E401" s="37" t="n">
        <x:v>100</x:v>
      </x:c>
      <x:c r="F401" s="37" t="n">
        <x:v>0</x:v>
      </x:c>
      <x:c r="G401" s="37" t="str">
        <x:v>g</x:v>
      </x:c>
      <x:c r="H401" s="37" t="str">
        <x:v>THÙNG</x:v>
      </x:c>
      <x:c r="I401" s="59" t="n">
        <x:v>0</x:v>
      </x:c>
      <x:c r="J401" s="59" t="n">
        <x:v>0</x:v>
      </x:c>
      <x:c r="K401" s="83" t="n">
        <x:v>0</x:v>
      </x:c>
    </x:row>
    <x:row r="402">
      <x:c r="A402" s="71" t="str">
        <x:v>MUỖNG NGẮN TRẮNG - THÙNG</x:v>
      </x:c>
      <x:c r="B402" s="37" t="str">
        <x:v>MUTRNGT</x:v>
      </x:c>
      <x:c r="C402" s="37" t="str">
        <x:v>MUTRNGT</x:v>
      </x:c>
      <x:c r="D402" s="37" t="str">
        <x:v>MUTRNG</x:v>
      </x:c>
      <x:c r="E402" s="37" t="n">
        <x:v>100</x:v>
      </x:c>
      <x:c r="F402" s="37" t="n">
        <x:v>10</x:v>
      </x:c>
      <x:c r="G402" s="37" t="str">
        <x:v>kg</x:v>
      </x:c>
      <x:c r="H402" s="37" t="str">
        <x:v>THÙNG</x:v>
      </x:c>
      <x:c r="I402" s="59" t="n">
        <x:v>0</x:v>
      </x:c>
      <x:c r="J402" s="59" t="n">
        <x:v>0</x:v>
      </x:c>
      <x:c r="K402" s="83" t="n">
        <x:v>0</x:v>
      </x:c>
    </x:row>
    <x:row r="403">
      <x:c r="A403" s="71" t="str">
        <x:v>MUỖNG NGẮN HỒNG - THÙNG</x:v>
      </x:c>
      <x:c r="B403" s="37" t="str">
        <x:v>MUHONGT</x:v>
      </x:c>
      <x:c r="C403" s="37" t="str">
        <x:v>MUHONGT</x:v>
      </x:c>
      <x:c r="D403" s="37" t="str">
        <x:v>MUHONG</x:v>
      </x:c>
      <x:c r="E403" s="37" t="n">
        <x:v>100</x:v>
      </x:c>
      <x:c r="F403" s="37" t="n">
        <x:v>0</x:v>
      </x:c>
      <x:c r="G403" s="37" t="str">
        <x:v>g</x:v>
      </x:c>
      <x:c r="H403" s="37" t="str">
        <x:v>THÙNG</x:v>
      </x:c>
      <x:c r="I403" s="59" t="n">
        <x:v>0</x:v>
      </x:c>
      <x:c r="J403" s="59" t="n">
        <x:v>0</x:v>
      </x:c>
      <x:c r="K403" s="83" t="n">
        <x:v>0</x:v>
      </x:c>
    </x:row>
    <x:row r="404">
      <x:c r="A404" s="71" t="str">
        <x:v>MUỖNG NGẮN ĐEN - THÙNG</x:v>
      </x:c>
      <x:c r="B404" s="37" t="str">
        <x:v>MUDENGT</x:v>
      </x:c>
      <x:c r="C404" s="37" t="str">
        <x:v>MUDENGT</x:v>
      </x:c>
      <x:c r="D404" s="37" t="str">
        <x:v>MUDENG</x:v>
      </x:c>
      <x:c r="E404" s="37" t="n">
        <x:v>100</x:v>
      </x:c>
      <x:c r="F404" s="37" t="n">
        <x:v>0</x:v>
      </x:c>
      <x:c r="G404" s="37" t="str">
        <x:v>g</x:v>
      </x:c>
      <x:c r="H404" s="37" t="str">
        <x:v>THÙNG</x:v>
      </x:c>
      <x:c r="I404" s="59" t="n">
        <x:v>0</x:v>
      </x:c>
      <x:c r="J404" s="59" t="n">
        <x:v>0</x:v>
      </x:c>
      <x:c r="K404" s="83" t="n">
        <x:v>0</x:v>
      </x:c>
    </x:row>
    <x:row r="405">
      <x:c r="A405" s="71" t="str">
        <x:v>MUỔNG DÀI XANH - THÙNG</x:v>
      </x:c>
      <x:c r="B405" s="37" t="str">
        <x:v>MUXADAT</x:v>
      </x:c>
      <x:c r="C405" s="37" t="str">
        <x:v>MUXADAT</x:v>
      </x:c>
      <x:c r="D405" s="37" t="str">
        <x:v>MUXADA</x:v>
      </x:c>
      <x:c r="E405" s="37" t="n">
        <x:v>50</x:v>
      </x:c>
      <x:c r="F405" s="37" t="n">
        <x:v>0</x:v>
      </x:c>
      <x:c r="G405" s="37" t="str">
        <x:v>g</x:v>
      </x:c>
      <x:c r="H405" s="37" t="str">
        <x:v>THÙNG</x:v>
      </x:c>
      <x:c r="I405" s="59" t="n">
        <x:v>0</x:v>
      </x:c>
      <x:c r="J405" s="59" t="n">
        <x:v>450000</x:v>
      </x:c>
      <x:c r="K405" s="83" t="n">
        <x:v>0</x:v>
      </x:c>
    </x:row>
    <x:row r="406">
      <x:c r="A406" s="71" t="str">
        <x:v>MUỖNG DÀI VÀNG - THÙNG</x:v>
      </x:c>
      <x:c r="B406" s="37" t="str">
        <x:v>MUVADAT</x:v>
      </x:c>
      <x:c r="C406" s="37" t="str">
        <x:v>MUVADAT</x:v>
      </x:c>
      <x:c r="D406" s="37" t="str">
        <x:v>MUVADA</x:v>
      </x:c>
      <x:c r="E406" s="37" t="n">
        <x:v>50</x:v>
      </x:c>
      <x:c r="F406" s="37" t="n">
        <x:v>0</x:v>
      </x:c>
      <x:c r="G406" s="37" t="str">
        <x:v>g</x:v>
      </x:c>
      <x:c r="H406" s="37" t="str">
        <x:v>THÙNG</x:v>
      </x:c>
      <x:c r="I406" s="59" t="n">
        <x:v>0</x:v>
      </x:c>
      <x:c r="J406" s="59" t="n">
        <x:v>450000</x:v>
      </x:c>
      <x:c r="K406" s="83" t="n">
        <x:v>0</x:v>
      </x:c>
    </x:row>
    <x:row r="407">
      <x:c r="A407" s="71" t="str">
        <x:v>MUỖNG DÀI TRẮNG ĐÔI - THÙNG</x:v>
      </x:c>
      <x:c r="B407" s="37" t="str">
        <x:v>MDTDOIT</x:v>
      </x:c>
      <x:c r="C407" s="37" t="str">
        <x:v>MDTDOIT</x:v>
      </x:c>
      <x:c r="D407" s="37" t="str">
        <x:v>MDTDOI</x:v>
      </x:c>
      <x:c r="E407" s="37" t="n">
        <x:v>25</x:v>
      </x:c>
      <x:c r="F407" s="37" t="n">
        <x:v>10</x:v>
      </x:c>
      <x:c r="G407" s="37" t="str">
        <x:v>kg</x:v>
      </x:c>
      <x:c r="H407" s="37" t="str">
        <x:v>THÙNG</x:v>
      </x:c>
      <x:c r="I407" s="59" t="n">
        <x:v>0</x:v>
      </x:c>
      <x:c r="J407" s="59" t="n">
        <x:v>450000</x:v>
      </x:c>
      <x:c r="K407" s="83" t="n">
        <x:v>0</x:v>
      </x:c>
    </x:row>
    <x:row r="408">
      <x:c r="A408" s="71" t="str">
        <x:v>MUỖNG DÀI TRẮNG - THÙNG</x:v>
      </x:c>
      <x:c r="B408" s="37" t="str">
        <x:v>MUTRDAT</x:v>
      </x:c>
      <x:c r="C408" s="37" t="str">
        <x:v>MUTRDAT</x:v>
      </x:c>
      <x:c r="D408" s="37" t="str">
        <x:v>MUTRDA</x:v>
      </x:c>
      <x:c r="E408" s="37" t="n">
        <x:v>50</x:v>
      </x:c>
      <x:c r="F408" s="37" t="n">
        <x:v>10</x:v>
      </x:c>
      <x:c r="G408" s="37" t="str">
        <x:v>kg</x:v>
      </x:c>
      <x:c r="H408" s="37" t="str">
        <x:v>THÙNG</x:v>
      </x:c>
      <x:c r="I408" s="59" t="n">
        <x:v>0</x:v>
      </x:c>
      <x:c r="J408" s="59" t="n">
        <x:v>450000</x:v>
      </x:c>
      <x:c r="K408" s="83" t="n">
        <x:v>0</x:v>
      </x:c>
    </x:row>
    <x:row r="409">
      <x:c r="A409" s="71" t="str">
        <x:v>MUỖNG DÀI HỒNG - THÙNG</x:v>
      </x:c>
      <x:c r="B409" s="37" t="str">
        <x:v>MUHODAT</x:v>
      </x:c>
      <x:c r="C409" s="37" t="str">
        <x:v>MUHODAT</x:v>
      </x:c>
      <x:c r="D409" s="37" t="str">
        <x:v>MUHODA</x:v>
      </x:c>
      <x:c r="E409" s="37" t="n">
        <x:v>50</x:v>
      </x:c>
      <x:c r="F409" s="37" t="n">
        <x:v>0</x:v>
      </x:c>
      <x:c r="G409" s="37" t="str">
        <x:v>g</x:v>
      </x:c>
      <x:c r="H409" s="37" t="str">
        <x:v>THÙNG</x:v>
      </x:c>
      <x:c r="I409" s="59" t="n">
        <x:v>0</x:v>
      </x:c>
      <x:c r="J409" s="59" t="n">
        <x:v>450000</x:v>
      </x:c>
      <x:c r="K409" s="83" t="n">
        <x:v>0</x:v>
      </x:c>
    </x:row>
    <x:row r="410">
      <x:c r="A410" s="71" t="str">
        <x:v>MUỖNG DÀI ĐỎ - THÙNG</x:v>
      </x:c>
      <x:c r="B410" s="37" t="str">
        <x:v>MUDODAT</x:v>
      </x:c>
      <x:c r="C410" s="37" t="str">
        <x:v>MUDODAT</x:v>
      </x:c>
      <x:c r="D410" s="37" t="str">
        <x:v>MUDODA</x:v>
      </x:c>
      <x:c r="E410" s="37" t="n">
        <x:v>50</x:v>
      </x:c>
      <x:c r="F410" s="37" t="n">
        <x:v>0</x:v>
      </x:c>
      <x:c r="G410" s="37" t="str">
        <x:v>g</x:v>
      </x:c>
      <x:c r="H410" s="37" t="str">
        <x:v>THÙNG</x:v>
      </x:c>
      <x:c r="I410" s="59" t="n">
        <x:v>0</x:v>
      </x:c>
      <x:c r="J410" s="59" t="n">
        <x:v>450000</x:v>
      </x:c>
      <x:c r="K410" s="83" t="n">
        <x:v>0</x:v>
      </x:c>
    </x:row>
    <x:row r="411">
      <x:c r="A411" s="71" t="str">
        <x:v>MUỖNG DÀI ĐEN - THÙNG</x:v>
      </x:c>
      <x:c r="B411" s="37" t="str">
        <x:v>MUDEDAT</x:v>
      </x:c>
      <x:c r="C411" s="37" t="str">
        <x:v>MUDEDAT</x:v>
      </x:c>
      <x:c r="D411" s="37" t="str">
        <x:v>MUDEDA</x:v>
      </x:c>
      <x:c r="E411" s="37" t="n">
        <x:v>50</x:v>
      </x:c>
      <x:c r="F411" s="37" t="n">
        <x:v>0</x:v>
      </x:c>
      <x:c r="G411" s="37" t="str">
        <x:v>g</x:v>
      </x:c>
      <x:c r="H411" s="37" t="str">
        <x:v>THÙNG</x:v>
      </x:c>
      <x:c r="I411" s="59" t="n">
        <x:v>0</x:v>
      </x:c>
      <x:c r="J411" s="59" t="n">
        <x:v>450000</x:v>
      </x:c>
      <x:c r="K411" s="83" t="n">
        <x:v>0</x:v>
      </x:c>
    </x:row>
    <x:row r="412">
      <x:c r="A412" s="71" t="str">
        <x:v>MT35 - THÙNG</x:v>
      </x:c>
      <x:c r="B412" s="37" t="str">
        <x:v>BSMT35T</x:v>
      </x:c>
      <x:c r="C412" s="37" t="str">
        <x:v>BSMT35T</x:v>
      </x:c>
      <x:c r="D412" s="37" t="str">
        <x:v>BSMT35</x:v>
      </x:c>
      <x:c r="E412" s="37" t="n">
        <x:v>10</x:v>
      </x:c>
      <x:c r="F412" s="37" t="n">
        <x:v>1</x:v>
      </x:c>
      <x:c r="G412" s="37" t="str">
        <x:v>kg</x:v>
      </x:c>
      <x:c r="H412" s="37" t="str">
        <x:v>THÙNG</x:v>
      </x:c>
      <x:c r="I412" s="59" t="n">
        <x:v>0</x:v>
      </x:c>
      <x:c r="J412" s="59" t="n">
        <x:v>0</x:v>
      </x:c>
      <x:c r="K412" s="83" t="n">
        <x:v>0</x:v>
      </x:c>
    </x:row>
    <x:row r="413">
      <x:c r="A413" s="71" t="str">
        <x:v>MILKFOAM MUỐI BIỂN ĐỎ - THÙNG</x:v>
      </x:c>
      <x:c r="B413" s="37" t="str">
        <x:v>MUOIBDT</x:v>
      </x:c>
      <x:c r="C413" s="37" t="str">
        <x:v>MUOIBDT</x:v>
      </x:c>
      <x:c r="D413" s="37" t="str">
        <x:v>MUOIBD</x:v>
      </x:c>
      <x:c r="E413" s="37" t="n">
        <x:v>20</x:v>
      </x:c>
      <x:c r="F413" s="37" t="n">
        <x:v>21</x:v>
      </x:c>
      <x:c r="G413" s="37" t="str">
        <x:v>kg</x:v>
      </x:c>
      <x:c r="H413" s="37" t="str">
        <x:v>THÙNG</x:v>
      </x:c>
      <x:c r="I413" s="59" t="n">
        <x:v>0</x:v>
      </x:c>
      <x:c r="J413" s="59" t="n">
        <x:v>0</x:v>
      </x:c>
      <x:c r="K413" s="83" t="n">
        <x:v>0</x:v>
      </x:c>
    </x:row>
    <x:row r="414">
      <x:c r="A414" s="71" t="str">
        <x:v>MÌ KIM CHI 100 GÓI - THÙNG</x:v>
      </x:c>
      <x:c r="B414" s="37" t="str">
        <x:v>MIKC10T</x:v>
      </x:c>
      <x:c r="C414" s="37" t="str">
        <x:v>MIKC10T</x:v>
      </x:c>
      <x:c r="D414" s="37" t="str">
        <x:v>MIKC10</x:v>
      </x:c>
      <x:c r="E414" s="37" t="n">
        <x:v>10</x:v>
      </x:c>
      <x:c r="F414" s="37" t="n">
        <x:v>11000</x:v>
      </x:c>
      <x:c r="G414" s="37" t="str">
        <x:v>g</x:v>
      </x:c>
      <x:c r="H414" s="37" t="str">
        <x:v>THÙNG</x:v>
      </x:c>
      <x:c r="I414" s="59" t="n">
        <x:v>0</x:v>
      </x:c>
      <x:c r="J414" s="59" t="n">
        <x:v>680000</x:v>
      </x:c>
      <x:c r="K414" s="83" t="n">
        <x:v>0</x:v>
      </x:c>
    </x:row>
    <x:row r="415">
      <x:c r="A415" s="71" t="str">
        <x:v>MÌ BÒ 100 GÓI - THÙNG</x:v>
      </x:c>
      <x:c r="B415" s="37" t="str">
        <x:v>MIBO10T</x:v>
      </x:c>
      <x:c r="C415" s="37" t="str">
        <x:v>MIBO10T</x:v>
      </x:c>
      <x:c r="D415" s="37" t="str">
        <x:v>MIBO10</x:v>
      </x:c>
      <x:c r="E415" s="37" t="n">
        <x:v>10</x:v>
      </x:c>
      <x:c r="F415" s="37" t="n">
        <x:v>11000</x:v>
      </x:c>
      <x:c r="G415" s="37" t="str">
        <x:v>g</x:v>
      </x:c>
      <x:c r="H415" s="37" t="str">
        <x:v>THÙNG</x:v>
      </x:c>
      <x:c r="I415" s="59" t="n">
        <x:v>0</x:v>
      </x:c>
      <x:c r="J415" s="59" t="n">
        <x:v>675000</x:v>
      </x:c>
      <x:c r="K415" s="83" t="n">
        <x:v>0</x:v>
      </x:c>
    </x:row>
    <x:row r="416">
      <x:c r="A416" s="71" t="str">
        <x:v>SIRO VINA MẬT ONG - THÙNG</x:v>
      </x:c>
      <x:c r="B416" s="37" t="str">
        <x:v>MOGVNAT</x:v>
      </x:c>
      <x:c r="C416" s="37" t="str">
        <x:v>MOGVNAT</x:v>
      </x:c>
      <x:c r="D416" s="37" t="str">
        <x:v>MOGVNA</x:v>
      </x:c>
      <x:c r="E416" s="37" t="n">
        <x:v>12</x:v>
      </x:c>
      <x:c r="F416" s="37" t="n">
        <x:v>13000</x:v>
      </x:c>
      <x:c r="G416" s="37" t="str">
        <x:v>g</x:v>
      </x:c>
      <x:c r="H416" s="37" t="str">
        <x:v>THÙNG</x:v>
      </x:c>
      <x:c r="I416" s="59" t="n">
        <x:v>0</x:v>
      </x:c>
      <x:c r="J416" s="59" t="n">
        <x:v>0</x:v>
      </x:c>
      <x:c r="K416" s="83" t="n">
        <x:v>0</x:v>
      </x:c>
    </x:row>
    <x:row r="417">
      <x:c r="A417" s="71" t="str">
        <x:v>SIRO TRÒN MẬT ONG - THÙNG</x:v>
      </x:c>
      <x:c r="B417" s="37" t="str">
        <x:v>SRMOGTT</x:v>
      </x:c>
      <x:c r="C417" s="37" t="str">
        <x:v>SRMOGTT</x:v>
      </x:c>
      <x:c r="D417" s="37" t="str">
        <x:v>SRMOGT</x:v>
      </x:c>
      <x:c r="E417" s="37" t="n">
        <x:v>6</x:v>
      </x:c>
      <x:c r="F417" s="37" t="n">
        <x:v>16000</x:v>
      </x:c>
      <x:c r="G417" s="37" t="str">
        <x:v>g</x:v>
      </x:c>
      <x:c r="H417" s="37" t="str">
        <x:v>THÙNG</x:v>
      </x:c>
      <x:c r="I417" s="59" t="n">
        <x:v>0</x:v>
      </x:c>
      <x:c r="J417" s="59" t="n">
        <x:v>0</x:v>
      </x:c>
      <x:c r="K417" s="83" t="n">
        <x:v>0</x:v>
      </x:c>
    </x:row>
    <x:row r="418">
      <x:c r="A418" s="71" t="str">
        <x:v>MẬT ONG ERODELI - THÙNG</x:v>
      </x:c>
      <x:c r="B418" s="37" t="str">
        <x:v>MOGEURT</x:v>
      </x:c>
      <x:c r="C418" s="37" t="str">
        <x:v>MOGEURT</x:v>
      </x:c>
      <x:c r="D418" s="37" t="str">
        <x:v>MOGEUR</x:v>
      </x:c>
      <x:c r="E418" s="37" t="n">
        <x:v>10</x:v>
      </x:c>
      <x:c r="F418" s="37" t="n">
        <x:v>30</x:v>
      </x:c>
      <x:c r="G418" s="37" t="str">
        <x:v>kg</x:v>
      </x:c>
      <x:c r="H418" s="37" t="str">
        <x:v>THÙNG</x:v>
      </x:c>
      <x:c r="I418" s="59" t="n">
        <x:v>0</x:v>
      </x:c>
      <x:c r="J418" s="59" t="n">
        <x:v>0</x:v>
      </x:c>
      <x:c r="K418" s="83" t="n">
        <x:v>0</x:v>
      </x:c>
    </x:row>
    <x:row r="419">
      <x:c r="A419" s="71" t="str">
        <x:v>SIRO MAMA VIỆT QUỐC - THÙNG</x:v>
      </x:c>
      <x:c r="B419" s="37" t="str">
        <x:v>SRMMVQT</x:v>
      </x:c>
      <x:c r="C419" s="37" t="str">
        <x:v>SRMMVQT</x:v>
      </x:c>
      <x:c r="D419" s="37" t="str">
        <x:v>SRMMVQ</x:v>
      </x:c>
      <x:c r="E419" s="37" t="n">
        <x:v>12</x:v>
      </x:c>
      <x:c r="F419" s="37" t="n">
        <x:v>13000</x:v>
      </x:c>
      <x:c r="G419" s="37" t="str">
        <x:v>g</x:v>
      </x:c>
      <x:c r="H419" s="37" t="str">
        <x:v>THÙNG</x:v>
      </x:c>
      <x:c r="I419" s="59" t="n">
        <x:v>610000</x:v>
      </x:c>
      <x:c r="J419" s="59" t="n">
        <x:v>624000</x:v>
      </x:c>
      <x:c r="K419" s="83" t="n">
        <x:v>0</x:v>
      </x:c>
    </x:row>
    <x:row r="420">
      <x:c r="A420" s="71" t="str">
        <x:v>SIRO MAMA VẢI - THÙNG</x:v>
      </x:c>
      <x:c r="B420" s="37" t="str">
        <x:v>SRMMVAT</x:v>
      </x:c>
      <x:c r="C420" s="37" t="str">
        <x:v>SRMMVAT</x:v>
      </x:c>
      <x:c r="D420" s="37" t="str">
        <x:v>SRMMVA</x:v>
      </x:c>
      <x:c r="E420" s="37" t="n">
        <x:v>12</x:v>
      </x:c>
      <x:c r="F420" s="37" t="n">
        <x:v>13000</x:v>
      </x:c>
      <x:c r="G420" s="37" t="str">
        <x:v>g</x:v>
      </x:c>
      <x:c r="H420" s="37" t="str">
        <x:v>THÙNG</x:v>
      </x:c>
      <x:c r="I420" s="59" t="n">
        <x:v>610000</x:v>
      </x:c>
      <x:c r="J420" s="59" t="n">
        <x:v>624000</x:v>
      </x:c>
      <x:c r="K420" s="83" t="n">
        <x:v>0</x:v>
      </x:c>
    </x:row>
    <x:row r="421">
      <x:c r="A421" s="71" t="str">
        <x:v>SIRO MAMA TÁO - THÙNG</x:v>
      </x:c>
      <x:c r="B421" s="37" t="str">
        <x:v>SRMMTAT</x:v>
      </x:c>
      <x:c r="C421" s="37" t="str">
        <x:v>SRMMTAT</x:v>
      </x:c>
      <x:c r="D421" s="37" t="str">
        <x:v>SRMMTA</x:v>
      </x:c>
      <x:c r="E421" s="37" t="n">
        <x:v>12</x:v>
      </x:c>
      <x:c r="F421" s="37" t="n">
        <x:v>13000</x:v>
      </x:c>
      <x:c r="G421" s="37" t="str">
        <x:v>g</x:v>
      </x:c>
      <x:c r="H421" s="37" t="str">
        <x:v>THÙNG</x:v>
      </x:c>
      <x:c r="I421" s="59" t="n">
        <x:v>610000</x:v>
      </x:c>
      <x:c r="J421" s="59" t="n">
        <x:v>624000</x:v>
      </x:c>
      <x:c r="K421" s="83" t="n">
        <x:v>0</x:v>
      </x:c>
    </x:row>
    <x:row r="422">
      <x:c r="A422" s="71" t="str">
        <x:v>SIRO MAMA SẦU RIÊNG - THÙNG</x:v>
      </x:c>
      <x:c r="B422" s="37" t="str">
        <x:v>SRMMSRT</x:v>
      </x:c>
      <x:c r="C422" s="37" t="str">
        <x:v>SRMMSRT</x:v>
      </x:c>
      <x:c r="D422" s="37" t="str">
        <x:v>SRMMSR</x:v>
      </x:c>
      <x:c r="E422" s="37" t="n">
        <x:v>12</x:v>
      </x:c>
      <x:c r="F422" s="37" t="n">
        <x:v>13000</x:v>
      </x:c>
      <x:c r="G422" s="37" t="str">
        <x:v>g</x:v>
      </x:c>
      <x:c r="H422" s="37" t="str">
        <x:v>THÙNG</x:v>
      </x:c>
      <x:c r="I422" s="59" t="n">
        <x:v>610000</x:v>
      </x:c>
      <x:c r="J422" s="59" t="n">
        <x:v>624000</x:v>
      </x:c>
      <x:c r="K422" s="83" t="n">
        <x:v>0</x:v>
      </x:c>
    </x:row>
    <x:row r="423">
      <x:c r="A423" s="71" t="str">
        <x:v>SIRO MAMA SÂM DỨA - THÙNG</x:v>
      </x:c>
      <x:c r="B423" s="37" t="str">
        <x:v>SRMMSDT</x:v>
      </x:c>
      <x:c r="C423" s="37" t="str">
        <x:v>SRMMSDT</x:v>
      </x:c>
      <x:c r="D423" s="37" t="str">
        <x:v>SRMMSD</x:v>
      </x:c>
      <x:c r="E423" s="37" t="n">
        <x:v>12</x:v>
      </x:c>
      <x:c r="F423" s="37" t="n">
        <x:v>13000</x:v>
      </x:c>
      <x:c r="G423" s="37" t="str">
        <x:v>g</x:v>
      </x:c>
      <x:c r="H423" s="37" t="str">
        <x:v>THÙNG</x:v>
      </x:c>
      <x:c r="I423" s="59" t="n">
        <x:v>610000</x:v>
      </x:c>
      <x:c r="J423" s="59" t="n">
        <x:v>624000</x:v>
      </x:c>
      <x:c r="K423" s="83" t="n">
        <x:v>0</x:v>
      </x:c>
    </x:row>
    <x:row r="424">
      <x:c r="A424" s="71" t="str">
        <x:v>SIRO MAMA ỔI - THÙNG</x:v>
      </x:c>
      <x:c r="B424" s="37" t="str">
        <x:v>SRMMOIT</x:v>
      </x:c>
      <x:c r="C424" s="37" t="str">
        <x:v>SRMMOIT</x:v>
      </x:c>
      <x:c r="D424" s="37" t="str">
        <x:v>SRMMOI</x:v>
      </x:c>
      <x:c r="E424" s="37" t="n">
        <x:v>12</x:v>
      </x:c>
      <x:c r="F424" s="37" t="n">
        <x:v>13000</x:v>
      </x:c>
      <x:c r="G424" s="37" t="str">
        <x:v>g</x:v>
      </x:c>
      <x:c r="H424" s="37" t="str">
        <x:v>THÙNG</x:v>
      </x:c>
      <x:c r="I424" s="59" t="n">
        <x:v>610000</x:v>
      </x:c>
      <x:c r="J424" s="59" t="n">
        <x:v>624000</x:v>
      </x:c>
      <x:c r="K424" s="83" t="n">
        <x:v>0</x:v>
      </x:c>
    </x:row>
    <x:row r="425">
      <x:c r="A425" s="71" t="str">
        <x:v>SIRO MAMA NHO - THÙNG</x:v>
      </x:c>
      <x:c r="B425" s="37" t="str">
        <x:v>SRMMNOT</x:v>
      </x:c>
      <x:c r="C425" s="37" t="str">
        <x:v>SRMMNOT</x:v>
      </x:c>
      <x:c r="D425" s="37" t="str">
        <x:v>SRMMNO</x:v>
      </x:c>
      <x:c r="E425" s="37" t="n">
        <x:v>12</x:v>
      </x:c>
      <x:c r="F425" s="37" t="n">
        <x:v>13000</x:v>
      </x:c>
      <x:c r="G425" s="37" t="str">
        <x:v>g</x:v>
      </x:c>
      <x:c r="H425" s="37" t="str">
        <x:v>THÙNG</x:v>
      </x:c>
      <x:c r="I425" s="59" t="n">
        <x:v>610000</x:v>
      </x:c>
      <x:c r="J425" s="59" t="n">
        <x:v>624000</x:v>
      </x:c>
      <x:c r="K425" s="83" t="n">
        <x:v>0</x:v>
      </x:c>
    </x:row>
    <x:row r="426">
      <x:c r="A426" s="71" t="str">
        <x:v>SIRO MAMA NHÃN - THÙNG</x:v>
      </x:c>
      <x:c r="B426" s="37" t="str">
        <x:v>SRMMNAT</x:v>
      </x:c>
      <x:c r="C426" s="37" t="str">
        <x:v>SRMMNAT</x:v>
      </x:c>
      <x:c r="D426" s="37" t="str">
        <x:v>SRMMNA</x:v>
      </x:c>
      <x:c r="E426" s="37" t="n">
        <x:v>12</x:v>
      </x:c>
      <x:c r="F426" s="37" t="n">
        <x:v>13000</x:v>
      </x:c>
      <x:c r="G426" s="37" t="str">
        <x:v>g</x:v>
      </x:c>
      <x:c r="H426" s="37" t="str">
        <x:v>THÙNG</x:v>
      </x:c>
      <x:c r="I426" s="59" t="n">
        <x:v>610000</x:v>
      </x:c>
      <x:c r="J426" s="59" t="n">
        <x:v>624000</x:v>
      </x:c>
      <x:c r="K426" s="83" t="n">
        <x:v>0</x:v>
      </x:c>
    </x:row>
    <x:row r="427">
      <x:c r="A427" s="71" t="str">
        <x:v>SIRO MAMA MÔN - THÙNG</x:v>
      </x:c>
      <x:c r="B427" s="37" t="str">
        <x:v>SRMMMNT</x:v>
      </x:c>
      <x:c r="C427" s="37" t="str">
        <x:v>SRMMMNT</x:v>
      </x:c>
      <x:c r="D427" s="37" t="str">
        <x:v>SRMMMN</x:v>
      </x:c>
      <x:c r="E427" s="37" t="n">
        <x:v>12</x:v>
      </x:c>
      <x:c r="F427" s="37" t="n">
        <x:v>13000</x:v>
      </x:c>
      <x:c r="G427" s="37" t="str">
        <x:v>g</x:v>
      </x:c>
      <x:c r="H427" s="37" t="str">
        <x:v>THÙNG</x:v>
      </x:c>
      <x:c r="I427" s="59" t="n">
        <x:v>610000</x:v>
      </x:c>
      <x:c r="J427" s="59" t="n">
        <x:v>624000</x:v>
      </x:c>
      <x:c r="K427" s="83" t="n">
        <x:v>0</x:v>
      </x:c>
    </x:row>
    <x:row r="428">
      <x:c r="A428" s="71" t="str">
        <x:v>SIRO MAMA ĐÀO - THÙNG</x:v>
      </x:c>
      <x:c r="B428" s="37" t="str">
        <x:v>SRMMDOT</x:v>
      </x:c>
      <x:c r="C428" s="37" t="str">
        <x:v>SRMMDOT</x:v>
      </x:c>
      <x:c r="D428" s="37" t="str">
        <x:v>SRMMDO</x:v>
      </x:c>
      <x:c r="E428" s="37" t="n">
        <x:v>12</x:v>
      </x:c>
      <x:c r="F428" s="37" t="n">
        <x:v>13000</x:v>
      </x:c>
      <x:c r="G428" s="37" t="str">
        <x:v>g</x:v>
      </x:c>
      <x:c r="H428" s="37" t="str">
        <x:v>THÙNG</x:v>
      </x:c>
      <x:c r="I428" s="59" t="n">
        <x:v>610000</x:v>
      </x:c>
      <x:c r="J428" s="59" t="n">
        <x:v>624000</x:v>
      </x:c>
      <x:c r="K428" s="83" t="n">
        <x:v>0</x:v>
      </x:c>
    </x:row>
    <x:row r="429">
      <x:c r="A429" s="71" t="str">
        <x:v>SIRO MAMA DƯA LƯỚI - THÙNG</x:v>
      </x:c>
      <x:c r="B429" s="37" t="str">
        <x:v>SRMMDLT</x:v>
      </x:c>
      <x:c r="C429" s="37" t="str">
        <x:v>SRMMDLT</x:v>
      </x:c>
      <x:c r="D429" s="37" t="str">
        <x:v>SRMMDL</x:v>
      </x:c>
      <x:c r="E429" s="37" t="n">
        <x:v>12</x:v>
      </x:c>
      <x:c r="F429" s="37" t="n">
        <x:v>13000</x:v>
      </x:c>
      <x:c r="G429" s="37" t="str">
        <x:v>g</x:v>
      </x:c>
      <x:c r="H429" s="37" t="str">
        <x:v>THÙNG</x:v>
      </x:c>
      <x:c r="I429" s="59" t="n">
        <x:v>610000</x:v>
      </x:c>
      <x:c r="J429" s="59" t="n">
        <x:v>624000</x:v>
      </x:c>
      <x:c r="K429" s="83" t="n">
        <x:v>0</x:v>
      </x:c>
    </x:row>
    <x:row r="430">
      <x:c r="A430" s="71" t="str">
        <x:v>SIRO MAMA DÂU - THÙNG</x:v>
      </x:c>
      <x:c r="B430" s="37" t="str">
        <x:v>SRMMDAT</x:v>
      </x:c>
      <x:c r="C430" s="37" t="str">
        <x:v>SRMMDAT</x:v>
      </x:c>
      <x:c r="D430" s="37" t="str">
        <x:v>SRMMDA</x:v>
      </x:c>
      <x:c r="E430" s="37" t="n">
        <x:v>12</x:v>
      </x:c>
      <x:c r="F430" s="37" t="n">
        <x:v>13000</x:v>
      </x:c>
      <x:c r="G430" s="37" t="str">
        <x:v>g</x:v>
      </x:c>
      <x:c r="H430" s="37" t="str">
        <x:v>THÙNG</x:v>
      </x:c>
      <x:c r="I430" s="59" t="n">
        <x:v>610000</x:v>
      </x:c>
      <x:c r="J430" s="59" t="n">
        <x:v>624000</x:v>
      </x:c>
      <x:c r="K430" s="83" t="n">
        <x:v>0</x:v>
      </x:c>
    </x:row>
    <x:row r="431">
      <x:c r="A431" s="71" t="str">
        <x:v>SIRO MAMA BẠC HÀ - THÙNG</x:v>
      </x:c>
      <x:c r="B431" s="37" t="str">
        <x:v>SRMMBHT</x:v>
      </x:c>
      <x:c r="C431" s="37" t="str">
        <x:v>SRMMBHT</x:v>
      </x:c>
      <x:c r="D431" s="37" t="str">
        <x:v>SRMMBH</x:v>
      </x:c>
      <x:c r="E431" s="37" t="n">
        <x:v>12</x:v>
      </x:c>
      <x:c r="F431" s="37" t="n">
        <x:v>13000</x:v>
      </x:c>
      <x:c r="G431" s="37" t="str">
        <x:v>g</x:v>
      </x:c>
      <x:c r="H431" s="37" t="str">
        <x:v>THÙNG</x:v>
      </x:c>
      <x:c r="I431" s="59" t="n">
        <x:v>610000</x:v>
      </x:c>
      <x:c r="J431" s="59" t="n">
        <x:v>624000</x:v>
      </x:c>
      <x:c r="K431" s="83" t="n">
        <x:v>0</x:v>
      </x:c>
    </x:row>
    <x:row r="432">
      <x:c r="A432" s="71" t="str">
        <x:v>LY 700 IN - THÙNG</x:v>
      </x:c>
      <x:c r="B432" s="37" t="str">
        <x:v>LYI700T</x:v>
      </x:c>
      <x:c r="C432" s="37" t="str">
        <x:v>LYI700T</x:v>
      </x:c>
      <x:c r="D432" s="37" t="str">
        <x:v>LYI700</x:v>
      </x:c>
      <x:c r="E432" s="37" t="n">
        <x:v>20</x:v>
      </x:c>
      <x:c r="F432" s="37" t="n">
        <x:v>0</x:v>
      </x:c>
      <x:c r="G432" s="37" t="str">
        <x:v>g</x:v>
      </x:c>
      <x:c r="H432" s="37" t="str">
        <x:v>THÙNG</x:v>
      </x:c>
      <x:c r="I432" s="59" t="n">
        <x:v>0</x:v>
      </x:c>
      <x:c r="J432" s="59" t="n">
        <x:v>0</x:v>
      </x:c>
      <x:c r="K432" s="83" t="n">
        <x:v>0</x:v>
      </x:c>
    </x:row>
    <x:row r="433">
      <x:c r="A433" s="71" t="str">
        <x:v>LY 650 UKP - THÙNG</x:v>
      </x:c>
      <x:c r="B433" s="37" t="str">
        <x:v>LYU650T</x:v>
      </x:c>
      <x:c r="C433" s="37" t="str">
        <x:v>LYU650T</x:v>
      </x:c>
      <x:c r="D433" s="37" t="str">
        <x:v>LYU650</x:v>
      </x:c>
      <x:c r="E433" s="37" t="n">
        <x:v>20</x:v>
      </x:c>
      <x:c r="F433" s="37" t="n">
        <x:v>0</x:v>
      </x:c>
      <x:c r="G433" s="37" t="str">
        <x:v>g</x:v>
      </x:c>
      <x:c r="H433" s="37" t="str">
        <x:v>THÙNG</x:v>
      </x:c>
      <x:c r="I433" s="59" t="n">
        <x:v>0</x:v>
      </x:c>
      <x:c r="J433" s="59" t="n">
        <x:v>0</x:v>
      </x:c>
      <x:c r="K433" s="83" t="n">
        <x:v>0</x:v>
      </x:c>
    </x:row>
    <x:row r="434">
      <x:c r="A434" s="71" t="str">
        <x:v>LY 500 IN - THÙNG</x:v>
      </x:c>
      <x:c r="B434" s="37" t="str">
        <x:v>LYI500T</x:v>
      </x:c>
      <x:c r="C434" s="37" t="str">
        <x:v>LYI500T</x:v>
      </x:c>
      <x:c r="D434" s="37" t="str">
        <x:v>LYI500</x:v>
      </x:c>
      <x:c r="E434" s="37" t="n">
        <x:v>20</x:v>
      </x:c>
      <x:c r="F434" s="37" t="n">
        <x:v>0</x:v>
      </x:c>
      <x:c r="G434" s="37" t="str">
        <x:v>g</x:v>
      </x:c>
      <x:c r="H434" s="37" t="str">
        <x:v>THÙNG</x:v>
      </x:c>
      <x:c r="I434" s="59" t="n">
        <x:v>0</x:v>
      </x:c>
      <x:c r="J434" s="59" t="n">
        <x:v>0</x:v>
      </x:c>
      <x:c r="K434" s="83" t="n">
        <x:v>0</x:v>
      </x:c>
    </x:row>
    <x:row r="435">
      <x:c r="A435" s="71" t="str">
        <x:v>LY 500 UKP - THÙNG</x:v>
      </x:c>
      <x:c r="B435" s="37" t="str">
        <x:v>LYU500T</x:v>
      </x:c>
      <x:c r="C435" s="37" t="str">
        <x:v>LYU500T</x:v>
      </x:c>
      <x:c r="D435" s="37" t="str">
        <x:v>LYU500</x:v>
      </x:c>
      <x:c r="E435" s="37" t="n">
        <x:v>20</x:v>
      </x:c>
      <x:c r="F435" s="37" t="n">
        <x:v>0</x:v>
      </x:c>
      <x:c r="G435" s="37" t="str">
        <x:v>g</x:v>
      </x:c>
      <x:c r="H435" s="37" t="str">
        <x:v>THÙNG</x:v>
      </x:c>
      <x:c r="I435" s="59" t="n">
        <x:v>0</x:v>
      </x:c>
      <x:c r="J435" s="59" t="n">
        <x:v>0</x:v>
      </x:c>
      <x:c r="K435" s="83" t="n">
        <x:v>0</x:v>
      </x:c>
    </x:row>
    <x:row r="436">
      <x:c r="A436" s="71" t="str">
        <x:v>COZY LIPTON - THÙNG</x:v>
      </x:c>
      <x:c r="B436" s="37" t="str">
        <x:v>LIPTONT</x:v>
      </x:c>
      <x:c r="C436" s="37" t="str">
        <x:v>LIPTONT</x:v>
      </x:c>
      <x:c r="D436" s="37" t="str">
        <x:v>LIPTON</x:v>
      </x:c>
      <x:c r="E436" s="37" t="n">
        <x:v>28</x:v>
      </x:c>
      <x:c r="F436" s="37" t="n">
        <x:v>6.5</x:v>
      </x:c>
      <x:c r="G436" s="37" t="str">
        <x:v>kg</x:v>
      </x:c>
      <x:c r="H436" s="37" t="str">
        <x:v>THÙNG</x:v>
      </x:c>
      <x:c r="I436" s="59" t="n">
        <x:v>0</x:v>
      </x:c>
      <x:c r="J436" s="59" t="n">
        <x:v>0</x:v>
      </x:c>
      <x:c r="K436" s="83" t="n">
        <x:v>0</x:v>
      </x:c>
    </x:row>
    <x:row r="437">
      <x:c r="A437" s="71" t="str">
        <x:v>KHOAI TÂY 2KG - THÙNG</x:v>
      </x:c>
      <x:c r="B437" s="37" t="str">
        <x:v>KTAY2KT</x:v>
      </x:c>
      <x:c r="C437" s="37" t="str">
        <x:v>KTAY2KT</x:v>
      </x:c>
      <x:c r="D437" s="37" t="str">
        <x:v>KTAY2K</x:v>
      </x:c>
      <x:c r="E437" s="37" t="n">
        <x:v>6</x:v>
      </x:c>
      <x:c r="F437" s="37" t="n">
        <x:v>12</x:v>
      </x:c>
      <x:c r="G437" s="37" t="str">
        <x:v>kg</x:v>
      </x:c>
      <x:c r="H437" s="37" t="str">
        <x:v>THÙNG</x:v>
      </x:c>
      <x:c r="I437" s="59" t="n">
        <x:v>0</x:v>
      </x:c>
      <x:c r="J437" s="59" t="n">
        <x:v>0</x:v>
      </x:c>
      <x:c r="K437" s="83" t="n">
        <x:v>0</x:v>
      </x:c>
    </x:row>
    <x:row r="438">
      <x:c r="A438" s="71" t="str">
        <x:v>ICEHOT KEM BÉO TRÀ SỮA - THÙNG</x:v>
      </x:c>
      <x:c r="B438" s="37" t="str">
        <x:v>KBTSIHT</x:v>
      </x:c>
      <x:c r="C438" s="37" t="str">
        <x:v>KBTSIHT</x:v>
      </x:c>
      <x:c r="D438" s="37" t="str">
        <x:v>KBTSIH</x:v>
      </x:c>
      <x:c r="E438" s="37" t="n">
        <x:v>12</x:v>
      </x:c>
      <x:c r="F438" s="37" t="n">
        <x:v>13000</x:v>
      </x:c>
      <x:c r="G438" s="37" t="str">
        <x:v>g</x:v>
      </x:c>
      <x:c r="H438" s="37" t="str">
        <x:v>THÙNG</x:v>
      </x:c>
      <x:c r="I438" s="59" t="n">
        <x:v>0</x:v>
      </x:c>
      <x:c r="J438" s="59" t="n">
        <x:v>610000</x:v>
      </x:c>
      <x:c r="K438" s="83" t="n">
        <x:v>0</x:v>
      </x:c>
    </x:row>
    <x:row r="439">
      <x:c r="A439" s="71" t="str">
        <x:v>HÚT XANH PHI 12 - CÂY</x:v>
      </x:c>
      <x:c r="B439" s="37" t="str">
        <x:v>HXANH12T</x:v>
      </x:c>
      <x:c r="C439" s="37" t="str">
        <x:v>HXANH12T</x:v>
      </x:c>
      <x:c r="D439" s="37" t="str">
        <x:v>HXANH12</x:v>
      </x:c>
      <x:c r="E439" s="37" t="n">
        <x:v>10</x:v>
      </x:c>
      <x:c r="F439" s="37" t="n">
        <x:v>0</x:v>
      </x:c>
      <x:c r="G439" s="37" t="str">
        <x:v>g</x:v>
      </x:c>
      <x:c r="H439" s="37" t="str">
        <x:v>CÂY</x:v>
      </x:c>
      <x:c r="I439" s="59" t="n">
        <x:v>0</x:v>
      </x:c>
      <x:c r="J439" s="59" t="n">
        <x:v>240000</x:v>
      </x:c>
      <x:c r="K439" s="83" t="n">
        <x:v>0</x:v>
      </x:c>
    </x:row>
    <x:row r="440">
      <x:c r="A440" s="71" t="str">
        <x:v>HÚT VÀNG PHI 12 - CÂY</x:v>
      </x:c>
      <x:c r="B440" s="37" t="str">
        <x:v>HVANG12T</x:v>
      </x:c>
      <x:c r="C440" s="37" t="str">
        <x:v>HVANG12T</x:v>
      </x:c>
      <x:c r="D440" s="37" t="str">
        <x:v>HVANG12</x:v>
      </x:c>
      <x:c r="E440" s="37" t="n">
        <x:v>10</x:v>
      </x:c>
      <x:c r="F440" s="37" t="n">
        <x:v>0</x:v>
      </x:c>
      <x:c r="G440" s="37" t="str">
        <x:v>g</x:v>
      </x:c>
      <x:c r="H440" s="37" t="str">
        <x:v>CÂY</x:v>
      </x:c>
      <x:c r="I440" s="59" t="n">
        <x:v>0</x:v>
      </x:c>
      <x:c r="J440" s="59" t="n">
        <x:v>240000</x:v>
      </x:c>
      <x:c r="K440" s="83" t="n">
        <x:v>0</x:v>
      </x:c>
    </x:row>
    <x:row r="441">
      <x:c r="A441" s="71" t="str">
        <x:v>HÚT TRẮNG PHI 8 - CÂY</x:v>
      </x:c>
      <x:c r="B441" s="37" t="str">
        <x:v>HTRGP8T</x:v>
      </x:c>
      <x:c r="C441" s="37" t="str">
        <x:v>HTRGP8T</x:v>
      </x:c>
      <x:c r="D441" s="37" t="str">
        <x:v>HTRGP8</x:v>
      </x:c>
      <x:c r="E441" s="37" t="n">
        <x:v>10</x:v>
      </x:c>
      <x:c r="F441" s="37" t="n">
        <x:v>5</x:v>
      </x:c>
      <x:c r="G441" s="37" t="str">
        <x:v>kg</x:v>
      </x:c>
      <x:c r="H441" s="37" t="str">
        <x:v>CÂY</x:v>
      </x:c>
      <x:c r="I441" s="59" t="n">
        <x:v>0</x:v>
      </x:c>
      <x:c r="J441" s="59" t="n">
        <x:v>240000</x:v>
      </x:c>
      <x:c r="K441" s="83" t="n">
        <x:v>0</x:v>
      </x:c>
    </x:row>
    <x:row r="442">
      <x:c r="A442" s="71" t="str">
        <x:v>HÚT TRẮNG PHI 6 - CÂY</x:v>
      </x:c>
      <x:c r="B442" s="37" t="str">
        <x:v>HTRGP6T</x:v>
      </x:c>
      <x:c r="C442" s="37" t="str">
        <x:v>HTRGP6T</x:v>
      </x:c>
      <x:c r="D442" s="37" t="str">
        <x:v>HTRGP6</x:v>
      </x:c>
      <x:c r="E442" s="37" t="n">
        <x:v>10</x:v>
      </x:c>
      <x:c r="F442" s="37" t="n">
        <x:v>5</x:v>
      </x:c>
      <x:c r="G442" s="37" t="str">
        <x:v>kg</x:v>
      </x:c>
      <x:c r="H442" s="37" t="str">
        <x:v>CÂY</x:v>
      </x:c>
      <x:c r="I442" s="59" t="n">
        <x:v>0</x:v>
      </x:c>
      <x:c r="J442" s="59" t="n">
        <x:v>240000</x:v>
      </x:c>
      <x:c r="K442" s="83" t="n">
        <x:v>0</x:v>
      </x:c>
    </x:row>
    <x:row r="443">
      <x:c r="A443" s="71" t="str">
        <x:v>HÚT TRẮNG PHI 12 - CÂY</x:v>
      </x:c>
      <x:c r="B443" s="37" t="str">
        <x:v>HTRP12T</x:v>
      </x:c>
      <x:c r="C443" s="37" t="str">
        <x:v>HTRP12T</x:v>
      </x:c>
      <x:c r="D443" s="37" t="str">
        <x:v>HTRP12</x:v>
      </x:c>
      <x:c r="E443" s="37" t="n">
        <x:v>10</x:v>
      </x:c>
      <x:c r="F443" s="37" t="n">
        <x:v>0</x:v>
      </x:c>
      <x:c r="G443" s="37" t="str">
        <x:v>g</x:v>
      </x:c>
      <x:c r="H443" s="37" t="str">
        <x:v>CÂY</x:v>
      </x:c>
      <x:c r="I443" s="59" t="n">
        <x:v>0</x:v>
      </x:c>
      <x:c r="J443" s="59" t="n">
        <x:v>240000</x:v>
      </x:c>
      <x:c r="K443" s="83" t="n">
        <x:v>0</x:v>
      </x:c>
    </x:row>
    <x:row r="444">
      <x:c r="A444" s="71" t="str">
        <x:v>HÚT TRẮNG MÀNG 8 - CÂY</x:v>
      </x:c>
      <x:c r="B444" s="37" t="str">
        <x:v>HTRGM8T</x:v>
      </x:c>
      <x:c r="C444" s="37" t="str">
        <x:v>HTRGM8T</x:v>
      </x:c>
      <x:c r="D444" s="37" t="str">
        <x:v>HTRGM8</x:v>
      </x:c>
      <x:c r="E444" s="37" t="n">
        <x:v>10</x:v>
      </x:c>
      <x:c r="F444" s="37" t="n">
        <x:v>0</x:v>
      </x:c>
      <x:c r="G444" s="37" t="str">
        <x:v>g</x:v>
      </x:c>
      <x:c r="H444" s="37" t="str">
        <x:v>CÂY</x:v>
      </x:c>
      <x:c r="I444" s="59" t="n">
        <x:v>0</x:v>
      </x:c>
      <x:c r="J444" s="59" t="n">
        <x:v>0</x:v>
      </x:c>
      <x:c r="K444" s="83" t="n">
        <x:v>0</x:v>
      </x:c>
    </x:row>
    <x:row r="445">
      <x:c r="A445" s="71" t="str">
        <x:v>HÚT TRẮNG MÀNG 6 - CÂY</x:v>
      </x:c>
      <x:c r="B445" s="37" t="str">
        <x:v>HTRGM6T</x:v>
      </x:c>
      <x:c r="C445" s="37" t="str">
        <x:v>HTRGM6T</x:v>
      </x:c>
      <x:c r="D445" s="37" t="str">
        <x:v>HTRGM6</x:v>
      </x:c>
      <x:c r="E445" s="37" t="n">
        <x:v>10</x:v>
      </x:c>
      <x:c r="F445" s="37" t="n">
        <x:v>0</x:v>
      </x:c>
      <x:c r="G445" s="37" t="str">
        <x:v>g</x:v>
      </x:c>
      <x:c r="H445" s="37" t="str">
        <x:v>CÂY</x:v>
      </x:c>
      <x:c r="I445" s="59" t="n">
        <x:v>0</x:v>
      </x:c>
      <x:c r="J445" s="59" t="n">
        <x:v>0</x:v>
      </x:c>
      <x:c r="K445" s="83" t="n">
        <x:v>0</x:v>
      </x:c>
    </x:row>
    <x:row r="446">
      <x:c r="A446" s="71" t="str">
        <x:v>HÚT TRẮNG MÀNG 12 - CÂY</x:v>
      </x:c>
      <x:c r="B446" s="37" t="str">
        <x:v>HTRM12T</x:v>
      </x:c>
      <x:c r="C446" s="37" t="str">
        <x:v>HTRM12T</x:v>
      </x:c>
      <x:c r="D446" s="37" t="str">
        <x:v>HTRM12</x:v>
      </x:c>
      <x:c r="E446" s="37" t="n">
        <x:v>10</x:v>
      </x:c>
      <x:c r="F446" s="37" t="n">
        <x:v>0</x:v>
      </x:c>
      <x:c r="G446" s="37" t="str">
        <x:v>g</x:v>
      </x:c>
      <x:c r="H446" s="37" t="str">
        <x:v>CÂY</x:v>
      </x:c>
      <x:c r="I446" s="59" t="n">
        <x:v>0</x:v>
      </x:c>
      <x:c r="J446" s="59" t="n">
        <x:v>0</x:v>
      </x:c>
      <x:c r="K446" s="83" t="n">
        <x:v>0</x:v>
      </x:c>
    </x:row>
    <x:row r="447">
      <x:c r="A447" s="71" t="str">
        <x:v>HÚT ĐEN PHI 8 - CÂY</x:v>
      </x:c>
      <x:c r="B447" s="37" t="str">
        <x:v>HDENP8T</x:v>
      </x:c>
      <x:c r="C447" s="37" t="str">
        <x:v>HDENP8T</x:v>
      </x:c>
      <x:c r="D447" s="37" t="str">
        <x:v>HDENP8</x:v>
      </x:c>
      <x:c r="E447" s="37" t="n">
        <x:v>10</x:v>
      </x:c>
      <x:c r="F447" s="37" t="n">
        <x:v>5000</x:v>
      </x:c>
      <x:c r="G447" s="37" t="str">
        <x:v>g</x:v>
      </x:c>
      <x:c r="H447" s="37" t="str">
        <x:v>CÂY</x:v>
      </x:c>
      <x:c r="I447" s="59" t="n">
        <x:v>0</x:v>
      </x:c>
      <x:c r="J447" s="59" t="n">
        <x:v>240000</x:v>
      </x:c>
      <x:c r="K447" s="83" t="n">
        <x:v>0</x:v>
      </x:c>
    </x:row>
    <x:row r="448">
      <x:c r="A448" s="71" t="str">
        <x:v>HÚT ĐEN PHI 6 - CÂY</x:v>
      </x:c>
      <x:c r="B448" s="37" t="str">
        <x:v>HDENP6T</x:v>
      </x:c>
      <x:c r="C448" s="37" t="str">
        <x:v>HDENP6T</x:v>
      </x:c>
      <x:c r="D448" s="37" t="str">
        <x:v>HDENP6</x:v>
      </x:c>
      <x:c r="E448" s="37" t="n">
        <x:v>10</x:v>
      </x:c>
      <x:c r="F448" s="37" t="n">
        <x:v>5</x:v>
      </x:c>
      <x:c r="G448" s="37" t="str">
        <x:v>kg</x:v>
      </x:c>
      <x:c r="H448" s="37" t="str">
        <x:v>CÂY</x:v>
      </x:c>
      <x:c r="I448" s="59" t="n">
        <x:v>0</x:v>
      </x:c>
      <x:c r="J448" s="59" t="n">
        <x:v>240000</x:v>
      </x:c>
      <x:c r="K448" s="83" t="n">
        <x:v>0</x:v>
      </x:c>
    </x:row>
    <x:row r="449">
      <x:c r="A449" s="71" t="str">
        <x:v>HÚT ĐEN PHI 12 - CÂY</x:v>
      </x:c>
      <x:c r="B449" s="37" t="str">
        <x:v>HDEP12T</x:v>
      </x:c>
      <x:c r="C449" s="37" t="str">
        <x:v>HDEP12T</x:v>
      </x:c>
      <x:c r="D449" s="37" t="str">
        <x:v>HDEP12</x:v>
      </x:c>
      <x:c r="E449" s="37" t="n">
        <x:v>10</x:v>
      </x:c>
      <x:c r="F449" s="37" t="n">
        <x:v>1</x:v>
      </x:c>
      <x:c r="G449" s="37" t="str">
        <x:v>kg</x:v>
      </x:c>
      <x:c r="H449" s="37" t="str">
        <x:v>CÂY</x:v>
      </x:c>
      <x:c r="I449" s="59" t="n">
        <x:v>0</x:v>
      </x:c>
      <x:c r="J449" s="59" t="n">
        <x:v>240000</x:v>
      </x:c>
      <x:c r="K449" s="83" t="n">
        <x:v>0</x:v>
      </x:c>
    </x:row>
    <x:row r="450">
      <x:c r="A450" s="71" t="str">
        <x:v>HÚT ĐEN MÀNG PHI 12 - CÂY</x:v>
      </x:c>
      <x:c r="B450" s="37" t="str">
        <x:v>HDEM12T</x:v>
      </x:c>
      <x:c r="C450" s="37" t="str">
        <x:v>HDEM12T</x:v>
      </x:c>
      <x:c r="D450" s="37" t="str">
        <x:v>HDEM12</x:v>
      </x:c>
      <x:c r="E450" s="37" t="n">
        <x:v>10</x:v>
      </x:c>
      <x:c r="F450" s="37" t="n">
        <x:v>5</x:v>
      </x:c>
      <x:c r="G450" s="37" t="str">
        <x:v>kg</x:v>
      </x:c>
      <x:c r="H450" s="37" t="str">
        <x:v>CÂY</x:v>
      </x:c>
      <x:c r="I450" s="59" t="n">
        <x:v>0</x:v>
      </x:c>
      <x:c r="J450" s="59" t="n">
        <x:v>0</x:v>
      </x:c>
      <x:c r="K450" s="83" t="n">
        <x:v>0</x:v>
      </x:c>
    </x:row>
    <x:row r="451">
      <x:c r="A451" s="71" t="str">
        <x:v>HÚT ĐEN MÀNG 8 - CÂY</x:v>
      </x:c>
      <x:c r="B451" s="37" t="str">
        <x:v>HDENM8T</x:v>
      </x:c>
      <x:c r="C451" s="37" t="str">
        <x:v>HDENM8T</x:v>
      </x:c>
      <x:c r="D451" s="37" t="str">
        <x:v>HDENM8</x:v>
      </x:c>
      <x:c r="E451" s="37" t="n">
        <x:v>10</x:v>
      </x:c>
      <x:c r="F451" s="37" t="n">
        <x:v>0</x:v>
      </x:c>
      <x:c r="G451" s="37" t="str">
        <x:v>g</x:v>
      </x:c>
      <x:c r="H451" s="37" t="str">
        <x:v>CÂY</x:v>
      </x:c>
      <x:c r="I451" s="59" t="n">
        <x:v>0</x:v>
      </x:c>
      <x:c r="J451" s="59" t="n">
        <x:v>0</x:v>
      </x:c>
      <x:c r="K451" s="83" t="n">
        <x:v>0</x:v>
      </x:c>
    </x:row>
    <x:row r="452">
      <x:c r="A452" s="71" t="str">
        <x:v>HỒNG TRÀ TÂN NAM BẮC - THÙNG</x:v>
      </x:c>
      <x:c r="B452" s="37" t="str">
        <x:v>HTRTNBT</x:v>
      </x:c>
      <x:c r="C452" s="37" t="str">
        <x:v>HTRTNBT</x:v>
      </x:c>
      <x:c r="D452" s="37" t="str">
        <x:v>HTRTNB</x:v>
      </x:c>
      <x:c r="E452" s="37" t="n">
        <x:v>50</x:v>
      </x:c>
      <x:c r="F452" s="37" t="n">
        <x:v>20000</x:v>
      </x:c>
      <x:c r="G452" s="37" t="str">
        <x:v>g</x:v>
      </x:c>
      <x:c r="H452" s="37" t="str">
        <x:v>THÙNG</x:v>
      </x:c>
      <x:c r="I452" s="59" t="n">
        <x:v>1330000</x:v>
      </x:c>
      <x:c r="J452" s="59" t="n">
        <x:v>0</x:v>
      </x:c>
      <x:c r="K452" s="83" t="n">
        <x:v>0</x:v>
      </x:c>
    </x:row>
    <x:row r="453">
      <x:c r="A453" s="71" t="str">
        <x:v>HỒNG TRÀ LỘC PHÁT - THÙNG</x:v>
      </x:c>
      <x:c r="B453" s="37" t="str">
        <x:v>HTRLPHT</x:v>
      </x:c>
      <x:c r="C453" s="37" t="str">
        <x:v>HTRLPHT</x:v>
      </x:c>
      <x:c r="D453" s="37" t="str">
        <x:v>HTRLPH</x:v>
      </x:c>
      <x:c r="E453" s="37" t="n">
        <x:v>12</x:v>
      </x:c>
      <x:c r="F453" s="37" t="n">
        <x:v>13000</x:v>
      </x:c>
      <x:c r="G453" s="37" t="str">
        <x:v>g</x:v>
      </x:c>
      <x:c r="H453" s="37" t="str">
        <x:v>THÙNG</x:v>
      </x:c>
      <x:c r="I453" s="59" t="n">
        <x:v>0</x:v>
      </x:c>
      <x:c r="J453" s="59" t="n">
        <x:v>0</x:v>
      </x:c>
      <x:c r="K453" s="83" t="n">
        <x:v>0</x:v>
      </x:c>
    </x:row>
    <x:row r="454">
      <x:c r="A454" s="71" t="str">
        <x:v>HỒNG TRÀ KING - BAO</x:v>
      </x:c>
      <x:c r="B454" s="37" t="str">
        <x:v>HTRKIGT</x:v>
      </x:c>
      <x:c r="C454" s="37" t="str">
        <x:v>HTRKIGT</x:v>
      </x:c>
      <x:c r="D454" s="37" t="str">
        <x:v>HTRKIG</x:v>
      </x:c>
      <x:c r="E454" s="37" t="n">
        <x:v>30</x:v>
      </x:c>
      <x:c r="F454" s="37" t="n">
        <x:v>30</x:v>
      </x:c>
      <x:c r="G454" s="37" t="str">
        <x:v>kg</x:v>
      </x:c>
      <x:c r="H454" s="37" t="str">
        <x:v>BAO</x:v>
      </x:c>
      <x:c r="I454" s="59" t="n">
        <x:v>0</x:v>
      </x:c>
      <x:c r="J454" s="59" t="n">
        <x:v>0</x:v>
      </x:c>
      <x:c r="K454" s="83" t="n">
        <x:v>0</x:v>
      </x:c>
    </x:row>
    <x:row r="455">
      <x:c r="A455" s="71" t="str">
        <x:v>COZY TÚI LỌC DÂU - THÙNG</x:v>
      </x:c>
      <x:c r="B455" s="37" t="str">
        <x:v>COTLDAT</x:v>
      </x:c>
      <x:c r="C455" s="37" t="str">
        <x:v>COTLDAT</x:v>
      </x:c>
      <x:c r="D455" s="37" t="str">
        <x:v>COTLDA</x:v>
      </x:c>
      <x:c r="E455" s="37" t="n">
        <x:v>36</x:v>
      </x:c>
      <x:c r="F455" s="37" t="n">
        <x:v>5000</x:v>
      </x:c>
      <x:c r="G455" s="37" t="str">
        <x:v>g</x:v>
      </x:c>
      <x:c r="H455" s="37" t="str">
        <x:v>THÙNG</x:v>
      </x:c>
      <x:c r="I455" s="59" t="n">
        <x:v>0</x:v>
      </x:c>
      <x:c r="J455" s="59" t="n">
        <x:v>0</x:v>
      </x:c>
      <x:c r="K455" s="83" t="n">
        <x:v>0</x:v>
      </x:c>
    </x:row>
    <x:row r="456">
      <x:c r="A456" s="71" t="str">
        <x:v>HẠT THỦY TINH YAUOT - THÙNG</x:v>
      </x:c>
      <x:c r="B456" s="37" t="str">
        <x:v>HTTYAUT</x:v>
      </x:c>
      <x:c r="C456" s="37" t="str">
        <x:v>HTTYAUT</x:v>
      </x:c>
      <x:c r="D456" s="37" t="str">
        <x:v>HTTYAU</x:v>
      </x:c>
      <x:c r="E456" s="37" t="n">
        <x:v>4</x:v>
      </x:c>
      <x:c r="F456" s="37" t="n">
        <x:v>16</x:v>
      </x:c>
      <x:c r="G456" s="37" t="str">
        <x:v>kg</x:v>
      </x:c>
      <x:c r="H456" s="37" t="str">
        <x:v>THÙNG</x:v>
      </x:c>
      <x:c r="I456" s="59" t="n">
        <x:v>0</x:v>
      </x:c>
      <x:c r="J456" s="59" t="n">
        <x:v>0</x:v>
      </x:c>
      <x:c r="K456" s="83" t="n">
        <x:v>0</x:v>
      </x:c>
    </x:row>
    <x:row r="457">
      <x:c r="A457" s="71" t="str">
        <x:v>HẠT THỦY TINH VIỆT QUỐC - THÙNG</x:v>
      </x:c>
      <x:c r="B457" s="37" t="str">
        <x:v>HTTVQUT</x:v>
      </x:c>
      <x:c r="C457" s="37" t="str">
        <x:v>HTTVQUT</x:v>
      </x:c>
      <x:c r="D457" s="37" t="str">
        <x:v>HTTVQU</x:v>
      </x:c>
      <x:c r="E457" s="37" t="n">
        <x:v>4</x:v>
      </x:c>
      <x:c r="F457" s="37" t="n">
        <x:v>13</x:v>
      </x:c>
      <x:c r="G457" s="37" t="str">
        <x:v>kg</x:v>
      </x:c>
      <x:c r="H457" s="37" t="str">
        <x:v>THÙNG</x:v>
      </x:c>
      <x:c r="I457" s="59" t="n">
        <x:v>0</x:v>
      </x:c>
      <x:c r="J457" s="59" t="n">
        <x:v>0</x:v>
      </x:c>
      <x:c r="K457" s="83" t="n">
        <x:v>0</x:v>
      </x:c>
    </x:row>
    <x:row r="458">
      <x:c r="A458" s="71" t="str">
        <x:v>HẠT THỦY TINH NHO - THÙNG</x:v>
      </x:c>
      <x:c r="B458" s="37" t="str">
        <x:v>HTTNHOT</x:v>
      </x:c>
      <x:c r="C458" s="37" t="str">
        <x:v>HTTNHOT</x:v>
      </x:c>
      <x:c r="D458" s="37" t="str">
        <x:v>HTTNHO</x:v>
      </x:c>
      <x:c r="E458" s="37" t="n">
        <x:v>4</x:v>
      </x:c>
      <x:c r="F458" s="37" t="n">
        <x:v>12</x:v>
      </x:c>
      <x:c r="G458" s="37" t="str">
        <x:v>kg</x:v>
      </x:c>
      <x:c r="H458" s="37" t="str">
        <x:v>THÙNG</x:v>
      </x:c>
      <x:c r="I458" s="59" t="n">
        <x:v>0</x:v>
      </x:c>
      <x:c r="J458" s="59" t="n">
        <x:v>0</x:v>
      </x:c>
      <x:c r="K458" s="83" t="n">
        <x:v>0</x:v>
      </x:c>
    </x:row>
    <x:row r="459">
      <x:c r="A459" s="71" t="str">
        <x:v>HẠT THỦY TINH ĐÀO - THÙNG</x:v>
      </x:c>
      <x:c r="B459" s="37" t="str">
        <x:v>HTTDAOT</x:v>
      </x:c>
      <x:c r="C459" s="37" t="str">
        <x:v>HTTDAOT</x:v>
      </x:c>
      <x:c r="D459" s="37" t="str">
        <x:v>HTTDAO</x:v>
      </x:c>
      <x:c r="E459" s="37" t="n">
        <x:v>4</x:v>
      </x:c>
      <x:c r="F459" s="37" t="n">
        <x:v>12</x:v>
      </x:c>
      <x:c r="G459" s="37" t="str">
        <x:v>kg</x:v>
      </x:c>
      <x:c r="H459" s="37" t="str">
        <x:v>THÙNG</x:v>
      </x:c>
      <x:c r="I459" s="59" t="n">
        <x:v>0</x:v>
      </x:c>
      <x:c r="J459" s="59" t="n">
        <x:v>0</x:v>
      </x:c>
      <x:c r="K459" s="83" t="n">
        <x:v>0</x:v>
      </x:c>
    </x:row>
    <x:row r="460">
      <x:c r="A460" s="71" t="str">
        <x:v>HẠT THỦY TINH DƯA LƯỚI - THÙNG</x:v>
      </x:c>
      <x:c r="B460" s="37" t="str">
        <x:v>HTTDLUT</x:v>
      </x:c>
      <x:c r="C460" s="37" t="str">
        <x:v>HTTDLUT</x:v>
      </x:c>
      <x:c r="D460" s="37" t="str">
        <x:v>HTTDLU</x:v>
      </x:c>
      <x:c r="E460" s="37" t="n">
        <x:v>4</x:v>
      </x:c>
      <x:c r="F460" s="37" t="n">
        <x:v>12</x:v>
      </x:c>
      <x:c r="G460" s="37" t="str">
        <x:v>kg</x:v>
      </x:c>
      <x:c r="H460" s="37" t="str">
        <x:v>THÙNG</x:v>
      </x:c>
      <x:c r="I460" s="59" t="n">
        <x:v>0</x:v>
      </x:c>
      <x:c r="J460" s="59" t="n">
        <x:v>0</x:v>
      </x:c>
      <x:c r="K460" s="83" t="n">
        <x:v>0</x:v>
      </x:c>
    </x:row>
    <x:row r="461">
      <x:c r="A461" s="71" t="str">
        <x:v>HẠT THỦY TINH DÂU - THÙNG</x:v>
      </x:c>
      <x:c r="B461" s="37" t="str">
        <x:v>HTTDAUT</x:v>
      </x:c>
      <x:c r="C461" s="37" t="str">
        <x:v>HTTDAUT</x:v>
      </x:c>
      <x:c r="D461" s="37" t="str">
        <x:v>HTTDAU</x:v>
      </x:c>
      <x:c r="E461" s="37" t="n">
        <x:v>4</x:v>
      </x:c>
      <x:c r="F461" s="37" t="n">
        <x:v>12</x:v>
      </x:c>
      <x:c r="G461" s="37" t="str">
        <x:v>kg</x:v>
      </x:c>
      <x:c r="H461" s="37" t="str">
        <x:v>THÙNG</x:v>
      </x:c>
      <x:c r="I461" s="59" t="n">
        <x:v>0</x:v>
      </x:c>
      <x:c r="J461" s="59" t="n">
        <x:v>0</x:v>
      </x:c>
      <x:c r="K461" s="83" t="n">
        <x:v>0</x:v>
      </x:c>
    </x:row>
    <x:row r="462">
      <x:c r="A462" s="71" t="str">
        <x:v>HẠT CHIA - THÙNG</x:v>
      </x:c>
      <x:c r="B462" s="37" t="str">
        <x:v>HACHIAT</x:v>
      </x:c>
      <x:c r="C462" s="37" t="str">
        <x:v>HACHIAT</x:v>
      </x:c>
      <x:c r="D462" s="37" t="str">
        <x:v>HACHIA</x:v>
      </x:c>
      <x:c r="E462" s="37" t="n">
        <x:v>10</x:v>
      </x:c>
      <x:c r="F462" s="37" t="n">
        <x:v>0</x:v>
      </x:c>
      <x:c r="G462" s="37" t="str">
        <x:v>g</x:v>
      </x:c>
      <x:c r="H462" s="37" t="str">
        <x:v>THÙNG</x:v>
      </x:c>
      <x:c r="I462" s="59" t="n">
        <x:v>0</x:v>
      </x:c>
      <x:c r="J462" s="59" t="n">
        <x:v>0</x:v>
      </x:c>
      <x:c r="K462" s="83" t="n">
        <x:v>0</x:v>
      </x:c>
    </x:row>
    <x:row r="463">
      <x:c r="A463" s="71" t="str">
        <x:v>GIẤM TÁO 2 LÍT - THÙNG</x:v>
      </x:c>
      <x:c r="B463" s="37" t="str">
        <x:v>GIAM2LT</x:v>
      </x:c>
      <x:c r="C463" s="37" t="str">
        <x:v>GIAM2LT</x:v>
      </x:c>
      <x:c r="D463" s="37" t="str">
        <x:v>GIAM2L</x:v>
      </x:c>
      <x:c r="E463" s="37" t="n">
        <x:v>6</x:v>
      </x:c>
      <x:c r="F463" s="37" t="n">
        <x:v>0</x:v>
      </x:c>
      <x:c r="G463" s="37" t="str">
        <x:v>g</x:v>
      </x:c>
      <x:c r="H463" s="37" t="str">
        <x:v>THÙNG</x:v>
      </x:c>
      <x:c r="I463" s="59" t="n">
        <x:v>0</x:v>
      </x:c>
      <x:c r="J463" s="59" t="n">
        <x:v>0</x:v>
      </x:c>
      <x:c r="K463" s="83" t="n">
        <x:v>0</x:v>
      </x:c>
    </x:row>
    <x:row r="464">
      <x:c r="A464" s="71" t="str">
        <x:v>FALU VẢI - THÙNG</x:v>
      </x:c>
      <x:c r="B464" s="37" t="str">
        <x:v>FALUVAT</x:v>
      </x:c>
      <x:c r="C464" s="37" t="str">
        <x:v>FALUVAT</x:v>
      </x:c>
      <x:c r="D464" s="37" t="str">
        <x:v>FALUVA</x:v>
      </x:c>
      <x:c r="E464" s="37" t="n">
        <x:v>12</x:v>
      </x:c>
      <x:c r="F464" s="37" t="n">
        <x:v>24</x:v>
      </x:c>
      <x:c r="G464" s="37" t="str">
        <x:v>kg</x:v>
      </x:c>
      <x:c r="H464" s="37" t="str">
        <x:v>THÙNG</x:v>
      </x:c>
      <x:c r="I464" s="59" t="n">
        <x:v>0</x:v>
      </x:c>
      <x:c r="J464" s="59" t="n">
        <x:v>0</x:v>
      </x:c>
      <x:c r="K464" s="83" t="n">
        <x:v>0</x:v>
      </x:c>
    </x:row>
    <x:row r="465">
      <x:c r="A465" s="71" t="str">
        <x:v>FALU NHÃN - THÙNG</x:v>
      </x:c>
      <x:c r="B465" s="37" t="str">
        <x:v>FALUNHT</x:v>
      </x:c>
      <x:c r="C465" s="37" t="str">
        <x:v>FALUNHT</x:v>
      </x:c>
      <x:c r="D465" s="37" t="str">
        <x:v>FALUNH</x:v>
      </x:c>
      <x:c r="E465" s="37" t="n">
        <x:v>12</x:v>
      </x:c>
      <x:c r="F465" s="37" t="n">
        <x:v>24</x:v>
      </x:c>
      <x:c r="G465" s="37" t="str">
        <x:v>kg</x:v>
      </x:c>
      <x:c r="H465" s="37" t="str">
        <x:v>THÙNG</x:v>
      </x:c>
      <x:c r="I465" s="59" t="n">
        <x:v>0</x:v>
      </x:c>
      <x:c r="J465" s="59" t="n">
        <x:v>0</x:v>
      </x:c>
      <x:c r="K465" s="83" t="n">
        <x:v>0</x:v>
      </x:c>
    </x:row>
    <x:row r="466">
      <x:c r="A466" s="71" t="str">
        <x:v>ĐƯỜNG NÂU MONITA - THÙNG</x:v>
      </x:c>
      <x:c r="B466" s="37" t="str">
        <x:v>DNSEULT</x:v>
      </x:c>
      <x:c r="C466" s="37" t="str">
        <x:v>DNSEULT</x:v>
      </x:c>
      <x:c r="D466" s="37" t="str">
        <x:v>DNSEUL</x:v>
      </x:c>
      <x:c r="E466" s="37" t="n">
        <x:v>16</x:v>
      </x:c>
      <x:c r="F466" s="37" t="n">
        <x:v>17</x:v>
      </x:c>
      <x:c r="G466" s="37" t="str">
        <x:v>kg</x:v>
      </x:c>
      <x:c r="H466" s="37" t="str">
        <x:v>THÙNG</x:v>
      </x:c>
      <x:c r="I466" s="59" t="n">
        <x:v>0</x:v>
      </x:c>
      <x:c r="J466" s="59" t="n">
        <x:v>0</x:v>
      </x:c>
      <x:c r="K466" s="83" t="n">
        <x:v>0</x:v>
      </x:c>
    </x:row>
    <x:row r="467">
      <x:c r="A467" s="71" t="str">
        <x:v>ĐƯỜNG ĐEN MONITA - THÙNG</x:v>
      </x:c>
      <x:c r="B467" s="37" t="str">
        <x:v>DDSEULT</x:v>
      </x:c>
      <x:c r="C467" s="37" t="str">
        <x:v>DDSEULT</x:v>
      </x:c>
      <x:c r="D467" s="37" t="str">
        <x:v>DDSEUL</x:v>
      </x:c>
      <x:c r="E467" s="37" t="n">
        <x:v>16</x:v>
      </x:c>
      <x:c r="F467" s="37" t="n">
        <x:v>1</x:v>
      </x:c>
      <x:c r="G467" s="37" t="str">
        <x:v>kg</x:v>
      </x:c>
      <x:c r="H467" s="37" t="str">
        <x:v>THÙNG</x:v>
      </x:c>
      <x:c r="I467" s="59" t="n">
        <x:v>0</x:v>
      </x:c>
      <x:c r="J467" s="59" t="n">
        <x:v>0</x:v>
      </x:c>
      <x:c r="K467" s="83" t="n">
        <x:v>0</x:v>
      </x:c>
    </x:row>
    <x:row r="468">
      <x:c r="A468" s="71" t="str">
        <x:v>ĐƯỜNG ĐEN MOLA - THÙNG</x:v>
      </x:c>
      <x:c r="B468" s="37" t="str">
        <x:v>DDMOLAT</x:v>
      </x:c>
      <x:c r="C468" s="37" t="str">
        <x:v>DDMOLAT</x:v>
      </x:c>
      <x:c r="D468" s="37" t="str">
        <x:v>DDMOLA</x:v>
      </x:c>
      <x:c r="E468" s="37" t="n">
        <x:v>12</x:v>
      </x:c>
      <x:c r="F468" s="37" t="n">
        <x:v>19</x:v>
      </x:c>
      <x:c r="G468" s="37" t="str">
        <x:v>kg</x:v>
      </x:c>
      <x:c r="H468" s="37" t="str">
        <x:v>THÙNG</x:v>
      </x:c>
      <x:c r="I468" s="59" t="n">
        <x:v>0</x:v>
      </x:c>
      <x:c r="J468" s="59" t="n">
        <x:v>0</x:v>
      </x:c>
      <x:c r="K468" s="83" t="n">
        <x:v>0</x:v>
      </x:c>
    </x:row>
    <x:row r="469">
      <x:c r="A469" s="71" t="str">
        <x:v>ĐƯỜNG ĐEN FALU - THÙNG</x:v>
      </x:c>
      <x:c r="B469" s="37" t="str">
        <x:v>SRDDFLT</x:v>
      </x:c>
      <x:c r="C469" s="37" t="str">
        <x:v>SRDDFLT</x:v>
      </x:c>
      <x:c r="D469" s="37" t="str">
        <x:v>SRDDFL</x:v>
      </x:c>
      <x:c r="E469" s="37" t="n">
        <x:v>6</x:v>
      </x:c>
      <x:c r="F469" s="37" t="n">
        <x:v>0</x:v>
      </x:c>
      <x:c r="G469" s="37" t="str">
        <x:v>g</x:v>
      </x:c>
      <x:c r="H469" s="37" t="str">
        <x:v>THÙNG</x:v>
      </x:c>
      <x:c r="I469" s="59" t="n">
        <x:v>0</x:v>
      </x:c>
      <x:c r="J469" s="59" t="n">
        <x:v>0</x:v>
      </x:c>
      <x:c r="K469" s="83" t="n">
        <x:v>0</x:v>
      </x:c>
    </x:row>
    <x:row r="470">
      <x:c r="A470" s="71" t="str">
        <x:v>ĐƯỜNG ĐEN ERODELI - THÙNG</x:v>
      </x:c>
      <x:c r="B470" s="37" t="str">
        <x:v>SRDDERT</x:v>
      </x:c>
      <x:c r="C470" s="37" t="str">
        <x:v>SRDDERT</x:v>
      </x:c>
      <x:c r="D470" s="37" t="str">
        <x:v>SRDDER</x:v>
      </x:c>
      <x:c r="E470" s="37" t="n">
        <x:v>6</x:v>
      </x:c>
      <x:c r="F470" s="37" t="n">
        <x:v>12</x:v>
      </x:c>
      <x:c r="G470" s="37" t="str">
        <x:v>kg</x:v>
      </x:c>
      <x:c r="H470" s="37" t="str">
        <x:v>THÙNG</x:v>
      </x:c>
      <x:c r="I470" s="59" t="n">
        <x:v>0</x:v>
      </x:c>
      <x:c r="J470" s="59" t="n">
        <x:v>0</x:v>
      </x:c>
      <x:c r="K470" s="83" t="n">
        <x:v>0</x:v>
      </x:c>
    </x:row>
    <x:row r="471">
      <x:c r="A471" s="71" t="str">
        <x:v>ĐƯỜNG ĐEN ĐÀI LOAN - THÙNG</x:v>
      </x:c>
      <x:c r="B471" s="37" t="str">
        <x:v>DDDLTBT</x:v>
      </x:c>
      <x:c r="C471" s="37" t="str">
        <x:v>DDDLTBT</x:v>
      </x:c>
      <x:c r="D471" s="37" t="str">
        <x:v>DDDLTB</x:v>
      </x:c>
      <x:c r="E471" s="37" t="n">
        <x:v>12</x:v>
      </x:c>
      <x:c r="F471" s="37" t="n">
        <x:v>12</x:v>
      </x:c>
      <x:c r="G471" s="37" t="str">
        <x:v>kg</x:v>
      </x:c>
      <x:c r="H471" s="37" t="str">
        <x:v>THÙNG</x:v>
      </x:c>
      <x:c r="I471" s="59" t="n">
        <x:v>560000</x:v>
      </x:c>
      <x:c r="J471" s="59" t="n">
        <x:v>0</x:v>
      </x:c>
      <x:c r="K471" s="83" t="n">
        <x:v>0</x:v>
      </x:c>
    </x:row>
    <x:row r="472">
      <x:c r="A472" s="71" t="str">
        <x:v>ĐƯỜNG BẮP - THÙNG</x:v>
      </x:c>
      <x:c r="B472" s="37" t="str">
        <x:v>DBAPPPT</x:v>
      </x:c>
      <x:c r="C472" s="37" t="str">
        <x:v>DBAPPPT</x:v>
      </x:c>
      <x:c r="D472" s="37" t="str">
        <x:v>DBAPPP</x:v>
      </x:c>
      <x:c r="E472" s="37" t="n">
        <x:v>4</x:v>
      </x:c>
      <x:c r="F472" s="37" t="n">
        <x:v>20</x:v>
      </x:c>
      <x:c r="G472" s="37" t="str">
        <x:v>kg</x:v>
      </x:c>
      <x:c r="H472" s="37" t="str">
        <x:v>THÙNG</x:v>
      </x:c>
      <x:c r="I472" s="59" t="n">
        <x:v>0</x:v>
      </x:c>
      <x:c r="J472" s="59" t="n">
        <x:v>515000</x:v>
      </x:c>
      <x:c r="K472" s="83" t="n">
        <x:v>0</x:v>
      </x:c>
    </x:row>
    <x:row r="473">
      <x:c r="A473" s="71" t="str">
        <x:v>ĐẬU ĐỎ TIM - THÙNG</x:v>
      </x:c>
      <x:c r="B473" s="37" t="str">
        <x:v>DDOTIMT</x:v>
      </x:c>
      <x:c r="C473" s="37" t="str">
        <x:v>DDOTIMT</x:v>
      </x:c>
      <x:c r="D473" s="37" t="str">
        <x:v>DDOTIM</x:v>
      </x:c>
      <x:c r="E473" s="37" t="n">
        <x:v>12</x:v>
      </x:c>
      <x:c r="F473" s="37" t="n">
        <x:v>115200</x:v>
      </x:c>
      <x:c r="G473" s="37" t="str">
        <x:v>g</x:v>
      </x:c>
      <x:c r="H473" s="37" t="str">
        <x:v>THÙNG</x:v>
      </x:c>
      <x:c r="I473" s="59" t="n">
        <x:v>0</x:v>
      </x:c>
      <x:c r="J473" s="59" t="n">
        <x:v>465000</x:v>
      </x:c>
      <x:c r="K473" s="83" t="n">
        <x:v>0</x:v>
      </x:c>
    </x:row>
    <x:row r="474">
      <x:c r="A474" s="71" t="str">
        <x:v>ĐẬM ĐẶC VIỆT QUỐC - THÙNG</x:v>
      </x:c>
      <x:c r="B474" s="37" t="str">
        <x:v>DDGVQUT</x:v>
      </x:c>
      <x:c r="C474" s="37" t="str">
        <x:v>DDGVQUT</x:v>
      </x:c>
      <x:c r="D474" s="37" t="str">
        <x:v>DDGVQU</x:v>
      </x:c>
      <x:c r="E474" s="37" t="n">
        <x:v>12</x:v>
      </x:c>
      <x:c r="F474" s="37" t="n">
        <x:v>16000</x:v>
      </x:c>
      <x:c r="G474" s="37" t="str">
        <x:v>g</x:v>
      </x:c>
      <x:c r="H474" s="37" t="str">
        <x:v>THÙNG</x:v>
      </x:c>
      <x:c r="I474" s="59" t="n">
        <x:v>0</x:v>
      </x:c>
      <x:c r="J474" s="59" t="n">
        <x:v>0</x:v>
      </x:c>
      <x:c r="K474" s="83" t="n">
        <x:v>0</x:v>
      </x:c>
    </x:row>
    <x:row r="475">
      <x:c r="A475" s="71" t="str">
        <x:v>ĐẬM ĐẶC VẢI - THÙNG</x:v>
      </x:c>
      <x:c r="B475" s="37" t="str">
        <x:v>DDGVAIT</x:v>
      </x:c>
      <x:c r="C475" s="37" t="str">
        <x:v>DDGVAIT</x:v>
      </x:c>
      <x:c r="D475" s="37" t="str">
        <x:v>DDGVAI</x:v>
      </x:c>
      <x:c r="E475" s="37" t="n">
        <x:v>12</x:v>
      </x:c>
      <x:c r="F475" s="37" t="n">
        <x:v>16000</x:v>
      </x:c>
      <x:c r="G475" s="37" t="str">
        <x:v>g</x:v>
      </x:c>
      <x:c r="H475" s="37" t="str">
        <x:v>THÙNG</x:v>
      </x:c>
      <x:c r="I475" s="59" t="n">
        <x:v>0</x:v>
      </x:c>
      <x:c r="J475" s="59" t="n">
        <x:v>0</x:v>
      </x:c>
      <x:c r="K475" s="83" t="n">
        <x:v>0</x:v>
      </x:c>
    </x:row>
    <x:row r="476">
      <x:c r="A476" s="71" t="str">
        <x:v>ĐẬM ĐẶC THƠM - THÙNG</x:v>
      </x:c>
      <x:c r="B476" s="37" t="str">
        <x:v>DDGTHMT</x:v>
      </x:c>
      <x:c r="C476" s="37" t="str">
        <x:v>DDGTHMT</x:v>
      </x:c>
      <x:c r="D476" s="37" t="str">
        <x:v>DDGTHM</x:v>
      </x:c>
      <x:c r="E476" s="37" t="n">
        <x:v>12</x:v>
      </x:c>
      <x:c r="F476" s="37" t="n">
        <x:v>16000</x:v>
      </x:c>
      <x:c r="G476" s="37" t="str">
        <x:v>g</x:v>
      </x:c>
      <x:c r="H476" s="37" t="str">
        <x:v>THÙNG</x:v>
      </x:c>
      <x:c r="I476" s="59" t="n">
        <x:v>0</x:v>
      </x:c>
      <x:c r="J476" s="59" t="n">
        <x:v>0</x:v>
      </x:c>
      <x:c r="K476" s="83" t="n">
        <x:v>0</x:v>
      </x:c>
    </x:row>
    <x:row r="477">
      <x:c r="A477" s="71" t="str">
        <x:v>ĐẬM ĐẶC QUÝT - THÙNG</x:v>
      </x:c>
      <x:c r="B477" s="37" t="str">
        <x:v>DDGQUTT</x:v>
      </x:c>
      <x:c r="C477" s="37" t="str">
        <x:v>DDGQUTT</x:v>
      </x:c>
      <x:c r="D477" s="37" t="str">
        <x:v>DDGQUT</x:v>
      </x:c>
      <x:c r="E477" s="37" t="n">
        <x:v>12</x:v>
      </x:c>
      <x:c r="F477" s="37" t="n">
        <x:v>16000</x:v>
      </x:c>
      <x:c r="G477" s="37" t="str">
        <x:v>g</x:v>
      </x:c>
      <x:c r="H477" s="37" t="str">
        <x:v>THÙNG</x:v>
      </x:c>
      <x:c r="I477" s="59" t="n">
        <x:v>0</x:v>
      </x:c>
      <x:c r="J477" s="59" t="n">
        <x:v>730000</x:v>
      </x:c>
      <x:c r="K477" s="83" t="n">
        <x:v>0</x:v>
      </x:c>
    </x:row>
    <x:row r="478">
      <x:c r="A478" s="71" t="str">
        <x:v>ĐẬM ĐẶC ỔI - THÙNG</x:v>
      </x:c>
      <x:c r="B478" s="37" t="str">
        <x:v>DDGOIHT</x:v>
      </x:c>
      <x:c r="C478" s="37" t="str">
        <x:v>DDGOIHT</x:v>
      </x:c>
      <x:c r="D478" s="37" t="str">
        <x:v>DDGOIH</x:v>
      </x:c>
      <x:c r="E478" s="37" t="n">
        <x:v>12</x:v>
      </x:c>
      <x:c r="F478" s="37" t="n">
        <x:v>16000</x:v>
      </x:c>
      <x:c r="G478" s="37" t="str">
        <x:v>g</x:v>
      </x:c>
      <x:c r="H478" s="37" t="str">
        <x:v>THÙNG</x:v>
      </x:c>
      <x:c r="I478" s="59" t="n">
        <x:v>0</x:v>
      </x:c>
      <x:c r="J478" s="59" t="n">
        <x:v>0</x:v>
      </x:c>
      <x:c r="K478" s="83" t="n">
        <x:v>0</x:v>
      </x:c>
    </x:row>
    <x:row r="479">
      <x:c r="A479" s="71" t="str">
        <x:v>ĐẬM ĐẶC NHIỆT ĐỚI - THÙNG</x:v>
      </x:c>
      <x:c r="B479" s="37" t="str">
        <x:v>DDGNDOT</x:v>
      </x:c>
      <x:c r="C479" s="37" t="str">
        <x:v>DDGNDOT</x:v>
      </x:c>
      <x:c r="D479" s="37" t="str">
        <x:v>DDGNDO</x:v>
      </x:c>
      <x:c r="E479" s="37" t="n">
        <x:v>12</x:v>
      </x:c>
      <x:c r="F479" s="37" t="n">
        <x:v>16000</x:v>
      </x:c>
      <x:c r="G479" s="37" t="str">
        <x:v>g</x:v>
      </x:c>
      <x:c r="H479" s="37" t="str">
        <x:v>THÙNG</x:v>
      </x:c>
      <x:c r="I479" s="59" t="n">
        <x:v>0</x:v>
      </x:c>
      <x:c r="J479" s="59" t="n">
        <x:v>0</x:v>
      </x:c>
      <x:c r="K479" s="83" t="n">
        <x:v>0</x:v>
      </x:c>
    </x:row>
    <x:row r="480">
      <x:c r="A480" s="71" t="str">
        <x:v>ĐẬM ĐẶC NHÃN - THÙNG</x:v>
      </x:c>
      <x:c r="B480" s="37" t="str">
        <x:v>DDGNHNT</x:v>
      </x:c>
      <x:c r="C480" s="37" t="str">
        <x:v>DDGNHNT</x:v>
      </x:c>
      <x:c r="D480" s="37" t="str">
        <x:v>DDGNHN</x:v>
      </x:c>
      <x:c r="E480" s="37" t="n">
        <x:v>12</x:v>
      </x:c>
      <x:c r="F480" s="37" t="n">
        <x:v>16000</x:v>
      </x:c>
      <x:c r="G480" s="37" t="str">
        <x:v>g</x:v>
      </x:c>
      <x:c r="H480" s="37" t="str">
        <x:v>THÙNG</x:v>
      </x:c>
      <x:c r="I480" s="59" t="n">
        <x:v>0</x:v>
      </x:c>
      <x:c r="J480" s="59" t="n">
        <x:v>0</x:v>
      </x:c>
      <x:c r="K480" s="83" t="n">
        <x:v>0</x:v>
      </x:c>
    </x:row>
    <x:row r="481">
      <x:c r="A481" s="71" t="str">
        <x:v>ĐẬM ĐẶC ĐÀO - THÙNG</x:v>
      </x:c>
      <x:c r="B481" s="37" t="str">
        <x:v>DDGDAOT</x:v>
      </x:c>
      <x:c r="C481" s="37" t="str">
        <x:v>DDGDAOT</x:v>
      </x:c>
      <x:c r="D481" s="37" t="str">
        <x:v>DDGDAO</x:v>
      </x:c>
      <x:c r="E481" s="37" t="n">
        <x:v>12</x:v>
      </x:c>
      <x:c r="F481" s="37" t="n">
        <x:v>16000</x:v>
      </x:c>
      <x:c r="G481" s="37" t="str">
        <x:v>g</x:v>
      </x:c>
      <x:c r="H481" s="37" t="str">
        <x:v>THÙNG</x:v>
      </x:c>
      <x:c r="I481" s="59" t="n">
        <x:v>0</x:v>
      </x:c>
      <x:c r="J481" s="59" t="n">
        <x:v>0</x:v>
      </x:c>
      <x:c r="K481" s="83" t="n">
        <x:v>0</x:v>
      </x:c>
    </x:row>
    <x:row r="482">
      <x:c r="A482" s="71" t="str">
        <x:v>ĐẬM ĐẶC DƯA LƯỚI - THÙNG</x:v>
      </x:c>
      <x:c r="B482" s="37" t="str">
        <x:v>DDGDLUT</x:v>
      </x:c>
      <x:c r="C482" s="37" t="str">
        <x:v>DDGDLUT</x:v>
      </x:c>
      <x:c r="D482" s="37" t="str">
        <x:v>DDGDLU</x:v>
      </x:c>
      <x:c r="E482" s="37" t="n">
        <x:v>12</x:v>
      </x:c>
      <x:c r="F482" s="37" t="n">
        <x:v>16000</x:v>
      </x:c>
      <x:c r="G482" s="37" t="str">
        <x:v>g</x:v>
      </x:c>
      <x:c r="H482" s="37" t="str">
        <x:v>THÙNG</x:v>
      </x:c>
      <x:c r="I482" s="59" t="n">
        <x:v>0</x:v>
      </x:c>
      <x:c r="J482" s="59" t="n">
        <x:v>0</x:v>
      </x:c>
      <x:c r="K482" s="83" t="n">
        <x:v>0</x:v>
      </x:c>
    </x:row>
    <x:row r="483">
      <x:c r="A483" s="71" t="str">
        <x:v>ĐẬM ĐẶC DÂU - THÙNG</x:v>
      </x:c>
      <x:c r="B483" s="37" t="str">
        <x:v>DDGDAUT</x:v>
      </x:c>
      <x:c r="C483" s="37" t="str">
        <x:v>DDGDAUT</x:v>
      </x:c>
      <x:c r="D483" s="37" t="str">
        <x:v>DDGDAU</x:v>
      </x:c>
      <x:c r="E483" s="37" t="n">
        <x:v>12</x:v>
      </x:c>
      <x:c r="F483" s="37" t="n">
        <x:v>16000</x:v>
      </x:c>
      <x:c r="G483" s="37" t="str">
        <x:v>g</x:v>
      </x:c>
      <x:c r="H483" s="37" t="str">
        <x:v>THÙNG</x:v>
      </x:c>
      <x:c r="I483" s="59" t="n">
        <x:v>0</x:v>
      </x:c>
      <x:c r="J483" s="59" t="n">
        <x:v>0</x:v>
      </x:c>
      <x:c r="K483" s="83" t="n">
        <x:v>0</x:v>
      </x:c>
    </x:row>
    <x:row r="484">
      <x:c r="A484" s="71" t="str">
        <x:v>ĐẬM ĐẶC CHANH DÂY - THÙNG</x:v>
      </x:c>
      <x:c r="B484" s="37" t="str">
        <x:v>DDGCDAT</x:v>
      </x:c>
      <x:c r="C484" s="37" t="str">
        <x:v>DDGCDAT</x:v>
      </x:c>
      <x:c r="D484" s="37" t="str">
        <x:v>DDGCDA</x:v>
      </x:c>
      <x:c r="E484" s="37" t="n">
        <x:v>12</x:v>
      </x:c>
      <x:c r="F484" s="37" t="n">
        <x:v>16000</x:v>
      </x:c>
      <x:c r="G484" s="37" t="str">
        <x:v>g</x:v>
      </x:c>
      <x:c r="H484" s="37" t="str">
        <x:v>THÙNG</x:v>
      </x:c>
      <x:c r="I484" s="59" t="n">
        <x:v>0</x:v>
      </x:c>
      <x:c r="J484" s="59" t="n">
        <x:v>0</x:v>
      </x:c>
      <x:c r="K484" s="83" t="n">
        <x:v>0</x:v>
      </x:c>
    </x:row>
    <x:row r="485">
      <x:c r="A485" s="71" t="str">
        <x:v>ĐẬM ĐẶC LỰU - THÙNG</x:v>
      </x:c>
      <x:c r="B485" s="37" t="str">
        <x:v>DDGLUUT</x:v>
      </x:c>
      <x:c r="C485" s="37" t="str">
        <x:v>DDGLUUT</x:v>
      </x:c>
      <x:c r="D485" s="37" t="str">
        <x:v>DDGLUU</x:v>
      </x:c>
      <x:c r="E485" s="37" t="n">
        <x:v>12</x:v>
      </x:c>
      <x:c r="F485" s="37" t="n">
        <x:v>16000</x:v>
      </x:c>
      <x:c r="G485" s="37" t="str">
        <x:v>g</x:v>
      </x:c>
      <x:c r="H485" s="37" t="str">
        <x:v>THÙNG</x:v>
      </x:c>
      <x:c r="I485" s="59" t="n">
        <x:v>0</x:v>
      </x:c>
      <x:c r="J485" s="59" t="n">
        <x:v>0</x:v>
      </x:c>
      <x:c r="K485" s="83" t="n">
        <x:v>0</x:v>
      </x:c>
    </x:row>
    <x:row r="486">
      <x:c r="A486" s="71" t="str">
        <x:v>ĐÀO RODES - THÙNG</x:v>
      </x:c>
      <x:c r="B486" s="37" t="str">
        <x:v>DRODEST</x:v>
      </x:c>
      <x:c r="C486" s="37" t="str">
        <x:v>DRODEST</x:v>
      </x:c>
      <x:c r="D486" s="37" t="str">
        <x:v>DRODES</x:v>
      </x:c>
      <x:c r="E486" s="37" t="n">
        <x:v>12</x:v>
      </x:c>
      <x:c r="F486" s="37" t="n">
        <x:v>13.2</x:v>
      </x:c>
      <x:c r="G486" s="37" t="str">
        <x:v>kg</x:v>
      </x:c>
      <x:c r="H486" s="37" t="str">
        <x:v>THÙNG</x:v>
      </x:c>
      <x:c r="I486" s="59" t="n">
        <x:v>0</x:v>
      </x:c>
      <x:c r="J486" s="59" t="n">
        <x:v>719000</x:v>
      </x:c>
      <x:c r="K486" s="83" t="n">
        <x:v>0</x:v>
      </x:c>
    </x:row>
    <x:row r="487">
      <x:c r="A487" s="71" t="str">
        <x:v>ĐÀO LON THÁI YOTDOI - THÙNG</x:v>
      </x:c>
      <x:c r="B487" s="37" t="str">
        <x:v>DAOYOTT</x:v>
      </x:c>
      <x:c r="C487" s="37" t="str">
        <x:v>DAOYOTT</x:v>
      </x:c>
      <x:c r="D487" s="37" t="str">
        <x:v>DAOYOT</x:v>
      </x:c>
      <x:c r="E487" s="37" t="n">
        <x:v>12</x:v>
      </x:c>
      <x:c r="F487" s="37" t="n">
        <x:v>13.2</x:v>
      </x:c>
      <x:c r="G487" s="37" t="str">
        <x:v>kg</x:v>
      </x:c>
      <x:c r="H487" s="37" t="str">
        <x:v>THÙNG</x:v>
      </x:c>
      <x:c r="I487" s="59" t="n">
        <x:v>0</x:v>
      </x:c>
      <x:c r="J487" s="59" t="n">
        <x:v>332000</x:v>
      </x:c>
      <x:c r="K487" s="83" t="n">
        <x:v>0</x:v>
      </x:c>
    </x:row>
    <x:row r="488">
      <x:c r="A488" s="71" t="str">
        <x:v>ĐÀO LON THÁI ATC - THÙNG</x:v>
      </x:c>
      <x:c r="B488" s="37" t="str">
        <x:v>DAOATCT</x:v>
      </x:c>
      <x:c r="C488" s="37" t="str">
        <x:v>DAOATCT</x:v>
      </x:c>
      <x:c r="D488" s="37" t="str">
        <x:v>DAOATC</x:v>
      </x:c>
      <x:c r="E488" s="37" t="n">
        <x:v>12</x:v>
      </x:c>
      <x:c r="F488" s="37" t="n">
        <x:v>12000</x:v>
      </x:c>
      <x:c r="G488" s="37" t="str">
        <x:v>g</x:v>
      </x:c>
      <x:c r="H488" s="37" t="str">
        <x:v>THÙNG</x:v>
      </x:c>
      <x:c r="I488" s="59" t="n">
        <x:v>0</x:v>
      </x:c>
      <x:c r="J488" s="59" t="n">
        <x:v>332000</x:v>
      </x:c>
      <x:c r="K488" s="83" t="n">
        <x:v>0</x:v>
      </x:c>
    </x:row>
    <x:row r="489">
      <x:c r="A489" s="71" t="str">
        <x:v>GTP ĐÀO - THÙNG</x:v>
      </x:c>
      <x:c r="B489" s="37" t="str">
        <x:v>GTPDAOT</x:v>
      </x:c>
      <x:c r="C489" s="37" t="str">
        <x:v>GTPDAOT</x:v>
      </x:c>
      <x:c r="D489" s="37" t="str">
        <x:v>GTPDAO</x:v>
      </x:c>
      <x:c r="E489" s="37" t="n">
        <x:v>6</x:v>
      </x:c>
      <x:c r="F489" s="37" t="n">
        <x:v>16000</x:v>
      </x:c>
      <x:c r="G489" s="37" t="str">
        <x:v>g</x:v>
      </x:c>
      <x:c r="H489" s="37" t="str">
        <x:v>THÙNG</x:v>
      </x:c>
      <x:c r="I489" s="59" t="n">
        <x:v>0</x:v>
      </x:c>
      <x:c r="J489" s="59" t="n">
        <x:v>834000</x:v>
      </x:c>
      <x:c r="K489" s="83" t="n">
        <x:v>0</x:v>
      </x:c>
    </x:row>
    <x:row r="490">
      <x:c r="A490" s="71" t="str">
        <x:v>ĐÀO CONTREE (HEVEL) - THÙNG</x:v>
      </x:c>
      <x:c r="B490" s="37" t="str">
        <x:v>CONTRET</x:v>
      </x:c>
      <x:c r="C490" s="37" t="str">
        <x:v>CONTRET</x:v>
      </x:c>
      <x:c r="D490" s="37" t="str">
        <x:v>CONTRE</x:v>
      </x:c>
      <x:c r="E490" s="37" t="n">
        <x:v>12</x:v>
      </x:c>
      <x:c r="F490" s="37" t="n">
        <x:v>0</x:v>
      </x:c>
      <x:c r="G490" s="37" t="str">
        <x:v>g</x:v>
      </x:c>
      <x:c r="H490" s="37" t="str">
        <x:v>THÙNG</x:v>
      </x:c>
      <x:c r="I490" s="59" t="n">
        <x:v>0</x:v>
      </x:c>
      <x:c r="J490" s="59" t="n">
        <x:v>372000</x:v>
      </x:c>
      <x:c r="K490" s="83" t="n">
        <x:v>0</x:v>
      </x:c>
    </x:row>
    <x:row r="491">
      <x:c r="A491" s="71" t="str">
        <x:v>ĐÁ ME TẤN LỘC - THÙNG</x:v>
      </x:c>
      <x:c r="B491" s="37" t="str">
        <x:v>DAMETLT</x:v>
      </x:c>
      <x:c r="C491" s="37" t="str">
        <x:v>DAMETLT</x:v>
      </x:c>
      <x:c r="D491" s="37" t="str">
        <x:v>DAMETL</x:v>
      </x:c>
      <x:c r="E491" s="37" t="n">
        <x:v>15</x:v>
      </x:c>
      <x:c r="F491" s="37" t="n">
        <x:v>0</x:v>
      </x:c>
      <x:c r="G491" s="37" t="str">
        <x:v>g</x:v>
      </x:c>
      <x:c r="H491" s="37" t="str">
        <x:v>THÙNG</x:v>
      </x:c>
      <x:c r="I491" s="59" t="n">
        <x:v>0</x:v>
      </x:c>
      <x:c r="J491" s="59" t="n">
        <x:v>0</x:v>
      </x:c>
      <x:c r="K491" s="83" t="n">
        <x:v>0</x:v>
      </x:c>
    </x:row>
    <x:row r="492">
      <x:c r="A492" s="71" t="str">
        <x:v>GTP DƯA LƯỚI - THÙNG</x:v>
      </x:c>
      <x:c r="B492" s="37" t="str">
        <x:v>GTPDLUT</x:v>
      </x:c>
      <x:c r="C492" s="37" t="str">
        <x:v>GTPDLUT</x:v>
      </x:c>
      <x:c r="D492" s="37" t="str">
        <x:v>GTPDLU</x:v>
      </x:c>
      <x:c r="E492" s="37" t="n">
        <x:v>6</x:v>
      </x:c>
      <x:c r="F492" s="37" t="n">
        <x:v>16000</x:v>
      </x:c>
      <x:c r="G492" s="37" t="str">
        <x:v>g</x:v>
      </x:c>
      <x:c r="H492" s="37" t="str">
        <x:v>THÙNG</x:v>
      </x:c>
      <x:c r="I492" s="59" t="n">
        <x:v>0</x:v>
      </x:c>
      <x:c r="J492" s="59" t="n">
        <x:v>834000</x:v>
      </x:c>
      <x:c r="K492" s="83" t="n">
        <x:v>0</x:v>
      </x:c>
    </x:row>
    <x:row r="493">
      <x:c r="A493" s="71" t="str">
        <x:v>DINGFONG XOÀI - THÙNG</x:v>
      </x:c>
      <x:c r="B493" s="37" t="str">
        <x:v>DFGXOAT</x:v>
      </x:c>
      <x:c r="C493" s="37" t="str">
        <x:v>DFGXOAT</x:v>
      </x:c>
      <x:c r="D493" s="37" t="str">
        <x:v>DFGXOA</x:v>
      </x:c>
      <x:c r="E493" s="37" t="n">
        <x:v>12</x:v>
      </x:c>
      <x:c r="F493" s="37" t="n">
        <x:v>13000</x:v>
      </x:c>
      <x:c r="G493" s="37" t="str">
        <x:v>g</x:v>
      </x:c>
      <x:c r="H493" s="37" t="str">
        <x:v>THÙNG</x:v>
      </x:c>
      <x:c r="I493" s="59" t="n">
        <x:v>702000</x:v>
      </x:c>
      <x:c r="J493" s="59" t="n">
        <x:v>0</x:v>
      </x:c>
      <x:c r="K493" s="83" t="n">
        <x:v>0</x:v>
      </x:c>
    </x:row>
    <x:row r="494">
      <x:c r="A494" s="71" t="str">
        <x:v>DINGFONG VIỆT QUỐC - THÙNG</x:v>
      </x:c>
      <x:c r="B494" s="37" t="str">
        <x:v>DFGVQUT</x:v>
      </x:c>
      <x:c r="C494" s="37" t="str">
        <x:v>DFGVQUT</x:v>
      </x:c>
      <x:c r="D494" s="37" t="str">
        <x:v>DFGVQU</x:v>
      </x:c>
      <x:c r="E494" s="37" t="n">
        <x:v>12</x:v>
      </x:c>
      <x:c r="F494" s="37" t="n">
        <x:v>13000</x:v>
      </x:c>
      <x:c r="G494" s="37" t="str">
        <x:v>g</x:v>
      </x:c>
      <x:c r="H494" s="37" t="str">
        <x:v>THÙNG</x:v>
      </x:c>
      <x:c r="I494" s="59" t="n">
        <x:v>702000</x:v>
      </x:c>
      <x:c r="J494" s="59" t="n">
        <x:v>0</x:v>
      </x:c>
      <x:c r="K494" s="83" t="n">
        <x:v>0</x:v>
      </x:c>
    </x:row>
    <x:row r="495">
      <x:c r="A495" s="71" t="str">
        <x:v>DINGFONG VẢI - THÙNG</x:v>
      </x:c>
      <x:c r="B495" s="37" t="str">
        <x:v>DFGVAIT</x:v>
      </x:c>
      <x:c r="C495" s="37" t="str">
        <x:v>DFGVAIT</x:v>
      </x:c>
      <x:c r="D495" s="37" t="str">
        <x:v>DFGVAI</x:v>
      </x:c>
      <x:c r="E495" s="37" t="n">
        <x:v>12</x:v>
      </x:c>
      <x:c r="F495" s="37" t="n">
        <x:v>13000</x:v>
      </x:c>
      <x:c r="G495" s="37" t="str">
        <x:v>g</x:v>
      </x:c>
      <x:c r="H495" s="37" t="str">
        <x:v>THÙNG</x:v>
      </x:c>
      <x:c r="I495" s="59" t="n">
        <x:v>702000</x:v>
      </x:c>
      <x:c r="J495" s="59" t="n">
        <x:v>0</x:v>
      </x:c>
      <x:c r="K495" s="83" t="n">
        <x:v>0</x:v>
      </x:c>
    </x:row>
    <x:row r="496">
      <x:c r="A496" s="71" t="str">
        <x:v>DINGFONG TÁO - THÙNG</x:v>
      </x:c>
      <x:c r="B496" s="37" t="str">
        <x:v>DFGTAOT</x:v>
      </x:c>
      <x:c r="C496" s="37" t="str">
        <x:v>DFGTAOT</x:v>
      </x:c>
      <x:c r="D496" s="37" t="str">
        <x:v>DFGTAO</x:v>
      </x:c>
      <x:c r="E496" s="37" t="n">
        <x:v>12</x:v>
      </x:c>
      <x:c r="F496" s="37" t="n">
        <x:v>13000</x:v>
      </x:c>
      <x:c r="G496" s="37" t="str">
        <x:v>g</x:v>
      </x:c>
      <x:c r="H496" s="37" t="str">
        <x:v>THÙNG</x:v>
      </x:c>
      <x:c r="I496" s="59" t="n">
        <x:v>702000</x:v>
      </x:c>
      <x:c r="J496" s="59" t="n">
        <x:v>0</x:v>
      </x:c>
      <x:c r="K496" s="83" t="n">
        <x:v>0</x:v>
      </x:c>
    </x:row>
    <x:row r="497">
      <x:c r="A497" s="71" t="str">
        <x:v>DINGFONG SOCOLA - THÙNG</x:v>
      </x:c>
      <x:c r="B497" s="37" t="str">
        <x:v>DFGSCLT</x:v>
      </x:c>
      <x:c r="C497" s="37" t="str">
        <x:v>DFGSCLT</x:v>
      </x:c>
      <x:c r="D497" s="37" t="str">
        <x:v>DFGSCL</x:v>
      </x:c>
      <x:c r="E497" s="37" t="n">
        <x:v>12</x:v>
      </x:c>
      <x:c r="F497" s="37" t="n">
        <x:v>13000</x:v>
      </x:c>
      <x:c r="G497" s="37" t="str">
        <x:v>g</x:v>
      </x:c>
      <x:c r="H497" s="37" t="str">
        <x:v>THÙNG</x:v>
      </x:c>
      <x:c r="I497" s="59" t="n">
        <x:v>702000</x:v>
      </x:c>
      <x:c r="J497" s="59" t="n">
        <x:v>0</x:v>
      </x:c>
      <x:c r="K497" s="83" t="n">
        <x:v>0</x:v>
      </x:c>
    </x:row>
    <x:row r="498">
      <x:c r="A498" s="71" t="str">
        <x:v>DINGFONG NHO - THÙNG</x:v>
      </x:c>
      <x:c r="B498" s="37" t="str">
        <x:v>DFGNHOT</x:v>
      </x:c>
      <x:c r="C498" s="37" t="str">
        <x:v>DFGNHOT</x:v>
      </x:c>
      <x:c r="D498" s="37" t="str">
        <x:v>DFGNHO</x:v>
      </x:c>
      <x:c r="E498" s="37" t="n">
        <x:v>12</x:v>
      </x:c>
      <x:c r="F498" s="37" t="n">
        <x:v>13000</x:v>
      </x:c>
      <x:c r="G498" s="37" t="str">
        <x:v>g</x:v>
      </x:c>
      <x:c r="H498" s="37" t="str">
        <x:v>THÙNG</x:v>
      </x:c>
      <x:c r="I498" s="59" t="n">
        <x:v>702000</x:v>
      </x:c>
      <x:c r="J498" s="59" t="n">
        <x:v>0</x:v>
      </x:c>
      <x:c r="K498" s="83" t="n">
        <x:v>0</x:v>
      </x:c>
    </x:row>
    <x:row r="499">
      <x:c r="A499" s="71" t="str">
        <x:v>DINGFONG KIWI - THÙNG</x:v>
      </x:c>
      <x:c r="B499" s="37" t="str">
        <x:v>DFGKWIT</x:v>
      </x:c>
      <x:c r="C499" s="37" t="str">
        <x:v>DFGKWIT</x:v>
      </x:c>
      <x:c r="D499" s="37" t="str">
        <x:v>DFGKWI</x:v>
      </x:c>
      <x:c r="E499" s="37" t="n">
        <x:v>12</x:v>
      </x:c>
      <x:c r="F499" s="37" t="n">
        <x:v>13000</x:v>
      </x:c>
      <x:c r="G499" s="37" t="str">
        <x:v>g</x:v>
      </x:c>
      <x:c r="H499" s="37" t="str">
        <x:v>THÙNG</x:v>
      </x:c>
      <x:c r="I499" s="59" t="n">
        <x:v>702000</x:v>
      </x:c>
      <x:c r="J499" s="59" t="n">
        <x:v>0</x:v>
      </x:c>
      <x:c r="K499" s="83" t="n">
        <x:v>0</x:v>
      </x:c>
    </x:row>
    <x:row r="500">
      <x:c r="A500" s="71" t="str">
        <x:v>DINGFONG ĐÀO - THÙNG</x:v>
      </x:c>
      <x:c r="B500" s="37" t="str">
        <x:v>DFGDAOT</x:v>
      </x:c>
      <x:c r="C500" s="37" t="str">
        <x:v>DFGDAOT</x:v>
      </x:c>
      <x:c r="D500" s="37" t="str">
        <x:v>DFGDAO</x:v>
      </x:c>
      <x:c r="E500" s="37" t="n">
        <x:v>12</x:v>
      </x:c>
      <x:c r="F500" s="37" t="n">
        <x:v>13000</x:v>
      </x:c>
      <x:c r="G500" s="37" t="str">
        <x:v>g</x:v>
      </x:c>
      <x:c r="H500" s="37" t="str">
        <x:v>THÙNG</x:v>
      </x:c>
      <x:c r="I500" s="59" t="n">
        <x:v>702000</x:v>
      </x:c>
      <x:c r="J500" s="59" t="n">
        <x:v>0</x:v>
      </x:c>
      <x:c r="K500" s="83" t="n">
        <x:v>0</x:v>
      </x:c>
    </x:row>
    <x:row r="501">
      <x:c r="A501" s="71" t="str">
        <x:v>DINGFONG DƯA LƯỚI - THÙNG</x:v>
      </x:c>
      <x:c r="B501" s="37" t="str">
        <x:v>DFGDLUT</x:v>
      </x:c>
      <x:c r="C501" s="37" t="str">
        <x:v>DFGDLUT</x:v>
      </x:c>
      <x:c r="D501" s="37" t="str">
        <x:v>DFGDLU</x:v>
      </x:c>
      <x:c r="E501" s="37" t="n">
        <x:v>12</x:v>
      </x:c>
      <x:c r="F501" s="37" t="n">
        <x:v>13000</x:v>
      </x:c>
      <x:c r="G501" s="37" t="str">
        <x:v>g</x:v>
      </x:c>
      <x:c r="H501" s="37" t="str">
        <x:v>THÙNG</x:v>
      </x:c>
      <x:c r="I501" s="59" t="n">
        <x:v>702000</x:v>
      </x:c>
      <x:c r="J501" s="59" t="n">
        <x:v>0</x:v>
      </x:c>
      <x:c r="K501" s="83" t="n">
        <x:v>0</x:v>
      </x:c>
    </x:row>
    <x:row r="502">
      <x:c r="A502" s="71" t="str">
        <x:v>DINGFONG DÂU - THÙNG</x:v>
      </x:c>
      <x:c r="B502" s="37" t="str">
        <x:v>DFGDAUT</x:v>
      </x:c>
      <x:c r="C502" s="37" t="str">
        <x:v>DFGDAUT</x:v>
      </x:c>
      <x:c r="D502" s="37" t="str">
        <x:v>DFGDAU</x:v>
      </x:c>
      <x:c r="E502" s="37" t="n">
        <x:v>12</x:v>
      </x:c>
      <x:c r="F502" s="37" t="n">
        <x:v>13000</x:v>
      </x:c>
      <x:c r="G502" s="37" t="str">
        <x:v>g</x:v>
      </x:c>
      <x:c r="H502" s="37" t="str">
        <x:v>THÙNG</x:v>
      </x:c>
      <x:c r="I502" s="59" t="n">
        <x:v>702000</x:v>
      </x:c>
      <x:c r="J502" s="59" t="n">
        <x:v>0</x:v>
      </x:c>
      <x:c r="K502" s="83" t="n">
        <x:v>0</x:v>
      </x:c>
    </x:row>
    <x:row r="503">
      <x:c r="A503" s="71" t="str">
        <x:v>DINGFONG CHANH DÂY - THÙNG</x:v>
      </x:c>
      <x:c r="B503" s="37" t="str">
        <x:v>DFGCDAT</x:v>
      </x:c>
      <x:c r="C503" s="37" t="str">
        <x:v>DFGCDAT</x:v>
      </x:c>
      <x:c r="D503" s="37" t="str">
        <x:v>DFGCDA</x:v>
      </x:c>
      <x:c r="E503" s="37" t="n">
        <x:v>12</x:v>
      </x:c>
      <x:c r="F503" s="37" t="n">
        <x:v>13000</x:v>
      </x:c>
      <x:c r="G503" s="37" t="str">
        <x:v>g</x:v>
      </x:c>
      <x:c r="H503" s="37" t="str">
        <x:v>THÙNG</x:v>
      </x:c>
      <x:c r="I503" s="59" t="n">
        <x:v>702000</x:v>
      </x:c>
      <x:c r="J503" s="59" t="n">
        <x:v>0</x:v>
      </x:c>
      <x:c r="K503" s="83" t="n">
        <x:v>0</x:v>
      </x:c>
    </x:row>
    <x:row r="504">
      <x:c r="A504" s="71" t="str">
        <x:v>DINGFONG CAM - THÙNG</x:v>
      </x:c>
      <x:c r="B504" s="37" t="str">
        <x:v>DFGCAMT</x:v>
      </x:c>
      <x:c r="C504" s="37" t="str">
        <x:v>DFGCAMT</x:v>
      </x:c>
      <x:c r="D504" s="37" t="str">
        <x:v>DFGCAM</x:v>
      </x:c>
      <x:c r="E504" s="37" t="n">
        <x:v>12</x:v>
      </x:c>
      <x:c r="F504" s="37" t="n">
        <x:v>13000</x:v>
      </x:c>
      <x:c r="G504" s="37" t="str">
        <x:v>g</x:v>
      </x:c>
      <x:c r="H504" s="37" t="str">
        <x:v>THÙNG</x:v>
      </x:c>
      <x:c r="I504" s="59" t="n">
        <x:v>702000</x:v>
      </x:c>
      <x:c r="J504" s="59" t="n">
        <x:v>0</x:v>
      </x:c>
      <x:c r="K504" s="83" t="n">
        <x:v>0</x:v>
      </x:c>
    </x:row>
    <x:row r="505">
      <x:c r="A505" s="71" t="str">
        <x:v>DINGFONG BLUE - THÙNG</x:v>
      </x:c>
      <x:c r="B505" s="37" t="str">
        <x:v>DFGBLUT</x:v>
      </x:c>
      <x:c r="C505" s="37" t="str">
        <x:v>DFGBLUT</x:v>
      </x:c>
      <x:c r="D505" s="37" t="str">
        <x:v>DFGBLU</x:v>
      </x:c>
      <x:c r="E505" s="37" t="n">
        <x:v>12</x:v>
      </x:c>
      <x:c r="F505" s="37" t="n">
        <x:v>13000</x:v>
      </x:c>
      <x:c r="G505" s="37" t="str">
        <x:v>g</x:v>
      </x:c>
      <x:c r="H505" s="37" t="str">
        <x:v>THÙNG</x:v>
      </x:c>
      <x:c r="I505" s="59" t="n">
        <x:v>702000</x:v>
      </x:c>
      <x:c r="J505" s="59" t="n">
        <x:v>0</x:v>
      </x:c>
      <x:c r="K505" s="83" t="n">
        <x:v>0</x:v>
      </x:c>
    </x:row>
    <x:row r="506">
      <x:c r="A506" s="71" t="str">
        <x:v>DINGFONG BẠC HÀ - THÙNG</x:v>
      </x:c>
      <x:c r="B506" s="37" t="str">
        <x:v>DFGBHAT</x:v>
      </x:c>
      <x:c r="C506" s="37" t="str">
        <x:v>DFGBHAT</x:v>
      </x:c>
      <x:c r="D506" s="37" t="str">
        <x:v>DFGBHA</x:v>
      </x:c>
      <x:c r="E506" s="37" t="n">
        <x:v>12</x:v>
      </x:c>
      <x:c r="F506" s="37" t="n">
        <x:v>13000</x:v>
      </x:c>
      <x:c r="G506" s="37" t="str">
        <x:v>g</x:v>
      </x:c>
      <x:c r="H506" s="37" t="str">
        <x:v>THÙNG</x:v>
      </x:c>
      <x:c r="I506" s="59" t="n">
        <x:v>702000</x:v>
      </x:c>
      <x:c r="J506" s="59" t="n">
        <x:v>0</x:v>
      </x:c>
      <x:c r="K506" s="83" t="n">
        <x:v>0</x:v>
      </x:c>
    </x:row>
    <x:row r="507">
      <x:c r="A507" s="71" t="str">
        <x:v>DINGFONG DƯA HẤU - THÙNG</x:v>
      </x:c>
      <x:c r="B507" s="37" t="str">
        <x:v>DFGDHAT</x:v>
      </x:c>
      <x:c r="C507" s="37" t="str">
        <x:v>DFGDHAT</x:v>
      </x:c>
      <x:c r="D507" s="37" t="str">
        <x:v>DFGDHA</x:v>
      </x:c>
      <x:c r="E507" s="37" t="n">
        <x:v>12</x:v>
      </x:c>
      <x:c r="F507" s="37" t="n">
        <x:v>13000</x:v>
      </x:c>
      <x:c r="G507" s="37" t="str">
        <x:v>g</x:v>
      </x:c>
      <x:c r="H507" s="37" t="str">
        <x:v>THÙNG</x:v>
      </x:c>
      <x:c r="I507" s="59" t="n">
        <x:v>702000</x:v>
      </x:c>
      <x:c r="J507" s="59" t="n">
        <x:v>0</x:v>
      </x:c>
      <x:c r="K507" s="83" t="n">
        <x:v>0</x:v>
      </x:c>
    </x:row>
    <x:row r="508">
      <x:c r="A508" s="71" t="str">
        <x:v>GTP DÂU - THÙNG</x:v>
      </x:c>
      <x:c r="B508" s="37" t="str">
        <x:v>GTPDAUT</x:v>
      </x:c>
      <x:c r="C508" s="37" t="str">
        <x:v>GTPDAUT</x:v>
      </x:c>
      <x:c r="D508" s="37" t="str">
        <x:v>GTPDAU</x:v>
      </x:c>
      <x:c r="E508" s="37" t="n">
        <x:v>6</x:v>
      </x:c>
      <x:c r="F508" s="37" t="n">
        <x:v>16000</x:v>
      </x:c>
      <x:c r="G508" s="37" t="str">
        <x:v>g</x:v>
      </x:c>
      <x:c r="H508" s="37" t="str">
        <x:v>THÙNG</x:v>
      </x:c>
      <x:c r="I508" s="59" t="n">
        <x:v>0</x:v>
      </x:c>
      <x:c r="J508" s="59" t="n">
        <x:v>0</x:v>
      </x:c>
      <x:c r="K508" s="83" t="n">
        <x:v>0</x:v>
      </x:c>
    </x:row>
    <x:row r="509">
      <x:c r="A509" s="71" t="str">
        <x:v>GTP CHANH DÂY - THÙNG</x:v>
      </x:c>
      <x:c r="B509" s="37" t="str">
        <x:v>GTPCDAT</x:v>
      </x:c>
      <x:c r="C509" s="37" t="str">
        <x:v>GTPCDAT</x:v>
      </x:c>
      <x:c r="D509" s="37" t="str">
        <x:v>GTPCDA</x:v>
      </x:c>
      <x:c r="E509" s="37" t="n">
        <x:v>6</x:v>
      </x:c>
      <x:c r="F509" s="37" t="n">
        <x:v>16000</x:v>
      </x:c>
      <x:c r="G509" s="37" t="str">
        <x:v>g</x:v>
      </x:c>
      <x:c r="H509" s="37" t="str">
        <x:v>THÙNG</x:v>
      </x:c>
      <x:c r="I509" s="59" t="n">
        <x:v>0</x:v>
      </x:c>
      <x:c r="J509" s="59" t="n">
        <x:v>834000</x:v>
      </x:c>
      <x:c r="K509" s="83" t="n">
        <x:v>0</x:v>
      </x:c>
    </x:row>
    <x:row r="510">
      <x:c r="A510" s="71" t="str">
        <x:v>CHANG THÁI VIỆT QUỐC - THÙNG</x:v>
      </x:c>
      <x:c r="B510" s="37" t="str">
        <x:v>CTHVQUT</x:v>
      </x:c>
      <x:c r="C510" s="37" t="str">
        <x:v>CTHVQUT</x:v>
      </x:c>
      <x:c r="D510" s="37" t="str">
        <x:v>CTHVQU</x:v>
      </x:c>
      <x:c r="E510" s="37" t="n">
        <x:v>12</x:v>
      </x:c>
      <x:c r="F510" s="37" t="n">
        <x:v>16000</x:v>
      </x:c>
      <x:c r="G510" s="37" t="str">
        <x:v>g</x:v>
      </x:c>
      <x:c r="H510" s="37" t="str">
        <x:v>THÙNG</x:v>
      </x:c>
      <x:c r="I510" s="59" t="n">
        <x:v>0</x:v>
      </x:c>
      <x:c r="J510" s="59" t="n">
        <x:v>0</x:v>
      </x:c>
      <x:c r="K510" s="83" t="n">
        <x:v>0</x:v>
      </x:c>
    </x:row>
    <x:row r="511">
      <x:c r="A511" s="71" t="str">
        <x:v>CHANG THÁI VẢI - THÙNG</x:v>
      </x:c>
      <x:c r="B511" s="37" t="str">
        <x:v>CTHVAIT</x:v>
      </x:c>
      <x:c r="C511" s="37" t="str">
        <x:v>CTHVAIT</x:v>
      </x:c>
      <x:c r="D511" s="37" t="str">
        <x:v>CTHVAI</x:v>
      </x:c>
      <x:c r="E511" s="37" t="n">
        <x:v>12</x:v>
      </x:c>
      <x:c r="F511" s="37" t="n">
        <x:v>16000</x:v>
      </x:c>
      <x:c r="G511" s="37" t="str">
        <x:v>g</x:v>
      </x:c>
      <x:c r="H511" s="37" t="str">
        <x:v>THÙNG</x:v>
      </x:c>
      <x:c r="I511" s="59" t="n">
        <x:v>0</x:v>
      </x:c>
      <x:c r="J511" s="59" t="n">
        <x:v>0</x:v>
      </x:c>
      <x:c r="K511" s="83" t="n">
        <x:v>0</x:v>
      </x:c>
    </x:row>
    <x:row r="512">
      <x:c r="A512" s="71" t="str">
        <x:v>CHANG THÁI ỔI - THÙNG</x:v>
      </x:c>
      <x:c r="B512" s="37" t="str">
        <x:v>CTHOIHT</x:v>
      </x:c>
      <x:c r="C512" s="37" t="str">
        <x:v>CTHOIHT</x:v>
      </x:c>
      <x:c r="D512" s="37" t="str">
        <x:v>CTHOIH</x:v>
      </x:c>
      <x:c r="E512" s="37" t="n">
        <x:v>12</x:v>
      </x:c>
      <x:c r="F512" s="37" t="n">
        <x:v>16000</x:v>
      </x:c>
      <x:c r="G512" s="37" t="str">
        <x:v>g</x:v>
      </x:c>
      <x:c r="H512" s="37" t="str">
        <x:v>THÙNG</x:v>
      </x:c>
      <x:c r="I512" s="59" t="n">
        <x:v>0</x:v>
      </x:c>
      <x:c r="J512" s="59" t="n">
        <x:v>0</x:v>
      </x:c>
      <x:c r="K512" s="83" t="n">
        <x:v>0</x:v>
      </x:c>
    </x:row>
    <x:row r="513">
      <x:c r="A513" s="71" t="str">
        <x:v>CHANG THÁI MÔN - THÙNG</x:v>
      </x:c>
      <x:c r="B513" s="37" t="str">
        <x:v>CTHMONT</x:v>
      </x:c>
      <x:c r="C513" s="37" t="str">
        <x:v>CTHMONT</x:v>
      </x:c>
      <x:c r="D513" s="37" t="str">
        <x:v>CTHMON</x:v>
      </x:c>
      <x:c r="E513" s="37" t="n">
        <x:v>12</x:v>
      </x:c>
      <x:c r="F513" s="37" t="n">
        <x:v>16000</x:v>
      </x:c>
      <x:c r="G513" s="37" t="str">
        <x:v>g</x:v>
      </x:c>
      <x:c r="H513" s="37" t="str">
        <x:v>THÙNG</x:v>
      </x:c>
      <x:c r="I513" s="59" t="n">
        <x:v>0</x:v>
      </x:c>
      <x:c r="J513" s="59" t="n">
        <x:v>0</x:v>
      </x:c>
      <x:c r="K513" s="83" t="n">
        <x:v>0</x:v>
      </x:c>
    </x:row>
    <x:row r="514">
      <x:c r="A514" s="71" t="str">
        <x:v>CHANG THÁI MÃNG CẦU - THÙNG</x:v>
      </x:c>
      <x:c r="B514" s="37" t="str">
        <x:v>CTHMCAT</x:v>
      </x:c>
      <x:c r="C514" s="37" t="str">
        <x:v>CTHMCAT</x:v>
      </x:c>
      <x:c r="D514" s="37" t="str">
        <x:v>CTHMCA</x:v>
      </x:c>
      <x:c r="E514" s="37" t="n">
        <x:v>12</x:v>
      </x:c>
      <x:c r="F514" s="37" t="n">
        <x:v>16000</x:v>
      </x:c>
      <x:c r="G514" s="37" t="str">
        <x:v>g</x:v>
      </x:c>
      <x:c r="H514" s="37" t="str">
        <x:v>THÙNG</x:v>
      </x:c>
      <x:c r="I514" s="59" t="n">
        <x:v>0</x:v>
      </x:c>
      <x:c r="J514" s="59" t="n">
        <x:v>0</x:v>
      </x:c>
      <x:c r="K514" s="83" t="n">
        <x:v>0</x:v>
      </x:c>
    </x:row>
    <x:row r="515">
      <x:c r="A515" s="71" t="str">
        <x:v>CHANG THÁI ĐÀO - THÙNG</x:v>
      </x:c>
      <x:c r="B515" s="37" t="str">
        <x:v>CTHDAOT</x:v>
      </x:c>
      <x:c r="C515" s="37" t="str">
        <x:v>CTHDAOT</x:v>
      </x:c>
      <x:c r="D515" s="37" t="str">
        <x:v>CTHDAO</x:v>
      </x:c>
      <x:c r="E515" s="37" t="n">
        <x:v>12</x:v>
      </x:c>
      <x:c r="F515" s="37" t="n">
        <x:v>16000</x:v>
      </x:c>
      <x:c r="G515" s="37" t="str">
        <x:v>g</x:v>
      </x:c>
      <x:c r="H515" s="37" t="str">
        <x:v>THÙNG</x:v>
      </x:c>
      <x:c r="I515" s="59" t="n">
        <x:v>0</x:v>
      </x:c>
      <x:c r="J515" s="59" t="n">
        <x:v>0</x:v>
      </x:c>
      <x:c r="K515" s="83" t="n">
        <x:v>0</x:v>
      </x:c>
    </x:row>
    <x:row r="516">
      <x:c r="A516" s="71" t="str">
        <x:v>CHANG THÁI DÂU - THÙNG</x:v>
      </x:c>
      <x:c r="B516" s="37" t="str">
        <x:v>CTHDAUT</x:v>
      </x:c>
      <x:c r="C516" s="37" t="str">
        <x:v>CTHDAUT</x:v>
      </x:c>
      <x:c r="D516" s="37" t="str">
        <x:v>CTHDAU</x:v>
      </x:c>
      <x:c r="E516" s="37" t="n">
        <x:v>12</x:v>
      </x:c>
      <x:c r="F516" s="37" t="n">
        <x:v>16000</x:v>
      </x:c>
      <x:c r="G516" s="37" t="str">
        <x:v>g</x:v>
      </x:c>
      <x:c r="H516" s="37" t="str">
        <x:v>THÙNG</x:v>
      </x:c>
      <x:c r="I516" s="59" t="n">
        <x:v>0</x:v>
      </x:c>
      <x:c r="J516" s="59" t="n">
        <x:v>0</x:v>
      </x:c>
      <x:c r="K516" s="83" t="n">
        <x:v>0</x:v>
      </x:c>
    </x:row>
    <x:row r="517">
      <x:c r="A517" s="71" t="str">
        <x:v>CHANG THÁI BLUE - THÙNG</x:v>
      </x:c>
      <x:c r="B517" s="37" t="str">
        <x:v>CTHBLUT</x:v>
      </x:c>
      <x:c r="C517" s="37" t="str">
        <x:v>CTHBLUT</x:v>
      </x:c>
      <x:c r="D517" s="37" t="str">
        <x:v>CTHBLU</x:v>
      </x:c>
      <x:c r="E517" s="37" t="n">
        <x:v>12</x:v>
      </x:c>
      <x:c r="F517" s="37" t="n">
        <x:v>16000</x:v>
      </x:c>
      <x:c r="G517" s="37" t="str">
        <x:v>g</x:v>
      </x:c>
      <x:c r="H517" s="37" t="str">
        <x:v>THÙNG</x:v>
      </x:c>
      <x:c r="I517" s="59" t="n">
        <x:v>0</x:v>
      </x:c>
      <x:c r="J517" s="59" t="n">
        <x:v>0</x:v>
      </x:c>
      <x:c r="K517" s="83" t="n">
        <x:v>0</x:v>
      </x:c>
    </x:row>
    <x:row r="518">
      <x:c r="A518" s="71" t="str">
        <x:v>HẠT NỔ HỒNG DAKA - THÙNG</x:v>
      </x:c>
      <x:c r="B518" s="37" t="str">
        <x:v>NOHGDKT</x:v>
      </x:c>
      <x:c r="C518" s="37" t="str">
        <x:v>NOHGDKT</x:v>
      </x:c>
      <x:c r="D518" s="37" t="str">
        <x:v>NOHGDK</x:v>
      </x:c>
      <x:c r="E518" s="37" t="n">
        <x:v>12</x:v>
      </x:c>
      <x:c r="F518" s="37" t="n">
        <x:v>12000</x:v>
      </x:c>
      <x:c r="G518" s="37" t="str">
        <x:v>g</x:v>
      </x:c>
      <x:c r="H518" s="37" t="str">
        <x:v>THÙNG</x:v>
      </x:c>
      <x:c r="I518" s="59" t="n">
        <x:v>0</x:v>
      </x:c>
      <x:c r="J518" s="59" t="n">
        <x:v>770000</x:v>
      </x:c>
      <x:c r="K518" s="83" t="n">
        <x:v>0</x:v>
      </x:c>
    </x:row>
    <x:row r="519">
      <x:c r="A519" s="71" t="str">
        <x:v>CỐT DỪA HỘP 1L CHAOKO - THÙNG</x:v>
      </x:c>
      <x:c r="B519" s="37" t="str">
        <x:v>CDCHKOT</x:v>
      </x:c>
      <x:c r="C519" s="37" t="str">
        <x:v>CDCHKOT</x:v>
      </x:c>
      <x:c r="D519" s="37" t="str">
        <x:v>CDCHKO</x:v>
      </x:c>
      <x:c r="E519" s="37" t="n">
        <x:v>12</x:v>
      </x:c>
      <x:c r="F519" s="37" t="n">
        <x:v>13000</x:v>
      </x:c>
      <x:c r="G519" s="37" t="str">
        <x:v>g</x:v>
      </x:c>
      <x:c r="H519" s="37" t="str">
        <x:v>THÙNG</x:v>
      </x:c>
      <x:c r="I519" s="59" t="n">
        <x:v>0</x:v>
      </x:c>
      <x:c r="J519" s="59" t="n">
        <x:v>850000</x:v>
      </x:c>
      <x:c r="K519" s="83" t="n">
        <x:v>0</x:v>
      </x:c>
    </x:row>
    <x:row r="520">
      <x:c r="A520" s="71" t="str">
        <x:v>CỐT BÍ ĐAO WONDERFUL - THÙNG</x:v>
      </x:c>
      <x:c r="B520" s="37" t="str">
        <x:v>CBDWDFT</x:v>
      </x:c>
      <x:c r="C520" s="37" t="str">
        <x:v>CBDWDFT</x:v>
      </x:c>
      <x:c r="D520" s="37" t="str">
        <x:v>CBDWDF</x:v>
      </x:c>
      <x:c r="E520" s="37" t="n">
        <x:v>30</x:v>
      </x:c>
      <x:c r="F520" s="37" t="n">
        <x:v>18000</x:v>
      </x:c>
      <x:c r="G520" s="37" t="str">
        <x:v>g</x:v>
      </x:c>
      <x:c r="H520" s="37" t="str">
        <x:v>THÙNG</x:v>
      </x:c>
      <x:c r="I520" s="59" t="n">
        <x:v>0</x:v>
      </x:c>
      <x:c r="J520" s="59" t="n">
        <x:v>0</x:v>
      </x:c>
      <x:c r="K520" s="83" t="n">
        <x:v>0</x:v>
      </x:c>
    </x:row>
    <x:row r="521">
      <x:c r="A521" s="71" t="str">
        <x:v>COZY HOÀ TAN VẢI - THÙNG</x:v>
      </x:c>
      <x:c r="B521" s="37" t="str">
        <x:v>COHTVAT</x:v>
      </x:c>
      <x:c r="C521" s="37" t="str">
        <x:v>COHTVAT</x:v>
      </x:c>
      <x:c r="D521" s="37" t="str">
        <x:v>COHTVA</x:v>
      </x:c>
      <x:c r="E521" s="37" t="n">
        <x:v>30</x:v>
      </x:c>
      <x:c r="F521" s="37" t="n">
        <x:v>10000</x:v>
      </x:c>
      <x:c r="G521" s="37" t="str">
        <x:v>g</x:v>
      </x:c>
      <x:c r="H521" s="37" t="str">
        <x:v>THÙNG</x:v>
      </x:c>
      <x:c r="I521" s="59" t="n">
        <x:v>0</x:v>
      </x:c>
      <x:c r="J521" s="59" t="n">
        <x:v>0</x:v>
      </x:c>
      <x:c r="K521" s="83" t="n">
        <x:v>0</x:v>
      </x:c>
    </x:row>
    <x:row r="522">
      <x:c r="A522" s="71" t="str">
        <x:v>COZY HOÀ TAN ỔI - THÙNG</x:v>
      </x:c>
      <x:c r="B522" s="37" t="str">
        <x:v>COHTOIT</x:v>
      </x:c>
      <x:c r="C522" s="37" t="str">
        <x:v>COHTOIT</x:v>
      </x:c>
      <x:c r="D522" s="37" t="str">
        <x:v>COHTOI</x:v>
      </x:c>
      <x:c r="E522" s="37" t="n">
        <x:v>30</x:v>
      </x:c>
      <x:c r="F522" s="37" t="n">
        <x:v>10000</x:v>
      </x:c>
      <x:c r="G522" s="37" t="str">
        <x:v>g</x:v>
      </x:c>
      <x:c r="H522" s="37" t="str">
        <x:v>THÙNG</x:v>
      </x:c>
      <x:c r="I522" s="59" t="n">
        <x:v>0</x:v>
      </x:c>
      <x:c r="J522" s="59" t="n">
        <x:v>0</x:v>
      </x:c>
      <x:c r="K522" s="83" t="n">
        <x:v>0</x:v>
      </x:c>
    </x:row>
    <x:row r="523">
      <x:c r="A523" s="71" t="str">
        <x:v>COZY HOÀ TAN ĐÀO - THÙNG</x:v>
      </x:c>
      <x:c r="B523" s="37" t="str">
        <x:v>COHTDOT</x:v>
      </x:c>
      <x:c r="C523" s="37" t="str">
        <x:v>COHTDOT</x:v>
      </x:c>
      <x:c r="D523" s="37" t="str">
        <x:v>COHTDO</x:v>
      </x:c>
      <x:c r="E523" s="37" t="n">
        <x:v>30</x:v>
      </x:c>
      <x:c r="F523" s="37" t="n">
        <x:v>10000</x:v>
      </x:c>
      <x:c r="G523" s="37" t="str">
        <x:v>g</x:v>
      </x:c>
      <x:c r="H523" s="37" t="str">
        <x:v>THÙNG</x:v>
      </x:c>
      <x:c r="I523" s="59" t="n">
        <x:v>0</x:v>
      </x:c>
      <x:c r="J523" s="59" t="n">
        <x:v>0</x:v>
      </x:c>
      <x:c r="K523" s="83" t="n">
        <x:v>0</x:v>
      </x:c>
    </x:row>
    <x:row r="524">
      <x:c r="A524" s="71" t="str">
        <x:v>COZY HOÀ TAN DÂU - THÙNG</x:v>
      </x:c>
      <x:c r="B524" s="37" t="str">
        <x:v>COHTDAT</x:v>
      </x:c>
      <x:c r="C524" s="37" t="str">
        <x:v>COHTDAT</x:v>
      </x:c>
      <x:c r="D524" s="37" t="str">
        <x:v>COHTDA</x:v>
      </x:c>
      <x:c r="E524" s="37" t="n">
        <x:v>30</x:v>
      </x:c>
      <x:c r="F524" s="37" t="n">
        <x:v>10000</x:v>
      </x:c>
      <x:c r="G524" s="37" t="str">
        <x:v>g</x:v>
      </x:c>
      <x:c r="H524" s="37" t="str">
        <x:v>THÙNG</x:v>
      </x:c>
      <x:c r="I524" s="59" t="n">
        <x:v>0</x:v>
      </x:c>
      <x:c r="J524" s="59" t="n">
        <x:v>0</x:v>
      </x:c>
      <x:c r="K524" s="83" t="n">
        <x:v>0</x:v>
      </x:c>
    </x:row>
    <x:row r="525">
      <x:c r="A525" s="71" t="str">
        <x:v>COZY HOÀ TAN CHANH - THÙNG</x:v>
      </x:c>
      <x:c r="B525" s="37" t="str">
        <x:v>COHTCHT</x:v>
      </x:c>
      <x:c r="C525" s="37" t="str">
        <x:v>COHTCHT</x:v>
      </x:c>
      <x:c r="D525" s="37" t="str">
        <x:v>COHTCH</x:v>
      </x:c>
      <x:c r="E525" s="37" t="n">
        <x:v>30</x:v>
      </x:c>
      <x:c r="F525" s="37" t="n">
        <x:v>10000</x:v>
      </x:c>
      <x:c r="G525" s="37" t="str">
        <x:v>g</x:v>
      </x:c>
      <x:c r="H525" s="37" t="str">
        <x:v>THÙNG</x:v>
      </x:c>
      <x:c r="I525" s="59" t="n">
        <x:v>0</x:v>
      </x:c>
      <x:c r="J525" s="59" t="n">
        <x:v>0</x:v>
      </x:c>
      <x:c r="K525" s="83" t="n">
        <x:v>0</x:v>
      </x:c>
    </x:row>
    <x:row r="526">
      <x:c r="A526" s="71" t="str">
        <x:v>COZY HOÀ TAN CHANH DÂY - THÙNG</x:v>
      </x:c>
      <x:c r="B526" s="37" t="str">
        <x:v>COHTCDT</x:v>
      </x:c>
      <x:c r="C526" s="37" t="str">
        <x:v>COHTCDT</x:v>
      </x:c>
      <x:c r="D526" s="37" t="str">
        <x:v>COHTCD</x:v>
      </x:c>
      <x:c r="E526" s="37" t="n">
        <x:v>30</x:v>
      </x:c>
      <x:c r="F526" s="37" t="n">
        <x:v>10000</x:v>
      </x:c>
      <x:c r="G526" s="37" t="str">
        <x:v>g</x:v>
      </x:c>
      <x:c r="H526" s="37" t="str">
        <x:v>THÙNG</x:v>
      </x:c>
      <x:c r="I526" s="59" t="n">
        <x:v>0</x:v>
      </x:c>
      <x:c r="J526" s="59" t="n">
        <x:v>0</x:v>
      </x:c>
      <x:c r="K526" s="83" t="n">
        <x:v>0</x:v>
      </x:c>
    </x:row>
    <x:row r="527">
      <x:c r="A527" s="71" t="str">
        <x:v>CARISA CHANH - THÙNG</x:v>
      </x:c>
      <x:c r="B527" s="37" t="str">
        <x:v>CRSCHAT</x:v>
      </x:c>
      <x:c r="C527" s="37" t="str">
        <x:v>CRSCHAT</x:v>
      </x:c>
      <x:c r="D527" s="37" t="str">
        <x:v>CRSCHA</x:v>
      </x:c>
      <x:c r="E527" s="37" t="n">
        <x:v>30</x:v>
      </x:c>
      <x:c r="F527" s="37" t="n">
        <x:v>0</x:v>
      </x:c>
      <x:c r="G527" s="37" t="str">
        <x:v>g</x:v>
      </x:c>
      <x:c r="H527" s="37" t="str">
        <x:v>THÙNG</x:v>
      </x:c>
      <x:c r="I527" s="59" t="n">
        <x:v>0</x:v>
      </x:c>
      <x:c r="J527" s="59" t="n">
        <x:v>0</x:v>
      </x:c>
      <x:c r="K527" s="83" t="n">
        <x:v>0</x:v>
      </x:c>
    </x:row>
    <x:row r="528">
      <x:c r="A528" s="71" t="str">
        <x:v>CARISA VIỆT QUỐC - THÙNG</x:v>
      </x:c>
      <x:c r="B528" s="37" t="str">
        <x:v>CRSVQUT</x:v>
      </x:c>
      <x:c r="C528" s="37" t="str">
        <x:v>CRSVQUT</x:v>
      </x:c>
      <x:c r="D528" s="37" t="str">
        <x:v>CRSVQU</x:v>
      </x:c>
      <x:c r="E528" s="37" t="n">
        <x:v>24</x:v>
      </x:c>
      <x:c r="F528" s="37" t="n">
        <x:v>0</x:v>
      </x:c>
      <x:c r="G528" s="37" t="str">
        <x:v>g</x:v>
      </x:c>
      <x:c r="H528" s="37" t="str">
        <x:v>THÙNG</x:v>
      </x:c>
      <x:c r="I528" s="59" t="n">
        <x:v>0</x:v>
      </x:c>
      <x:c r="J528" s="59" t="n">
        <x:v>0</x:v>
      </x:c>
      <x:c r="K528" s="83" t="n">
        <x:v>0</x:v>
      </x:c>
    </x:row>
    <x:row r="529">
      <x:c r="A529" s="71" t="str">
        <x:v>CARISA VẢI - THÙNG</x:v>
      </x:c>
      <x:c r="B529" s="37" t="str">
        <x:v>CRSVAIT</x:v>
      </x:c>
      <x:c r="C529" s="37" t="str">
        <x:v>CRSVAIT</x:v>
      </x:c>
      <x:c r="D529" s="37" t="str">
        <x:v>CRSVAI</x:v>
      </x:c>
      <x:c r="E529" s="37" t="n">
        <x:v>24</x:v>
      </x:c>
      <x:c r="F529" s="37" t="n">
        <x:v>0</x:v>
      </x:c>
      <x:c r="G529" s="37" t="str">
        <x:v>g</x:v>
      </x:c>
      <x:c r="H529" s="37" t="str">
        <x:v>THÙNG</x:v>
      </x:c>
      <x:c r="I529" s="59" t="n">
        <x:v>0</x:v>
      </x:c>
      <x:c r="J529" s="59" t="n">
        <x:v>0</x:v>
      </x:c>
      <x:c r="K529" s="83" t="n">
        <x:v>0</x:v>
      </x:c>
    </x:row>
    <x:row r="530">
      <x:c r="A530" s="71" t="str">
        <x:v>CARISA SÂM DỨA - THÙNG</x:v>
      </x:c>
      <x:c r="B530" s="37" t="str">
        <x:v>CRSSDUT</x:v>
      </x:c>
      <x:c r="C530" s="37" t="str">
        <x:v>CRSSDUT</x:v>
      </x:c>
      <x:c r="D530" s="37" t="str">
        <x:v>CRSSDU</x:v>
      </x:c>
      <x:c r="E530" s="37" t="n">
        <x:v>24</x:v>
      </x:c>
      <x:c r="F530" s="37" t="n">
        <x:v>0</x:v>
      </x:c>
      <x:c r="G530" s="37" t="str">
        <x:v>g</x:v>
      </x:c>
      <x:c r="H530" s="37" t="str">
        <x:v>THÙNG</x:v>
      </x:c>
      <x:c r="I530" s="59" t="n">
        <x:v>0</x:v>
      </x:c>
      <x:c r="J530" s="59" t="n">
        <x:v>0</x:v>
      </x:c>
      <x:c r="K530" s="83" t="n">
        <x:v>0</x:v>
      </x:c>
    </x:row>
    <x:row r="531">
      <x:c r="A531" s="71" t="str">
        <x:v>CARISA ỔI - THÙNG</x:v>
      </x:c>
      <x:c r="B531" s="37" t="str">
        <x:v>CRSOIHT</x:v>
      </x:c>
      <x:c r="C531" s="37" t="str">
        <x:v>CRSOIHT</x:v>
      </x:c>
      <x:c r="D531" s="37" t="str">
        <x:v>CRSOIH</x:v>
      </x:c>
      <x:c r="E531" s="37" t="n">
        <x:v>24</x:v>
      </x:c>
      <x:c r="F531" s="37" t="n">
        <x:v>0</x:v>
      </x:c>
      <x:c r="G531" s="37" t="str">
        <x:v>g</x:v>
      </x:c>
      <x:c r="H531" s="37" t="str">
        <x:v>THÙNG</x:v>
      </x:c>
      <x:c r="I531" s="59" t="n">
        <x:v>0</x:v>
      </x:c>
      <x:c r="J531" s="59" t="n">
        <x:v>0</x:v>
      </x:c>
      <x:c r="K531" s="83" t="n">
        <x:v>0</x:v>
      </x:c>
    </x:row>
    <x:row r="532">
      <x:c r="A532" s="71" t="str">
        <x:v>CARISA MÔN - THÙNG</x:v>
      </x:c>
      <x:c r="B532" s="37" t="str">
        <x:v>CRSMONT</x:v>
      </x:c>
      <x:c r="C532" s="37" t="str">
        <x:v>CRSMONT</x:v>
      </x:c>
      <x:c r="D532" s="37" t="str">
        <x:v>CRSMON</x:v>
      </x:c>
      <x:c r="E532" s="37" t="n">
        <x:v>24</x:v>
      </x:c>
      <x:c r="F532" s="37" t="n">
        <x:v>0</x:v>
      </x:c>
      <x:c r="G532" s="37" t="str">
        <x:v>g</x:v>
      </x:c>
      <x:c r="H532" s="37" t="str">
        <x:v>THÙNG</x:v>
      </x:c>
      <x:c r="I532" s="59" t="n">
        <x:v>0</x:v>
      </x:c>
      <x:c r="J532" s="59" t="n">
        <x:v>0</x:v>
      </x:c>
      <x:c r="K532" s="83" t="n">
        <x:v>0</x:v>
      </x:c>
    </x:row>
    <x:row r="533">
      <x:c r="A533" s="71" t="str">
        <x:v>CARISA ME - THÙNG</x:v>
      </x:c>
      <x:c r="B533" s="37" t="str">
        <x:v>CRSMEET</x:v>
      </x:c>
      <x:c r="C533" s="37" t="str">
        <x:v>CRSMEET</x:v>
      </x:c>
      <x:c r="D533" s="37" t="str">
        <x:v>CRSMEE</x:v>
      </x:c>
      <x:c r="E533" s="37" t="n">
        <x:v>24</x:v>
      </x:c>
      <x:c r="F533" s="37" t="n">
        <x:v>0</x:v>
      </x:c>
      <x:c r="G533" s="37" t="str">
        <x:v>g</x:v>
      </x:c>
      <x:c r="H533" s="37" t="str">
        <x:v>THÙNG</x:v>
      </x:c>
      <x:c r="I533" s="59" t="n">
        <x:v>0</x:v>
      </x:c>
      <x:c r="J533" s="59" t="n">
        <x:v>0</x:v>
      </x:c>
      <x:c r="K533" s="83" t="n">
        <x:v>0</x:v>
      </x:c>
    </x:row>
    <x:row r="534">
      <x:c r="A534" s="71" t="str">
        <x:v>CARISA ĐÀO - THÙNG</x:v>
      </x:c>
      <x:c r="B534" s="37" t="str">
        <x:v>CRSDAOT</x:v>
      </x:c>
      <x:c r="C534" s="37" t="str">
        <x:v>CRSDAOT</x:v>
      </x:c>
      <x:c r="D534" s="37" t="str">
        <x:v>CRSDAO</x:v>
      </x:c>
      <x:c r="E534" s="37" t="n">
        <x:v>24</x:v>
      </x:c>
      <x:c r="F534" s="37" t="n">
        <x:v>0</x:v>
      </x:c>
      <x:c r="G534" s="37" t="str">
        <x:v>g</x:v>
      </x:c>
      <x:c r="H534" s="37" t="str">
        <x:v>THÙNG</x:v>
      </x:c>
      <x:c r="I534" s="59" t="n">
        <x:v>0</x:v>
      </x:c>
      <x:c r="J534" s="59" t="n">
        <x:v>0</x:v>
      </x:c>
      <x:c r="K534" s="83" t="n">
        <x:v>0</x:v>
      </x:c>
    </x:row>
    <x:row r="535">
      <x:c r="A535" s="71" t="str">
        <x:v>CARISA DƯA LƯỚI - THÙNG</x:v>
      </x:c>
      <x:c r="B535" s="37" t="str">
        <x:v>CRSDLUT</x:v>
      </x:c>
      <x:c r="C535" s="37" t="str">
        <x:v>CRSDLUT</x:v>
      </x:c>
      <x:c r="D535" s="37" t="str">
        <x:v>CRSDLU</x:v>
      </x:c>
      <x:c r="E535" s="37" t="n">
        <x:v>24</x:v>
      </x:c>
      <x:c r="F535" s="37" t="n">
        <x:v>0</x:v>
      </x:c>
      <x:c r="G535" s="37" t="str">
        <x:v>g</x:v>
      </x:c>
      <x:c r="H535" s="37" t="str">
        <x:v>THÙNG</x:v>
      </x:c>
      <x:c r="I535" s="59" t="n">
        <x:v>0</x:v>
      </x:c>
      <x:c r="J535" s="59" t="n">
        <x:v>0</x:v>
      </x:c>
      <x:c r="K535" s="83" t="n">
        <x:v>0</x:v>
      </x:c>
    </x:row>
    <x:row r="536">
      <x:c r="A536" s="71" t="str">
        <x:v>CARISA DÂU - THÙNG</x:v>
      </x:c>
      <x:c r="B536" s="37" t="str">
        <x:v>CRSDAUT</x:v>
      </x:c>
      <x:c r="C536" s="37" t="str">
        <x:v>CRSDAUT</x:v>
      </x:c>
      <x:c r="D536" s="37" t="str">
        <x:v>CRSDAU</x:v>
      </x:c>
      <x:c r="E536" s="37" t="n">
        <x:v>24</x:v>
      </x:c>
      <x:c r="F536" s="37" t="n">
        <x:v>0</x:v>
      </x:c>
      <x:c r="G536" s="37" t="str">
        <x:v>g</x:v>
      </x:c>
      <x:c r="H536" s="37" t="str">
        <x:v>THÙNG</x:v>
      </x:c>
      <x:c r="I536" s="59" t="n">
        <x:v>0</x:v>
      </x:c>
      <x:c r="J536" s="59" t="n">
        <x:v>0</x:v>
      </x:c>
      <x:c r="K536" s="83" t="n">
        <x:v>0</x:v>
      </x:c>
    </x:row>
    <x:row r="537">
      <x:c r="A537" s="71" t="str">
        <x:v>CARISA CAM - THÙNG</x:v>
      </x:c>
      <x:c r="B537" s="37" t="str">
        <x:v>CRSCAMT</x:v>
      </x:c>
      <x:c r="C537" s="37" t="str">
        <x:v>CRSCAMT</x:v>
      </x:c>
      <x:c r="D537" s="37" t="str">
        <x:v>CRSCAM</x:v>
      </x:c>
      <x:c r="E537" s="37" t="n">
        <x:v>24</x:v>
      </x:c>
      <x:c r="F537" s="37" t="n">
        <x:v>0</x:v>
      </x:c>
      <x:c r="G537" s="37" t="str">
        <x:v>g</x:v>
      </x:c>
      <x:c r="H537" s="37" t="str">
        <x:v>THÙNG</x:v>
      </x:c>
      <x:c r="I537" s="59" t="n">
        <x:v>0</x:v>
      </x:c>
      <x:c r="J537" s="59" t="n">
        <x:v>0</x:v>
      </x:c>
      <x:c r="K537" s="83" t="n">
        <x:v>0</x:v>
      </x:c>
    </x:row>
    <x:row r="538">
      <x:c r="A538" s="71" t="str">
        <x:v>CACAO MALAI - THÙNG</x:v>
      </x:c>
      <x:c r="B538" s="37" t="str">
        <x:v>CCMALAT</x:v>
      </x:c>
      <x:c r="C538" s="37" t="str">
        <x:v>CCMALAT</x:v>
      </x:c>
      <x:c r="D538" s="37" t="str">
        <x:v>CCMALA</x:v>
      </x:c>
      <x:c r="E538" s="37" t="n">
        <x:v>20</x:v>
      </x:c>
      <x:c r="F538" s="37" t="n">
        <x:v>10000</x:v>
      </x:c>
      <x:c r="G538" s="37" t="str">
        <x:v>g</x:v>
      </x:c>
      <x:c r="H538" s="37" t="str">
        <x:v>THÙNG</x:v>
      </x:c>
      <x:c r="I538" s="59" t="n">
        <x:v>0</x:v>
      </x:c>
      <x:c r="J538" s="59" t="n">
        <x:v>0</x:v>
      </x:c>
      <x:c r="K538" s="83" t="n">
        <x:v>0</x:v>
      </x:c>
    </x:row>
    <x:row r="539">
      <x:c r="A539" s="71" t="str">
        <x:v>CACAO LUAVE - THÙNG</x:v>
      </x:c>
      <x:c r="B539" s="37" t="str">
        <x:v>CCLUAVT</x:v>
      </x:c>
      <x:c r="C539" s="37" t="str">
        <x:v>CCLUAVT</x:v>
      </x:c>
      <x:c r="D539" s="37" t="str">
        <x:v>CCLUAV</x:v>
      </x:c>
      <x:c r="E539" s="37" t="n">
        <x:v>20</x:v>
      </x:c>
      <x:c r="F539" s="37" t="n">
        <x:v>11000</x:v>
      </x:c>
      <x:c r="G539" s="37" t="str">
        <x:v>g</x:v>
      </x:c>
      <x:c r="H539" s="37" t="str">
        <x:v>THÙNG</x:v>
      </x:c>
      <x:c r="I539" s="59" t="n">
        <x:v>0</x:v>
      </x:c>
      <x:c r="J539" s="59" t="n">
        <x:v>0</x:v>
      </x:c>
      <x:c r="K539" s="83" t="n">
        <x:v>0</x:v>
      </x:c>
    </x:row>
    <x:row r="540">
      <x:c r="A540" s="71" t="str">
        <x:v>CACAO DANS - THÙNG</x:v>
      </x:c>
      <x:c r="B540" s="37" t="str">
        <x:v>CCDANST</x:v>
      </x:c>
      <x:c r="C540" s="37" t="str">
        <x:v>CCDANST</x:v>
      </x:c>
      <x:c r="D540" s="37" t="str">
        <x:v>CCDANS</x:v>
      </x:c>
      <x:c r="E540" s="37" t="n">
        <x:v>30</x:v>
      </x:c>
      <x:c r="F540" s="37" t="n">
        <x:v>0</x:v>
      </x:c>
      <x:c r="G540" s="37" t="str">
        <x:v>g</x:v>
      </x:c>
      <x:c r="H540" s="37" t="str">
        <x:v>THÙNG</x:v>
      </x:c>
      <x:c r="I540" s="59" t="n">
        <x:v>0</x:v>
      </x:c>
      <x:c r="J540" s="59" t="n">
        <x:v>0</x:v>
      </x:c>
      <x:c r="K540" s="83" t="n">
        <x:v>0</x:v>
      </x:c>
    </x:row>
    <x:row r="541">
      <x:c r="A541" s="71" t="str">
        <x:v>CÁ TRẮNG BECO - THÙNG</x:v>
      </x:c>
      <x:c r="B541" s="37" t="str">
        <x:v>CATRBET</x:v>
      </x:c>
      <x:c r="C541" s="37" t="str">
        <x:v>CATRBET</x:v>
      </x:c>
      <x:c r="D541" s="37" t="str">
        <x:v>CATRBE</x:v>
      </x:c>
      <x:c r="E541" s="37" t="n">
        <x:v>14</x:v>
      </x:c>
      <x:c r="F541" s="37" t="n">
        <x:v>0</x:v>
      </x:c>
      <x:c r="G541" s="37" t="str">
        <x:v>g</x:v>
      </x:c>
      <x:c r="H541" s="37" t="str">
        <x:v>THÙNG</x:v>
      </x:c>
      <x:c r="I541" s="59" t="n">
        <x:v>0</x:v>
      </x:c>
      <x:c r="J541" s="59" t="n">
        <x:v>0</x:v>
      </x:c>
      <x:c r="K541" s="83" t="n">
        <x:v>0</x:v>
      </x:c>
    </x:row>
    <x:row r="542">
      <x:c r="A542" s="71" t="str">
        <x:v>CÁ ỚT HẢI HƯNG - THÙNG</x:v>
      </x:c>
      <x:c r="B542" s="37" t="str">
        <x:v>CAOTHHT</x:v>
      </x:c>
      <x:c r="C542" s="37" t="str">
        <x:v>CAOTHHT</x:v>
      </x:c>
      <x:c r="D542" s="37" t="str">
        <x:v>CAOTHH</x:v>
      </x:c>
      <x:c r="E542" s="37" t="n">
        <x:v>40</x:v>
      </x:c>
      <x:c r="F542" s="37" t="n">
        <x:v>20000</x:v>
      </x:c>
      <x:c r="G542" s="37" t="str">
        <x:v>g</x:v>
      </x:c>
      <x:c r="H542" s="37" t="str">
        <x:v>THÙNG</x:v>
      </x:c>
      <x:c r="I542" s="59" t="n">
        <x:v>0</x:v>
      </x:c>
      <x:c r="J542" s="59" t="n">
        <x:v>0</x:v>
      </x:c>
      <x:c r="K542" s="83" t="n">
        <x:v>0</x:v>
      </x:c>
    </x:row>
    <x:row r="543">
      <x:c r="A543" s="71" t="str">
        <x:v>CÁ HẤP - THÙNG</x:v>
      </x:c>
      <x:c r="B543" s="37" t="str">
        <x:v>CAHAPPT</x:v>
      </x:c>
      <x:c r="C543" s="37" t="str">
        <x:v>CAHAPPT</x:v>
      </x:c>
      <x:c r="D543" s="37" t="str">
        <x:v>CAHAPP</x:v>
      </x:c>
      <x:c r="E543" s="37" t="n">
        <x:v>40</x:v>
      </x:c>
      <x:c r="F543" s="37" t="n">
        <x:v>0</x:v>
      </x:c>
      <x:c r="G543" s="37" t="str">
        <x:v>g</x:v>
      </x:c>
      <x:c r="H543" s="37" t="str">
        <x:v>THÙNG</x:v>
      </x:c>
      <x:c r="I543" s="59" t="n">
        <x:v>0</x:v>
      </x:c>
      <x:c r="J543" s="59" t="n">
        <x:v>0</x:v>
      </x:c>
      <x:c r="K543" s="83" t="n">
        <x:v>0</x:v>
      </x:c>
    </x:row>
    <x:row r="544">
      <x:c r="A544" s="71" t="str">
        <x:v>CÁ HÀNH TIÊU - THÙNG</x:v>
      </x:c>
      <x:c r="B544" s="37" t="str">
        <x:v>CATIEUT</x:v>
      </x:c>
      <x:c r="C544" s="37" t="str">
        <x:v>CATIEUT</x:v>
      </x:c>
      <x:c r="D544" s="37" t="str">
        <x:v>CATIEU</x:v>
      </x:c>
      <x:c r="E544" s="37" t="n">
        <x:v>20</x:v>
      </x:c>
      <x:c r="F544" s="37" t="n">
        <x:v>0</x:v>
      </x:c>
      <x:c r="G544" s="37" t="str">
        <x:v>g</x:v>
      </x:c>
      <x:c r="H544" s="37" t="str">
        <x:v>THÙNG</x:v>
      </x:c>
      <x:c r="I544" s="59" t="n">
        <x:v>0</x:v>
      </x:c>
      <x:c r="J544" s="59" t="n">
        <x:v>0</x:v>
      </x:c>
      <x:c r="K544" s="83" t="n">
        <x:v>0</x:v>
      </x:c>
    </x:row>
    <x:row r="545">
      <x:c r="A545" s="71" t="str">
        <x:v>BỘT SOCOLA KING - THÙNG</x:v>
      </x:c>
      <x:c r="B545" s="37" t="str">
        <x:v>SOKINGT</x:v>
      </x:c>
      <x:c r="C545" s="37" t="str">
        <x:v>SOKINGT</x:v>
      </x:c>
      <x:c r="D545" s="37" t="str">
        <x:v>SOKING</x:v>
      </x:c>
      <x:c r="E545" s="37" t="n">
        <x:v>20</x:v>
      </x:c>
      <x:c r="F545" s="37" t="n">
        <x:v>21000</x:v>
      </x:c>
      <x:c r="G545" s="37" t="str">
        <x:v>g</x:v>
      </x:c>
      <x:c r="H545" s="37" t="str">
        <x:v>THÙNG</x:v>
      </x:c>
      <x:c r="I545" s="59" t="n">
        <x:v>0</x:v>
      </x:c>
      <x:c r="J545" s="59" t="n">
        <x:v>0</x:v>
      </x:c>
      <x:c r="K545" s="83" t="n">
        <x:v>0</x:v>
      </x:c>
    </x:row>
    <x:row r="546">
      <x:c r="A546" s="71" t="str">
        <x:v>BỘT SOCOLA GTP - THÙNG</x:v>
      </x:c>
      <x:c r="B546" s="37" t="str">
        <x:v>SCLGTPT</x:v>
      </x:c>
      <x:c r="C546" s="37" t="str">
        <x:v>SCLGTPT</x:v>
      </x:c>
      <x:c r="D546" s="37" t="str">
        <x:v>SCLGTP</x:v>
      </x:c>
      <x:c r="E546" s="37" t="n">
        <x:v>20</x:v>
      </x:c>
      <x:c r="F546" s="37" t="n">
        <x:v>21000</x:v>
      </x:c>
      <x:c r="G546" s="37" t="str">
        <x:v>g</x:v>
      </x:c>
      <x:c r="H546" s="37" t="str">
        <x:v>THÙNG</x:v>
      </x:c>
      <x:c r="I546" s="59" t="n">
        <x:v>0</x:v>
      </x:c>
      <x:c r="J546" s="59" t="n">
        <x:v>0</x:v>
      </x:c>
      <x:c r="K546" s="83" t="n">
        <x:v>0</x:v>
      </x:c>
    </x:row>
    <x:row r="547">
      <x:c r="A547" s="71" t="str">
        <x:v>BỘT ỚT TO - THÙNG</x:v>
      </x:c>
      <x:c r="B547" s="37" t="str">
        <x:v>BOTOTTT</x:v>
      </x:c>
      <x:c r="C547" s="37" t="str">
        <x:v>BOTOTTT</x:v>
      </x:c>
      <x:c r="D547" s="37" t="str">
        <x:v>BOTOTT</x:v>
      </x:c>
      <x:c r="E547" s="37" t="n">
        <x:v>10</x:v>
      </x:c>
      <x:c r="F547" s="37" t="n">
        <x:v>0</x:v>
      </x:c>
      <x:c r="G547" s="37" t="str">
        <x:v>g</x:v>
      </x:c>
      <x:c r="H547" s="37" t="str">
        <x:v>THÙNG</x:v>
      </x:c>
      <x:c r="I547" s="59" t="n">
        <x:v>0</x:v>
      </x:c>
      <x:c r="J547" s="59" t="n">
        <x:v>0</x:v>
      </x:c>
      <x:c r="K547" s="83" t="n">
        <x:v>0</x:v>
      </x:c>
    </x:row>
    <x:row r="548">
      <x:c r="A548" s="71" t="str">
        <x:v>BỘT ỚT NHUYỄN - THÙNG</x:v>
      </x:c>
      <x:c r="B548" s="37" t="str">
        <x:v>BOTOTNT</x:v>
      </x:c>
      <x:c r="C548" s="37" t="str">
        <x:v>BOTOTNT</x:v>
      </x:c>
      <x:c r="D548" s="37" t="str">
        <x:v>BOTOTN</x:v>
      </x:c>
      <x:c r="E548" s="37" t="n">
        <x:v>10</x:v>
      </x:c>
      <x:c r="F548" s="37" t="n">
        <x:v>0</x:v>
      </x:c>
      <x:c r="G548" s="37" t="str">
        <x:v>g</x:v>
      </x:c>
      <x:c r="H548" s="37" t="str">
        <x:v>THÙNG</x:v>
      </x:c>
      <x:c r="I548" s="59" t="n">
        <x:v>0</x:v>
      </x:c>
      <x:c r="J548" s="59" t="n">
        <x:v>0</x:v>
      </x:c>
      <x:c r="K548" s="83" t="n">
        <x:v>0</x:v>
      </x:c>
    </x:row>
    <x:row r="549">
      <x:c r="A549" s="71" t="str">
        <x:v>BỘT MUỐI BIỂN ERODELI - THÙNG</x:v>
      </x:c>
      <x:c r="B549" s="37" t="str">
        <x:v>MUOIBET</x:v>
      </x:c>
      <x:c r="C549" s="37" t="str">
        <x:v>MUOIBET</x:v>
      </x:c>
      <x:c r="D549" s="37" t="str">
        <x:v>MUOIBE</x:v>
      </x:c>
      <x:c r="E549" s="37" t="n">
        <x:v>25</x:v>
      </x:c>
      <x:c r="F549" s="37" t="n">
        <x:v>0</x:v>
      </x:c>
      <x:c r="G549" s="37" t="str">
        <x:v>g</x:v>
      </x:c>
      <x:c r="H549" s="37" t="str">
        <x:v>THÙNG</x:v>
      </x:c>
      <x:c r="I549" s="59" t="n">
        <x:v>0</x:v>
      </x:c>
      <x:c r="J549" s="59" t="n">
        <x:v>0</x:v>
      </x:c>
      <x:c r="K549" s="83" t="n">
        <x:v>0</x:v>
      </x:c>
    </x:row>
    <x:row r="550">
      <x:c r="A550" s="71" t="str">
        <x:v>BỘT MÔN MOTA - THÙNG</x:v>
      </x:c>
      <x:c r="B550" s="37" t="str">
        <x:v>MONMOTT</x:v>
      </x:c>
      <x:c r="C550" s="37" t="str">
        <x:v>MONMOTT</x:v>
      </x:c>
      <x:c r="D550" s="37" t="str">
        <x:v>MONMOT</x:v>
      </x:c>
      <x:c r="E550" s="37" t="n">
        <x:v>20</x:v>
      </x:c>
      <x:c r="F550" s="37" t="n">
        <x:v>0</x:v>
      </x:c>
      <x:c r="G550" s="37" t="str">
        <x:v>g</x:v>
      </x:c>
      <x:c r="H550" s="37" t="str">
        <x:v>THÙNG</x:v>
      </x:c>
      <x:c r="I550" s="59" t="n">
        <x:v>0</x:v>
      </x:c>
      <x:c r="J550" s="59" t="n">
        <x:v>0</x:v>
      </x:c>
      <x:c r="K550" s="83" t="n">
        <x:v>0</x:v>
      </x:c>
    </x:row>
    <x:row r="551">
      <x:c r="A551" s="71" t="str">
        <x:v>BỘT MÔN KING - THÙNG</x:v>
      </x:c>
      <x:c r="B551" s="37" t="str">
        <x:v>MONKIGT</x:v>
      </x:c>
      <x:c r="C551" s="37" t="str">
        <x:v>MONKIGT</x:v>
      </x:c>
      <x:c r="D551" s="37" t="str">
        <x:v>MONKIG</x:v>
      </x:c>
      <x:c r="E551" s="37" t="n">
        <x:v>20</x:v>
      </x:c>
      <x:c r="F551" s="37" t="n">
        <x:v>21000</x:v>
      </x:c>
      <x:c r="G551" s="37" t="str">
        <x:v>g</x:v>
      </x:c>
      <x:c r="H551" s="37" t="str">
        <x:v>THÙNG</x:v>
      </x:c>
      <x:c r="I551" s="59" t="n">
        <x:v>0</x:v>
      </x:c>
      <x:c r="J551" s="59" t="n">
        <x:v>0</x:v>
      </x:c>
      <x:c r="K551" s="83" t="n">
        <x:v>0</x:v>
      </x:c>
    </x:row>
    <x:row r="552">
      <x:c r="A552" s="71" t="str">
        <x:v>BỘT MÔN GTP - THÙNG</x:v>
      </x:c>
      <x:c r="B552" s="37" t="str">
        <x:v>MONGTPT</x:v>
      </x:c>
      <x:c r="C552" s="37" t="str">
        <x:v>MONGTPT</x:v>
      </x:c>
      <x:c r="D552" s="37" t="str">
        <x:v>MONGTP</x:v>
      </x:c>
      <x:c r="E552" s="37" t="n">
        <x:v>20</x:v>
      </x:c>
      <x:c r="F552" s="37" t="n">
        <x:v>21000</x:v>
      </x:c>
      <x:c r="G552" s="37" t="str">
        <x:v>g</x:v>
      </x:c>
      <x:c r="H552" s="37" t="str">
        <x:v>THÙNG</x:v>
      </x:c>
      <x:c r="I552" s="59" t="n">
        <x:v>0</x:v>
      </x:c>
      <x:c r="J552" s="59" t="n">
        <x:v>0</x:v>
      </x:c>
      <x:c r="K552" s="83" t="n">
        <x:v>0</x:v>
      </x:c>
    </x:row>
    <x:row r="553">
      <x:c r="A553" s="71" t="str">
        <x:v>BỘT MÔN BKB - THÙNG</x:v>
      </x:c>
      <x:c r="B553" s="37" t="str">
        <x:v>MONBKBT</x:v>
      </x:c>
      <x:c r="C553" s="37" t="str">
        <x:v>MONBKBT</x:v>
      </x:c>
      <x:c r="D553" s="37" t="str">
        <x:v>MONBKB</x:v>
      </x:c>
      <x:c r="E553" s="37" t="n">
        <x:v>10</x:v>
      </x:c>
      <x:c r="F553" s="37" t="n">
        <x:v>0</x:v>
      </x:c>
      <x:c r="G553" s="37" t="str">
        <x:v>g</x:v>
      </x:c>
      <x:c r="H553" s="37" t="str">
        <x:v>THÙNG</x:v>
      </x:c>
      <x:c r="I553" s="59" t="n">
        <x:v>0</x:v>
      </x:c>
      <x:c r="J553" s="59" t="n">
        <x:v>0</x:v>
      </x:c>
      <x:c r="K553" s="83" t="n">
        <x:v>0</x:v>
      </x:c>
    </x:row>
    <x:row r="554">
      <x:c r="A554" s="71" t="str">
        <x:v>BỘT MILO - THÙNG</x:v>
      </x:c>
      <x:c r="B554" s="37" t="str">
        <x:v>BOMILOT</x:v>
      </x:c>
      <x:c r="C554" s="37" t="str">
        <x:v>BOMILOT</x:v>
      </x:c>
      <x:c r="D554" s="37" t="str">
        <x:v>BOMILO</x:v>
      </x:c>
      <x:c r="E554" s="37" t="n">
        <x:v>10</x:v>
      </x:c>
      <x:c r="F554" s="37" t="n">
        <x:v>0</x:v>
      </x:c>
      <x:c r="G554" s="37" t="str">
        <x:v>g</x:v>
      </x:c>
      <x:c r="H554" s="37" t="str">
        <x:v>THÙNG</x:v>
      </x:c>
      <x:c r="I554" s="59" t="n">
        <x:v>0</x:v>
      </x:c>
      <x:c r="J554" s="59" t="n">
        <x:v>0</x:v>
      </x:c>
      <x:c r="K554" s="83" t="n">
        <x:v>0</x:v>
      </x:c>
    </x:row>
    <x:row r="555">
      <x:c r="A555" s="71" t="str">
        <x:v>BỘT MILKFOAM LUAVE - THÙNG</x:v>
      </x:c>
      <x:c r="B555" s="37" t="str">
        <x:v>BMFLUAT</x:v>
      </x:c>
      <x:c r="C555" s="37" t="str">
        <x:v>BMFLUAT</x:v>
      </x:c>
      <x:c r="D555" s="37" t="str">
        <x:v>BMFLUA</x:v>
      </x:c>
      <x:c r="E555" s="37" t="n">
        <x:v>20</x:v>
      </x:c>
      <x:c r="F555" s="37" t="n">
        <x:v>11000</x:v>
      </x:c>
      <x:c r="G555" s="37" t="str">
        <x:v>g</x:v>
      </x:c>
      <x:c r="H555" s="37" t="str">
        <x:v>THÙNG</x:v>
      </x:c>
      <x:c r="I555" s="59" t="n">
        <x:v>0</x:v>
      </x:c>
      <x:c r="J555" s="59" t="n">
        <x:v>0</x:v>
      </x:c>
      <x:c r="K555" s="83" t="n">
        <x:v>0</x:v>
      </x:c>
    </x:row>
    <x:row r="556">
      <x:c r="A556" s="71" t="str">
        <x:v>BỘT MATCHA SEOUL - THÙNG</x:v>
      </x:c>
      <x:c r="B556" s="37" t="str">
        <x:v>MCHASET</x:v>
      </x:c>
      <x:c r="C556" s="37" t="str">
        <x:v>MCHASET</x:v>
      </x:c>
      <x:c r="D556" s="37" t="str">
        <x:v>MCHASE</x:v>
      </x:c>
      <x:c r="E556" s="37" t="n">
        <x:v>40</x:v>
      </x:c>
      <x:c r="F556" s="37" t="n">
        <x:v>0</x:v>
      </x:c>
      <x:c r="G556" s="37" t="str">
        <x:v>g</x:v>
      </x:c>
      <x:c r="H556" s="37" t="str">
        <x:v>THÙNG</x:v>
      </x:c>
      <x:c r="I556" s="59" t="n">
        <x:v>0</x:v>
      </x:c>
      <x:c r="J556" s="59" t="n">
        <x:v>0</x:v>
      </x:c>
      <x:c r="K556" s="83" t="n">
        <x:v>0</x:v>
      </x:c>
    </x:row>
    <x:row r="557">
      <x:c r="A557" s="71" t="str">
        <x:v>BỘT MATCHA ĐÀI LOAN - THÙNG</x:v>
      </x:c>
      <x:c r="B557" s="37" t="str">
        <x:v>MCHADLT</x:v>
      </x:c>
      <x:c r="C557" s="37" t="str">
        <x:v>MCHADLT</x:v>
      </x:c>
      <x:c r="D557" s="37" t="str">
        <x:v>MCHADL</x:v>
      </x:c>
      <x:c r="E557" s="37" t="n">
        <x:v>10</x:v>
      </x:c>
      <x:c r="F557" s="37" t="n">
        <x:v>5000</x:v>
      </x:c>
      <x:c r="G557" s="37" t="str">
        <x:v>g</x:v>
      </x:c>
      <x:c r="H557" s="37" t="str">
        <x:v>THÙNG</x:v>
      </x:c>
      <x:c r="I557" s="59" t="n">
        <x:v>0</x:v>
      </x:c>
      <x:c r="J557" s="59" t="n">
        <x:v>0</x:v>
      </x:c>
      <x:c r="K557" s="83" t="n">
        <x:v>0</x:v>
      </x:c>
    </x:row>
    <x:row r="558">
      <x:c r="A558" s="71" t="str">
        <x:v>COZY BỘT MATCHA  - THÙNG</x:v>
      </x:c>
      <x:c r="B558" s="37" t="str">
        <x:v>COZMATT</x:v>
      </x:c>
      <x:c r="C558" s="37" t="str">
        <x:v>COZMATT</x:v>
      </x:c>
      <x:c r="D558" s="37" t="str">
        <x:v>COZMAT</x:v>
      </x:c>
      <x:c r="E558" s="37" t="n">
        <x:v>30</x:v>
      </x:c>
      <x:c r="F558" s="37" t="n">
        <x:v>0</x:v>
      </x:c>
      <x:c r="G558" s="37" t="str">
        <x:v>g</x:v>
      </x:c>
      <x:c r="H558" s="37" t="str">
        <x:v>THÙNG</x:v>
      </x:c>
      <x:c r="I558" s="59" t="n">
        <x:v>0</x:v>
      </x:c>
      <x:c r="J558" s="59" t="n">
        <x:v>0</x:v>
      </x:c>
      <x:c r="K558" s="83" t="n">
        <x:v>0</x:v>
      </x:c>
    </x:row>
    <x:row r="559">
      <x:c r="A559" s="71" t="str">
        <x:v>BỘT KEM TRỨNG - THÙNG</x:v>
      </x:c>
      <x:c r="B559" s="37" t="str">
        <x:v>BKEMTRT</x:v>
      </x:c>
      <x:c r="C559" s="37" t="str">
        <x:v>BKEMTRT</x:v>
      </x:c>
      <x:c r="D559" s="37" t="str">
        <x:v>BKEMTR</x:v>
      </x:c>
      <x:c r="E559" s="37" t="n">
        <x:v>25</x:v>
      </x:c>
      <x:c r="F559" s="37" t="n">
        <x:v>0</x:v>
      </x:c>
      <x:c r="G559" s="37" t="str">
        <x:v>g</x:v>
      </x:c>
      <x:c r="H559" s="37" t="str">
        <x:v>THÙNG</x:v>
      </x:c>
      <x:c r="I559" s="59" t="n">
        <x:v>0</x:v>
      </x:c>
      <x:c r="J559" s="59" t="n">
        <x:v>0</x:v>
      </x:c>
      <x:c r="K559" s="83" t="n">
        <x:v>0</x:v>
      </x:c>
    </x:row>
    <x:row r="560">
      <x:c r="A560" s="71" t="str">
        <x:v>BỘT FRAP LUAVE - THÙNG</x:v>
      </x:c>
      <x:c r="B560" s="37" t="str">
        <x:v>BFRLUAT</x:v>
      </x:c>
      <x:c r="C560" s="37" t="str">
        <x:v>BFRLUAT</x:v>
      </x:c>
      <x:c r="D560" s="37" t="str">
        <x:v>BFRLUA</x:v>
      </x:c>
      <x:c r="E560" s="37" t="n">
        <x:v>10</x:v>
      </x:c>
      <x:c r="F560" s="37" t="n">
        <x:v>11</x:v>
      </x:c>
      <x:c r="G560" s="37" t="str">
        <x:v>kg</x:v>
      </x:c>
      <x:c r="H560" s="37" t="str">
        <x:v>THÙNG</x:v>
      </x:c>
      <x:c r="I560" s="59" t="n">
        <x:v>0</x:v>
      </x:c>
      <x:c r="J560" s="59" t="n">
        <x:v>0</x:v>
      </x:c>
      <x:c r="K560" s="83" t="n">
        <x:v>0</x:v>
      </x:c>
    </x:row>
    <x:row r="561">
      <x:c r="A561" s="71" t="str">
        <x:v>BỘT DÂU BKB - THÙNG</x:v>
      </x:c>
      <x:c r="B561" s="37" t="str">
        <x:v>DAUBKBT</x:v>
      </x:c>
      <x:c r="C561" s="37" t="str">
        <x:v>DAUBKBT</x:v>
      </x:c>
      <x:c r="D561" s="37" t="str">
        <x:v>DAUBKB</x:v>
      </x:c>
      <x:c r="E561" s="37" t="n">
        <x:v>10</x:v>
      </x:c>
      <x:c r="F561" s="37" t="n">
        <x:v>0</x:v>
      </x:c>
      <x:c r="G561" s="37" t="str">
        <x:v>g</x:v>
      </x:c>
      <x:c r="H561" s="37" t="str">
        <x:v>THÙNG</x:v>
      </x:c>
      <x:c r="I561" s="59" t="n">
        <x:v>0</x:v>
      </x:c>
      <x:c r="J561" s="59" t="n">
        <x:v>0</x:v>
      </x:c>
      <x:c r="K561" s="83" t="n">
        <x:v>0</x:v>
      </x:c>
    </x:row>
    <x:row r="562">
      <x:c r="A562" s="71" t="str">
        <x:v>BONE - THÙNG</x:v>
      </x:c>
      <x:c r="B562" s="37" t="str">
        <x:v>BSBONET</x:v>
      </x:c>
      <x:c r="C562" s="37" t="str">
        <x:v>BSBONET</x:v>
      </x:c>
      <x:c r="D562" s="37" t="str">
        <x:v>BSBONE</x:v>
      </x:c>
      <x:c r="E562" s="37" t="n">
        <x:v>12</x:v>
      </x:c>
      <x:c r="F562" s="37" t="n">
        <x:v>13000</x:v>
      </x:c>
      <x:c r="G562" s="37" t="str">
        <x:v>g</x:v>
      </x:c>
      <x:c r="H562" s="37" t="str">
        <x:v>THÙNG</x:v>
      </x:c>
      <x:c r="I562" s="59" t="n">
        <x:v>0</x:v>
      </x:c>
      <x:c r="J562" s="59" t="n">
        <x:v>820000</x:v>
      </x:c>
      <x:c r="K562" s="83" t="n">
        <x:v>0</x:v>
      </x:c>
    </x:row>
    <x:row r="563">
      <x:c r="A563" s="71" t="str">
        <x:v>BODU VIỆT QUỐC - THÙNG</x:v>
      </x:c>
      <x:c r="B563" s="37" t="str">
        <x:v>BODUVQT</x:v>
      </x:c>
      <x:c r="C563" s="37" t="str">
        <x:v>BODUVQT</x:v>
      </x:c>
      <x:c r="D563" s="37" t="str">
        <x:v>BODUVQ</x:v>
      </x:c>
      <x:c r="E563" s="37" t="n">
        <x:v>12</x:v>
      </x:c>
      <x:c r="F563" s="37" t="n">
        <x:v>17500</x:v>
      </x:c>
      <x:c r="G563" s="37" t="str">
        <x:v>g</x:v>
      </x:c>
      <x:c r="H563" s="37" t="str">
        <x:v>THÙNG</x:v>
      </x:c>
      <x:c r="I563" s="59" t="n">
        <x:v>0</x:v>
      </x:c>
      <x:c r="J563" s="59" t="n">
        <x:v>0</x:v>
      </x:c>
      <x:c r="K563" s="83" t="n">
        <x:v>0</x:v>
      </x:c>
    </x:row>
    <x:row r="564">
      <x:c r="A564" s="71" t="str">
        <x:v>BODU VẢI - THÙNG</x:v>
      </x:c>
      <x:c r="B564" s="37" t="str">
        <x:v>BODUVAT</x:v>
      </x:c>
      <x:c r="C564" s="37" t="str">
        <x:v>BODUVAT</x:v>
      </x:c>
      <x:c r="D564" s="37" t="str">
        <x:v>BODUVA</x:v>
      </x:c>
      <x:c r="E564" s="37" t="n">
        <x:v>12</x:v>
      </x:c>
      <x:c r="F564" s="37" t="n">
        <x:v>14200</x:v>
      </x:c>
      <x:c r="G564" s="37" t="str">
        <x:v>g</x:v>
      </x:c>
      <x:c r="H564" s="37" t="str">
        <x:v>THÙNG</x:v>
      </x:c>
      <x:c r="I564" s="59" t="n">
        <x:v>0</x:v>
      </x:c>
      <x:c r="J564" s="59" t="n">
        <x:v>0</x:v>
      </x:c>
      <x:c r="K564" s="83" t="n">
        <x:v>0</x:v>
      </x:c>
    </x:row>
    <x:row r="565">
      <x:c r="A565" s="71" t="str">
        <x:v>BODU ỔI - THÙNG</x:v>
      </x:c>
      <x:c r="B565" s="37" t="str">
        <x:v>BODUOIT</x:v>
      </x:c>
      <x:c r="C565" s="37" t="str">
        <x:v>BODUOIT</x:v>
      </x:c>
      <x:c r="D565" s="37" t="str">
        <x:v>BODUOI</x:v>
      </x:c>
      <x:c r="E565" s="37" t="n">
        <x:v>12</x:v>
      </x:c>
      <x:c r="F565" s="37" t="n">
        <x:v>14200</x:v>
      </x:c>
      <x:c r="G565" s="37" t="str">
        <x:v>g</x:v>
      </x:c>
      <x:c r="H565" s="37" t="str">
        <x:v>THÙNG</x:v>
      </x:c>
      <x:c r="I565" s="59" t="n">
        <x:v>0</x:v>
      </x:c>
      <x:c r="J565" s="59" t="n">
        <x:v>0</x:v>
      </x:c>
      <x:c r="K565" s="83" t="n">
        <x:v>0</x:v>
      </x:c>
    </x:row>
    <x:row r="566">
      <x:c r="A566" s="71" t="str">
        <x:v>BODU LONG NHÃN TÁO ĐỎ - THÙNG</x:v>
      </x:c>
      <x:c r="B566" s="37" t="str">
        <x:v>BODULNT</x:v>
      </x:c>
      <x:c r="C566" s="37" t="str">
        <x:v>BODULNT</x:v>
      </x:c>
      <x:c r="D566" s="37" t="str">
        <x:v>BODULN</x:v>
      </x:c>
      <x:c r="E566" s="37" t="n">
        <x:v>12</x:v>
      </x:c>
      <x:c r="F566" s="37" t="n">
        <x:v>142</x:v>
      </x:c>
      <x:c r="G566" s="37" t="str">
        <x:v>g</x:v>
      </x:c>
      <x:c r="H566" s="37" t="str">
        <x:v>THÙNG</x:v>
      </x:c>
      <x:c r="I566" s="59" t="n">
        <x:v>0</x:v>
      </x:c>
      <x:c r="J566" s="59" t="n">
        <x:v>0</x:v>
      </x:c>
      <x:c r="K566" s="83" t="n">
        <x:v>0</x:v>
      </x:c>
    </x:row>
    <x:row r="567">
      <x:c r="A567" s="71" t="str">
        <x:v>BODU HOA LÀI - THÙNG</x:v>
      </x:c>
      <x:c r="B567" s="37" t="str">
        <x:v>BODULAT</x:v>
      </x:c>
      <x:c r="C567" s="37" t="str">
        <x:v>BODULAT</x:v>
      </x:c>
      <x:c r="D567" s="37" t="str">
        <x:v>BODULA</x:v>
      </x:c>
      <x:c r="E567" s="37" t="n">
        <x:v>12</x:v>
      </x:c>
      <x:c r="F567" s="37" t="n">
        <x:v>14200</x:v>
      </x:c>
      <x:c r="G567" s="37" t="str">
        <x:v>g</x:v>
      </x:c>
      <x:c r="H567" s="37" t="str">
        <x:v>THÙNG</x:v>
      </x:c>
      <x:c r="I567" s="59" t="n">
        <x:v>0</x:v>
      </x:c>
      <x:c r="J567" s="59" t="n">
        <x:v>0</x:v>
      </x:c>
      <x:c r="K567" s="83" t="n">
        <x:v>0</x:v>
      </x:c>
    </x:row>
    <x:row r="568">
      <x:c r="A568" s="71" t="str">
        <x:v>BODU HOA HỒNG - THÙNG</x:v>
      </x:c>
      <x:c r="B568" s="37" t="str">
        <x:v>BODUHHT</x:v>
      </x:c>
      <x:c r="C568" s="37" t="str">
        <x:v>BODUHHT</x:v>
      </x:c>
      <x:c r="D568" s="37" t="str">
        <x:v>BODUHH</x:v>
      </x:c>
      <x:c r="E568" s="37" t="n">
        <x:v>12</x:v>
      </x:c>
      <x:c r="F568" s="37" t="n">
        <x:v>14200</x:v>
      </x:c>
      <x:c r="G568" s="37" t="str">
        <x:v>g</x:v>
      </x:c>
      <x:c r="H568" s="37" t="str">
        <x:v>THÙNG</x:v>
      </x:c>
      <x:c r="I568" s="59" t="n">
        <x:v>0</x:v>
      </x:c>
      <x:c r="J568" s="59" t="n">
        <x:v>0</x:v>
      </x:c>
      <x:c r="K568" s="83" t="n">
        <x:v>0</x:v>
      </x:c>
    </x:row>
    <x:row r="569">
      <x:c r="A569" s="71" t="str">
        <x:v>BODU ĐÀO NHÀI - THÙNG</x:v>
      </x:c>
      <x:c r="B569" s="37" t="str">
        <x:v>BODUDNT</x:v>
      </x:c>
      <x:c r="C569" s="37" t="str">
        <x:v>BODUDNT</x:v>
      </x:c>
      <x:c r="D569" s="37" t="str">
        <x:v>BODUDN</x:v>
      </x:c>
      <x:c r="E569" s="37" t="n">
        <x:v>12</x:v>
      </x:c>
      <x:c r="F569" s="37" t="n">
        <x:v>14200</x:v>
      </x:c>
      <x:c r="G569" s="37" t="str">
        <x:v>g</x:v>
      </x:c>
      <x:c r="H569" s="37" t="str">
        <x:v>THÙNG</x:v>
      </x:c>
      <x:c r="I569" s="59" t="n">
        <x:v>0</x:v>
      </x:c>
      <x:c r="J569" s="59" t="n">
        <x:v>0</x:v>
      </x:c>
      <x:c r="K569" s="83" t="n">
        <x:v>0</x:v>
      </x:c>
    </x:row>
    <x:row r="570">
      <x:c r="A570" s="71" t="str">
        <x:v>BODU DƯA LƯỚI - THÙNG</x:v>
      </x:c>
      <x:c r="B570" s="37" t="str">
        <x:v>BODUDLT</x:v>
      </x:c>
      <x:c r="C570" s="37" t="str">
        <x:v>BODUDLT</x:v>
      </x:c>
      <x:c r="D570" s="37" t="str">
        <x:v>BODUDL</x:v>
      </x:c>
      <x:c r="E570" s="37" t="n">
        <x:v>12</x:v>
      </x:c>
      <x:c r="F570" s="37" t="n">
        <x:v>17500</x:v>
      </x:c>
      <x:c r="G570" s="37" t="str">
        <x:v>g</x:v>
      </x:c>
      <x:c r="H570" s="37" t="str">
        <x:v>THÙNG</x:v>
      </x:c>
      <x:c r="I570" s="59" t="n">
        <x:v>0</x:v>
      </x:c>
      <x:c r="J570" s="59" t="n">
        <x:v>0</x:v>
      </x:c>
      <x:c r="K570" s="83" t="n">
        <x:v>0</x:v>
      </x:c>
    </x:row>
    <x:row r="571">
      <x:c r="A571" s="71" t="str">
        <x:v>BODU DÂU - THÙNG</x:v>
      </x:c>
      <x:c r="B571" s="37" t="str">
        <x:v>BODUDAT</x:v>
      </x:c>
      <x:c r="C571" s="37" t="str">
        <x:v>BODUDAT</x:v>
      </x:c>
      <x:c r="D571" s="37" t="str">
        <x:v>BODUDA</x:v>
      </x:c>
      <x:c r="E571" s="37" t="n">
        <x:v>12</x:v>
      </x:c>
      <x:c r="F571" s="37" t="n">
        <x:v>175</x:v>
      </x:c>
      <x:c r="G571" s="37" t="str">
        <x:v>g</x:v>
      </x:c>
      <x:c r="H571" s="37" t="str">
        <x:v>THÙNG</x:v>
      </x:c>
      <x:c r="I571" s="59" t="n">
        <x:v>0</x:v>
      </x:c>
      <x:c r="J571" s="59" t="n">
        <x:v>0</x:v>
      </x:c>
      <x:c r="K571" s="83" t="n">
        <x:v>0</x:v>
      </x:c>
    </x:row>
    <x:row r="572">
      <x:c r="A572" s="71" t="str">
        <x:v>BODU BƯỞI - THÙNG</x:v>
      </x:c>
      <x:c r="B572" s="37" t="str">
        <x:v>BODUBUT</x:v>
      </x:c>
      <x:c r="C572" s="37" t="str">
        <x:v>BODUBUT</x:v>
      </x:c>
      <x:c r="D572" s="37" t="str">
        <x:v>BODUBU</x:v>
      </x:c>
      <x:c r="E572" s="37" t="n">
        <x:v>12</x:v>
      </x:c>
      <x:c r="F572" s="37" t="n">
        <x:v>14200</x:v>
      </x:c>
      <x:c r="G572" s="37" t="str">
        <x:v>g</x:v>
      </x:c>
      <x:c r="H572" s="37" t="str">
        <x:v>THÙNG</x:v>
      </x:c>
      <x:c r="I572" s="59" t="n">
        <x:v>0</x:v>
      </x:c>
      <x:c r="J572" s="59" t="n">
        <x:v>0</x:v>
      </x:c>
      <x:c r="K572" s="83" t="n">
        <x:v>0</x:v>
      </x:c>
    </x:row>
    <x:row r="573">
      <x:c r="A573" s="71" t="str">
        <x:v>BÒ CƯỜI 3 LỚP - THÙNG</x:v>
      </x:c>
      <x:c r="B573" s="37" t="str">
        <x:v>BOCU3LT</x:v>
      </x:c>
      <x:c r="C573" s="37" t="str">
        <x:v>BOCU3LT</x:v>
      </x:c>
      <x:c r="D573" s="37" t="str">
        <x:v>BOCU3L</x:v>
      </x:c>
      <x:c r="E573" s="37" t="n">
        <x:v>24</x:v>
      </x:c>
      <x:c r="F573" s="37" t="n">
        <x:v>0</x:v>
      </x:c>
      <x:c r="G573" s="37" t="str">
        <x:v>g</x:v>
      </x:c>
      <x:c r="H573" s="37" t="str">
        <x:v>THÙNG</x:v>
      </x:c>
      <x:c r="I573" s="59" t="n">
        <x:v>0</x:v>
      </x:c>
      <x:c r="J573" s="59" t="n">
        <x:v>1870000</x:v>
      </x:c>
      <x:c r="K573" s="83" t="n">
        <x:v>0</x:v>
      </x:c>
    </x:row>
    <x:row r="574">
      <x:c r="A574" s="71" t="str">
        <x:v>ĐƯỜNG ĐEN BLACK 2L - THÙNG</x:v>
      </x:c>
      <x:c r="B574" s="37" t="str">
        <x:v>BLAK2LT</x:v>
      </x:c>
      <x:c r="C574" s="37" t="str">
        <x:v>BLAK2LT</x:v>
      </x:c>
      <x:c r="D574" s="37" t="str">
        <x:v>BLAK2L</x:v>
      </x:c>
      <x:c r="E574" s="37" t="n">
        <x:v>6</x:v>
      </x:c>
      <x:c r="F574" s="37" t="n">
        <x:v>13</x:v>
      </x:c>
      <x:c r="G574" s="37" t="str">
        <x:v>kg</x:v>
      </x:c>
      <x:c r="H574" s="37" t="str">
        <x:v>THÙNG</x:v>
      </x:c>
      <x:c r="I574" s="59" t="n">
        <x:v>820000</x:v>
      </x:c>
      <x:c r="J574" s="59" t="n">
        <x:v>0</x:v>
      </x:c>
      <x:c r="K574" s="83" t="n">
        <x:v>0</x:v>
      </x:c>
    </x:row>
    <x:row r="575">
      <x:c r="A575" s="71" t="str">
        <x:v>ĐƯỜNG ĐEN BLACK 1L - THÙNG</x:v>
      </x:c>
      <x:c r="B575" s="37" t="str">
        <x:v>BLAK1LT</x:v>
      </x:c>
      <x:c r="C575" s="37" t="str">
        <x:v>BLAK1LT</x:v>
      </x:c>
      <x:c r="D575" s="37" t="str">
        <x:v>BLAK1L</x:v>
      </x:c>
      <x:c r="E575" s="37" t="n">
        <x:v>12</x:v>
      </x:c>
      <x:c r="F575" s="37" t="n">
        <x:v>16600</x:v>
      </x:c>
      <x:c r="G575" s="37" t="str">
        <x:v>g</x:v>
      </x:c>
      <x:c r="H575" s="37" t="str">
        <x:v>THÙNG</x:v>
      </x:c>
      <x:c r="I575" s="59" t="n">
        <x:v>885000</x:v>
      </x:c>
      <x:c r="J575" s="59" t="n">
        <x:v>0</x:v>
      </x:c>
      <x:c r="K575" s="83" t="n">
        <x:v>0</x:v>
      </x:c>
    </x:row>
    <x:row r="576">
      <x:c r="A576" s="71" t="str">
        <x:v>BERINO XOÀI - THÙNG</x:v>
      </x:c>
      <x:c r="B576" s="37" t="str">
        <x:v>BERXOAT</x:v>
      </x:c>
      <x:c r="C576" s="37" t="str">
        <x:v>BERXOAT</x:v>
      </x:c>
      <x:c r="D576" s="37" t="str">
        <x:v>BERXOA</x:v>
      </x:c>
      <x:c r="E576" s="37" t="n">
        <x:v>12</x:v>
      </x:c>
      <x:c r="F576" s="37" t="n">
        <x:v>17000</x:v>
      </x:c>
      <x:c r="G576" s="37" t="str">
        <x:v>g</x:v>
      </x:c>
      <x:c r="H576" s="37" t="str">
        <x:v>THÙNG</x:v>
      </x:c>
      <x:c r="I576" s="59" t="n">
        <x:v>1039000</x:v>
      </x:c>
      <x:c r="J576" s="59" t="n">
        <x:v>0</x:v>
      </x:c>
      <x:c r="K576" s="83" t="n">
        <x:v>0</x:v>
      </x:c>
    </x:row>
    <x:row r="577">
      <x:c r="A577" s="71" t="str">
        <x:v>BERINO VIỆT QUỐC - THÙNG</x:v>
      </x:c>
      <x:c r="B577" s="37" t="str">
        <x:v>BERVQUT</x:v>
      </x:c>
      <x:c r="C577" s="37" t="str">
        <x:v>BERVQUT</x:v>
      </x:c>
      <x:c r="D577" s="37" t="str">
        <x:v>BERVQU</x:v>
      </x:c>
      <x:c r="E577" s="37" t="n">
        <x:v>12</x:v>
      </x:c>
      <x:c r="F577" s="37" t="n">
        <x:v>17000</x:v>
      </x:c>
      <x:c r="G577" s="37" t="str">
        <x:v>g</x:v>
      </x:c>
      <x:c r="H577" s="37" t="str">
        <x:v>THÙNG</x:v>
      </x:c>
      <x:c r="I577" s="59" t="n">
        <x:v>1394000</x:v>
      </x:c>
      <x:c r="J577" s="59" t="n">
        <x:v>0</x:v>
      </x:c>
      <x:c r="K577" s="83" t="n">
        <x:v>0</x:v>
      </x:c>
    </x:row>
    <x:row r="578">
      <x:c r="A578" s="71" t="str">
        <x:v>BERINO VẢI - THÙNG</x:v>
      </x:c>
      <x:c r="B578" s="37" t="str">
        <x:v>BERVAIT</x:v>
      </x:c>
      <x:c r="C578" s="37" t="str">
        <x:v>BERVAIT</x:v>
      </x:c>
      <x:c r="D578" s="37" t="str">
        <x:v>BERVAI</x:v>
      </x:c>
      <x:c r="E578" s="37" t="n">
        <x:v>12</x:v>
      </x:c>
      <x:c r="F578" s="37" t="n">
        <x:v>1</x:v>
      </x:c>
      <x:c r="G578" s="37" t="str">
        <x:v>kg</x:v>
      </x:c>
      <x:c r="H578" s="37" t="str">
        <x:v>THÙNG</x:v>
      </x:c>
      <x:c r="I578" s="59" t="n">
        <x:v>1320000</x:v>
      </x:c>
      <x:c r="J578" s="59" t="n">
        <x:v>0</x:v>
      </x:c>
      <x:c r="K578" s="83" t="n">
        <x:v>0</x:v>
      </x:c>
    </x:row>
    <x:row r="579">
      <x:c r="A579" s="71" t="str">
        <x:v>BERINO THƠM - THÙNG</x:v>
      </x:c>
      <x:c r="B579" s="37" t="str">
        <x:v>BERTHMT</x:v>
      </x:c>
      <x:c r="C579" s="37" t="str">
        <x:v>BERTHMT</x:v>
      </x:c>
      <x:c r="D579" s="37" t="str">
        <x:v>BERTHM</x:v>
      </x:c>
      <x:c r="E579" s="37" t="n">
        <x:v>12</x:v>
      </x:c>
      <x:c r="F579" s="37" t="n">
        <x:v>17000</x:v>
      </x:c>
      <x:c r="G579" s="37" t="str">
        <x:v>g</x:v>
      </x:c>
      <x:c r="H579" s="37" t="str">
        <x:v>THÙNG</x:v>
      </x:c>
      <x:c r="I579" s="59" t="n">
        <x:v>1099000</x:v>
      </x:c>
      <x:c r="J579" s="59" t="n">
        <x:v>0</x:v>
      </x:c>
      <x:c r="K579" s="83" t="n">
        <x:v>0</x:v>
      </x:c>
    </x:row>
    <x:row r="580">
      <x:c r="A580" s="71" t="str">
        <x:v>BERINO PHÚC BỒN TỬ - THÙNG</x:v>
      </x:c>
      <x:c r="B580" s="37" t="str">
        <x:v>BERPBTT</x:v>
      </x:c>
      <x:c r="C580" s="37" t="str">
        <x:v>BERPBTT</x:v>
      </x:c>
      <x:c r="D580" s="37" t="str">
        <x:v>BERPBT</x:v>
      </x:c>
      <x:c r="E580" s="37" t="n">
        <x:v>12</x:v>
      </x:c>
      <x:c r="F580" s="37" t="n">
        <x:v>17000</x:v>
      </x:c>
      <x:c r="G580" s="37" t="str">
        <x:v>g</x:v>
      </x:c>
      <x:c r="H580" s="37" t="str">
        <x:v>THÙNG</x:v>
      </x:c>
      <x:c r="I580" s="59" t="n">
        <x:v>1302000</x:v>
      </x:c>
      <x:c r="J580" s="59" t="n">
        <x:v>0</x:v>
      </x:c>
      <x:c r="K580" s="83" t="n">
        <x:v>0</x:v>
      </x:c>
    </x:row>
    <x:row r="581">
      <x:c r="A581" s="71" t="str">
        <x:v>BERINO ỔI - THÙNG</x:v>
      </x:c>
      <x:c r="B581" s="37" t="str">
        <x:v>BEROIHT</x:v>
      </x:c>
      <x:c r="C581" s="37" t="str">
        <x:v>BEROIHT</x:v>
      </x:c>
      <x:c r="D581" s="37" t="str">
        <x:v>BEROIH</x:v>
      </x:c>
      <x:c r="E581" s="37" t="n">
        <x:v>12</x:v>
      </x:c>
      <x:c r="F581" s="37" t="n">
        <x:v>17000</x:v>
      </x:c>
      <x:c r="G581" s="37" t="str">
        <x:v>g</x:v>
      </x:c>
      <x:c r="H581" s="37" t="str">
        <x:v>THÙNG</x:v>
      </x:c>
      <x:c r="I581" s="59" t="n">
        <x:v>1253000</x:v>
      </x:c>
      <x:c r="J581" s="59" t="n">
        <x:v>0</x:v>
      </x:c>
      <x:c r="K581" s="83" t="n">
        <x:v>0</x:v>
      </x:c>
    </x:row>
    <x:row r="582">
      <x:c r="A582" s="71" t="str">
        <x:v>BERINO NHO - THÙNG</x:v>
      </x:c>
      <x:c r="B582" s="37" t="str">
        <x:v>BERNHOT</x:v>
      </x:c>
      <x:c r="C582" s="37" t="str">
        <x:v>BERNHOT</x:v>
      </x:c>
      <x:c r="D582" s="37" t="str">
        <x:v>BERNHO</x:v>
      </x:c>
      <x:c r="E582" s="37" t="n">
        <x:v>12</x:v>
      </x:c>
      <x:c r="F582" s="37" t="n">
        <x:v>17000</x:v>
      </x:c>
      <x:c r="G582" s="37" t="str">
        <x:v>g</x:v>
      </x:c>
      <x:c r="H582" s="37" t="str">
        <x:v>THÙNG</x:v>
      </x:c>
      <x:c r="I582" s="59" t="n">
        <x:v>1222000</x:v>
      </x:c>
      <x:c r="J582" s="59" t="n">
        <x:v>0</x:v>
      </x:c>
      <x:c r="K582" s="83" t="n">
        <x:v>0</x:v>
      </x:c>
    </x:row>
    <x:row r="583">
      <x:c r="A583" s="71" t="str">
        <x:v>BERINO MÃNG CẦU - THÙNG</x:v>
      </x:c>
      <x:c r="B583" s="37" t="str">
        <x:v>BERMCAT</x:v>
      </x:c>
      <x:c r="C583" s="37" t="str">
        <x:v>BERMCAT</x:v>
      </x:c>
      <x:c r="D583" s="37" t="str">
        <x:v>BERMCA</x:v>
      </x:c>
      <x:c r="E583" s="37" t="n">
        <x:v>12</x:v>
      </x:c>
      <x:c r="F583" s="37" t="n">
        <x:v>17000</x:v>
      </x:c>
      <x:c r="G583" s="37" t="str">
        <x:v>g</x:v>
      </x:c>
      <x:c r="H583" s="37" t="str">
        <x:v>THÙNG</x:v>
      </x:c>
      <x:c r="I583" s="59" t="n">
        <x:v>1255000</x:v>
      </x:c>
      <x:c r="J583" s="59" t="n">
        <x:v>0</x:v>
      </x:c>
      <x:c r="K583" s="83" t="n">
        <x:v>0</x:v>
      </x:c>
    </x:row>
    <x:row r="584">
      <x:c r="A584" s="71" t="str">
        <x:v>BERINO KIWI - THÙNG</x:v>
      </x:c>
      <x:c r="B584" s="37" t="str">
        <x:v>BERKWIT</x:v>
      </x:c>
      <x:c r="C584" s="37" t="str">
        <x:v>BERKWIT</x:v>
      </x:c>
      <x:c r="D584" s="37" t="str">
        <x:v>BERKWI</x:v>
      </x:c>
      <x:c r="E584" s="37" t="n">
        <x:v>12</x:v>
      </x:c>
      <x:c r="F584" s="37" t="n">
        <x:v>17000</x:v>
      </x:c>
      <x:c r="G584" s="37" t="str">
        <x:v>g</x:v>
      </x:c>
      <x:c r="H584" s="37" t="str">
        <x:v>THÙNG</x:v>
      </x:c>
      <x:c r="I584" s="59" t="n">
        <x:v>1222000</x:v>
      </x:c>
      <x:c r="J584" s="59" t="n">
        <x:v>0</x:v>
      </x:c>
      <x:c r="K584" s="83" t="n">
        <x:v>0</x:v>
      </x:c>
    </x:row>
    <x:row r="585">
      <x:c r="A585" s="71" t="str">
        <x:v>BERINO ĐÀO - THÙNG</x:v>
      </x:c>
      <x:c r="B585" s="37" t="str">
        <x:v>BERDAOT</x:v>
      </x:c>
      <x:c r="C585" s="37" t="str">
        <x:v>BERDAOT</x:v>
      </x:c>
      <x:c r="D585" s="37" t="str">
        <x:v>BERDAO</x:v>
      </x:c>
      <x:c r="E585" s="37" t="n">
        <x:v>12</x:v>
      </x:c>
      <x:c r="F585" s="37" t="n">
        <x:v>17000</x:v>
      </x:c>
      <x:c r="G585" s="37" t="str">
        <x:v>g</x:v>
      </x:c>
      <x:c r="H585" s="37" t="str">
        <x:v>THÙNG</x:v>
      </x:c>
      <x:c r="I585" s="59" t="n">
        <x:v>1039000</x:v>
      </x:c>
      <x:c r="J585" s="59" t="n">
        <x:v>0</x:v>
      </x:c>
      <x:c r="K585" s="83" t="n">
        <x:v>0</x:v>
      </x:c>
    </x:row>
    <x:row r="586">
      <x:c r="A586" s="71" t="str">
        <x:v>BERINO DƯA LƯỚI - THÙNG</x:v>
      </x:c>
      <x:c r="B586" s="37" t="str">
        <x:v>BERDLUT</x:v>
      </x:c>
      <x:c r="C586" s="37" t="str">
        <x:v>BERDLUT</x:v>
      </x:c>
      <x:c r="D586" s="37" t="str">
        <x:v>BERDLU</x:v>
      </x:c>
      <x:c r="E586" s="37" t="n">
        <x:v>12</x:v>
      </x:c>
      <x:c r="F586" s="37" t="n">
        <x:v>17000</x:v>
      </x:c>
      <x:c r="G586" s="37" t="str">
        <x:v>g</x:v>
      </x:c>
      <x:c r="H586" s="37" t="str">
        <x:v>THÙNG</x:v>
      </x:c>
      <x:c r="I586" s="59" t="n">
        <x:v>1242000</x:v>
      </x:c>
      <x:c r="J586" s="59" t="n">
        <x:v>0</x:v>
      </x:c>
      <x:c r="K586" s="83" t="n">
        <x:v>0</x:v>
      </x:c>
    </x:row>
    <x:row r="587">
      <x:c r="A587" s="71" t="str">
        <x:v>BERINO DÂU TẰM - THÙNG</x:v>
      </x:c>
      <x:c r="B587" s="37" t="str">
        <x:v>BERDTMT</x:v>
      </x:c>
      <x:c r="C587" s="37" t="str">
        <x:v>BERDTMT</x:v>
      </x:c>
      <x:c r="D587" s="37" t="str">
        <x:v>BERDTM</x:v>
      </x:c>
      <x:c r="E587" s="37" t="n">
        <x:v>12</x:v>
      </x:c>
      <x:c r="F587" s="37" t="n">
        <x:v>17000</x:v>
      </x:c>
      <x:c r="G587" s="37" t="str">
        <x:v>g</x:v>
      </x:c>
      <x:c r="H587" s="37" t="str">
        <x:v>THÙNG</x:v>
      </x:c>
      <x:c r="I587" s="59" t="n">
        <x:v>1159000</x:v>
      </x:c>
      <x:c r="J587" s="59" t="n">
        <x:v>0</x:v>
      </x:c>
      <x:c r="K587" s="83" t="n">
        <x:v>0</x:v>
      </x:c>
    </x:row>
    <x:row r="588">
      <x:c r="A588" s="71" t="str">
        <x:v>BERINO DÂU - THÙNG</x:v>
      </x:c>
      <x:c r="B588" s="37" t="str">
        <x:v>BERDAUT</x:v>
      </x:c>
      <x:c r="C588" s="37" t="str">
        <x:v>BERDAUT</x:v>
      </x:c>
      <x:c r="D588" s="37" t="str">
        <x:v>BERDAU</x:v>
      </x:c>
      <x:c r="E588" s="37" t="n">
        <x:v>12</x:v>
      </x:c>
      <x:c r="F588" s="37" t="n">
        <x:v>17000</x:v>
      </x:c>
      <x:c r="G588" s="37" t="str">
        <x:v>g</x:v>
      </x:c>
      <x:c r="H588" s="37" t="str">
        <x:v>THÙNG</x:v>
      </x:c>
      <x:c r="I588" s="59" t="n">
        <x:v>991000</x:v>
      </x:c>
      <x:c r="J588" s="59" t="n">
        <x:v>0</x:v>
      </x:c>
      <x:c r="K588" s="83" t="n">
        <x:v>0</x:v>
      </x:c>
    </x:row>
    <x:row r="589">
      <x:c r="A589" s="71" t="str">
        <x:v>BERINO CHANH DÂY - THÙNG</x:v>
      </x:c>
      <x:c r="B589" s="37" t="str">
        <x:v>BERCDAT</x:v>
      </x:c>
      <x:c r="C589" s="37" t="str">
        <x:v>BERCDAT</x:v>
      </x:c>
      <x:c r="D589" s="37" t="str">
        <x:v>BERCDA</x:v>
      </x:c>
      <x:c r="E589" s="37" t="n">
        <x:v>12</x:v>
      </x:c>
      <x:c r="F589" s="37" t="n">
        <x:v>17000</x:v>
      </x:c>
      <x:c r="G589" s="37" t="str">
        <x:v>g</x:v>
      </x:c>
      <x:c r="H589" s="37" t="str">
        <x:v>THÙNG</x:v>
      </x:c>
      <x:c r="I589" s="59" t="n">
        <x:v>1153000</x:v>
      </x:c>
      <x:c r="J589" s="59" t="n">
        <x:v>0</x:v>
      </x:c>
      <x:c r="K589" s="83" t="n">
        <x:v>0</x:v>
      </x:c>
    </x:row>
    <x:row r="590">
      <x:c r="A590" s="71" t="str">
        <x:v>BAO CHỮ T - BAO</x:v>
      </x:c>
      <x:c r="B590" s="37" t="str">
        <x:v>BAOCHTT</x:v>
      </x:c>
      <x:c r="C590" s="37" t="str">
        <x:v>BAOCHTT</x:v>
      </x:c>
      <x:c r="D590" s="37" t="str">
        <x:v>BAOCHT</x:v>
      </x:c>
      <x:c r="E590" s="37" t="n">
        <x:v>30</x:v>
      </x:c>
      <x:c r="F590" s="37" t="n">
        <x:v>0</x:v>
      </x:c>
      <x:c r="G590" s="37" t="str">
        <x:v>g</x:v>
      </x:c>
      <x:c r="H590" s="37" t="str">
        <x:v>BAO</x:v>
      </x:c>
      <x:c r="I590" s="59" t="n">
        <x:v>0</x:v>
      </x:c>
      <x:c r="J590" s="59" t="n">
        <x:v>0</x:v>
      </x:c>
      <x:c r="K590" s="83" t="n">
        <x:v>0</x:v>
      </x:c>
    </x:row>
    <x:row r="591">
      <x:c r="A591" s="71" t="str">
        <x:v>BAO 2 LY NGANG - BAO</x:v>
      </x:c>
      <x:c r="B591" s="37" t="str">
        <x:v>BAO2LNT</x:v>
      </x:c>
      <x:c r="C591" s="37" t="str">
        <x:v>BAO2LNT</x:v>
      </x:c>
      <x:c r="D591" s="37" t="str">
        <x:v>BAO2LN</x:v>
      </x:c>
      <x:c r="E591" s="37" t="n">
        <x:v>30</x:v>
      </x:c>
      <x:c r="F591" s="37" t="n">
        <x:v>0</x:v>
      </x:c>
      <x:c r="G591" s="37" t="str">
        <x:v>g</x:v>
      </x:c>
      <x:c r="H591" s="37" t="str">
        <x:v>BAO</x:v>
      </x:c>
      <x:c r="I591" s="59" t="n">
        <x:v>0</x:v>
      </x:c>
      <x:c r="J591" s="59" t="n">
        <x:v>0</x:v>
      </x:c>
      <x:c r="K591" s="83" t="n">
        <x:v>0</x:v>
      </x:c>
    </x:row>
    <x:row r="592">
      <x:c r="A592" s="71" t="str">
        <x:v>BAO 1 LY NGANG - BAO</x:v>
      </x:c>
      <x:c r="B592" s="37" t="str">
        <x:v>BAO1LNT</x:v>
      </x:c>
      <x:c r="C592" s="37" t="str">
        <x:v>BAO1LNT</x:v>
      </x:c>
      <x:c r="D592" s="37" t="str">
        <x:v>BAO1LN</x:v>
      </x:c>
      <x:c r="E592" s="37" t="n">
        <x:v>30</x:v>
      </x:c>
      <x:c r="F592" s="37" t="n">
        <x:v>0</x:v>
      </x:c>
      <x:c r="G592" s="37" t="str">
        <x:v>g</x:v>
      </x:c>
      <x:c r="H592" s="37" t="str">
        <x:v>BAO</x:v>
      </x:c>
      <x:c r="I592" s="59" t="n">
        <x:v>0</x:v>
      </x:c>
      <x:c r="J592" s="59" t="n">
        <x:v>0</x:v>
      </x:c>
      <x:c r="K592" s="83" t="n">
        <x:v>0</x:v>
      </x:c>
    </x:row>
    <x:row r="593">
      <x:c r="A593" s="71" t="str">
        <x:v>BÁNH TRÁNG NƯỚNG VÀNG - CÂY</x:v>
      </x:c>
      <x:c r="B593" s="37" t="str">
        <x:v>BTNVAGT</x:v>
      </x:c>
      <x:c r="C593" s="37" t="str">
        <x:v>BTNVAGT</x:v>
      </x:c>
      <x:c r="D593" s="37" t="str">
        <x:v>BTNVAG</x:v>
      </x:c>
      <x:c r="E593" s="37" t="n">
        <x:v>8</x:v>
      </x:c>
      <x:c r="F593" s="37" t="n">
        <x:v>8000</x:v>
      </x:c>
      <x:c r="G593" s="37" t="str">
        <x:v>g</x:v>
      </x:c>
      <x:c r="H593" s="37" t="str">
        <x:v>CÂY</x:v>
      </x:c>
      <x:c r="I593" s="59" t="n">
        <x:v>315000</x:v>
      </x:c>
      <x:c r="J593" s="59" t="n">
        <x:v>0</x:v>
      </x:c>
      <x:c r="K593" s="83" t="n">
        <x:v>0</x:v>
      </x:c>
    </x:row>
    <x:row r="594">
      <x:c r="A594" s="71" t="str">
        <x:v>BÁNH TRÁNG CẮT NGON - BAO</x:v>
      </x:c>
      <x:c r="B594" s="37" t="str">
        <x:v>BTRCATT</x:v>
      </x:c>
      <x:c r="C594" s="37" t="str">
        <x:v>BTRCATT</x:v>
      </x:c>
      <x:c r="D594" s="37" t="str">
        <x:v>BTRCAT</x:v>
      </x:c>
      <x:c r="E594" s="37" t="n">
        <x:v>8</x:v>
      </x:c>
      <x:c r="F594" s="37" t="n">
        <x:v>8000</x:v>
      </x:c>
      <x:c r="G594" s="37" t="str">
        <x:v>g</x:v>
      </x:c>
      <x:c r="H594" s="37" t="str">
        <x:v>BAO</x:v>
      </x:c>
      <x:c r="I594" s="59" t="n">
        <x:v>0</x:v>
      </x:c>
      <x:c r="J594" s="59" t="n">
        <x:v>0</x:v>
      </x:c>
      <x:c r="K594" s="83" t="n">
        <x:v>0</x:v>
      </x:c>
    </x:row>
    <x:row r="595">
      <x:c r="A595" s="71" t="str">
        <x:v>BÁNH TRÁNG CAM - CÂY</x:v>
      </x:c>
      <x:c r="B595" s="37" t="str">
        <x:v>BTRCAMT</x:v>
      </x:c>
      <x:c r="C595" s="37" t="str">
        <x:v>BTRCAMT</x:v>
      </x:c>
      <x:c r="D595" s="37" t="str">
        <x:v>BTRCAM</x:v>
      </x:c>
      <x:c r="E595" s="37" t="n">
        <x:v>6</x:v>
      </x:c>
      <x:c r="F595" s="37" t="n">
        <x:v>6000</x:v>
      </x:c>
      <x:c r="G595" s="37" t="str">
        <x:v>g</x:v>
      </x:c>
      <x:c r="H595" s="37" t="str">
        <x:v>CÂY</x:v>
      </x:c>
      <x:c r="I595" s="59" t="n">
        <x:v>215000</x:v>
      </x:c>
      <x:c r="J595" s="59" t="n">
        <x:v>240000</x:v>
      </x:c>
      <x:c r="K595" s="83" t="n">
        <x:v>0</x:v>
      </x:c>
    </x:row>
    <x:row r="596">
      <x:c r="A596" s="71" t="str">
        <x:v>GTP BẠC HÀ - THÙNG</x:v>
      </x:c>
      <x:c r="B596" s="37" t="str">
        <x:v>GTPBHAT</x:v>
      </x:c>
      <x:c r="C596" s="37" t="str">
        <x:v>GTPBHAT</x:v>
      </x:c>
      <x:c r="D596" s="37" t="str">
        <x:v>GTPBHA</x:v>
      </x:c>
      <x:c r="E596" s="37" t="n">
        <x:v>6</x:v>
      </x:c>
      <x:c r="F596" s="37" t="n">
        <x:v>16000</x:v>
      </x:c>
      <x:c r="G596" s="37" t="str">
        <x:v>g</x:v>
      </x:c>
      <x:c r="H596" s="37" t="str">
        <x:v>THÙNG</x:v>
      </x:c>
      <x:c r="I596" s="59" t="n">
        <x:v>0</x:v>
      </x:c>
      <x:c r="J596" s="59" t="n">
        <x:v>0</x:v>
      </x:c>
      <x:c r="K596" s="83" t="n">
        <x:v>0</x:v>
      </x:c>
    </x:row>
    <x:row r="597">
      <x:c r="A597" s="71" t="str">
        <x:v>ATISO WONDERFUL - THÙNG</x:v>
      </x:c>
      <x:c r="B597" s="37" t="str">
        <x:v>ATSWDFT</x:v>
      </x:c>
      <x:c r="C597" s="37" t="str">
        <x:v>ATSWDFT</x:v>
      </x:c>
      <x:c r="D597" s="37" t="str">
        <x:v>ATSWDF</x:v>
      </x:c>
      <x:c r="E597" s="37" t="n">
        <x:v>12</x:v>
      </x:c>
      <x:c r="F597" s="37" t="n">
        <x:v>0</x:v>
      </x:c>
      <x:c r="G597" s="37" t="str">
        <x:v>g</x:v>
      </x:c>
      <x:c r="H597" s="37" t="str">
        <x:v>THÙNG</x:v>
      </x:c>
      <x:c r="I597" s="59" t="n">
        <x:v>0</x:v>
      </x:c>
      <x:c r="J597" s="59" t="n">
        <x:v>888000</x:v>
      </x:c>
      <x:c r="K597" s="83" t="n">
        <x:v>0</x:v>
      </x:c>
    </x:row>
    <x:row r="598">
      <x:c r="A598" s="71" t="str">
        <x:v>ANCHOR - THÙNG</x:v>
      </x:c>
      <x:c r="B598" s="37" t="str">
        <x:v>ANCHORT</x:v>
      </x:c>
      <x:c r="C598" s="37" t="str">
        <x:v>ANCHORT</x:v>
      </x:c>
      <x:c r="D598" s="37" t="str">
        <x:v>ANCHOR</x:v>
      </x:c>
      <x:c r="E598" s="37" t="n">
        <x:v>12</x:v>
      </x:c>
      <x:c r="F598" s="37" t="n">
        <x:v>0</x:v>
      </x:c>
      <x:c r="G598" s="37" t="str">
        <x:v>g</x:v>
      </x:c>
      <x:c r="H598" s="37" t="str">
        <x:v>THÙNG</x:v>
      </x:c>
      <x:c r="I598" s="59" t="n">
        <x:v>0</x:v>
      </x:c>
      <x:c r="J598" s="59" t="n">
        <x:v>1920000</x:v>
      </x:c>
      <x:c r="K598" s="83" t="n">
        <x:v>0</x:v>
      </x:c>
    </x:row>
    <x:row r="599">
      <x:c r="A599" s="71" t="str">
        <x:v>3Q ZION TRẮNG - THÙNG</x:v>
      </x:c>
      <x:c r="B599" s="37" t="str">
        <x:v>3QZITRT</x:v>
      </x:c>
      <x:c r="C599" s="37" t="str">
        <x:v>3QZITRT</x:v>
      </x:c>
      <x:c r="D599" s="37" t="str">
        <x:v>3QZITR</x:v>
      </x:c>
      <x:c r="E599" s="37" t="n">
        <x:v>6</x:v>
      </x:c>
      <x:c r="F599" s="37" t="n">
        <x:v>13000</x:v>
      </x:c>
      <x:c r="G599" s="37" t="str">
        <x:v>g</x:v>
      </x:c>
      <x:c r="H599" s="37" t="str">
        <x:v>THÙNG</x:v>
      </x:c>
      <x:c r="I599" s="59" t="n">
        <x:v>0</x:v>
      </x:c>
      <x:c r="J599" s="59" t="n">
        <x:v>275000</x:v>
      </x:c>
      <x:c r="K599" s="83" t="n">
        <x:v>0</x:v>
      </x:c>
    </x:row>
    <x:row r="600">
      <x:c r="A600" s="71" t="str">
        <x:v>3Q SEA TRẮNG - THÙNG</x:v>
      </x:c>
      <x:c r="B600" s="37" t="str">
        <x:v>3QSEATT</x:v>
      </x:c>
      <x:c r="C600" s="37" t="str">
        <x:v>3QSEATT</x:v>
      </x:c>
      <x:c r="D600" s="37" t="str">
        <x:v>3QSEAT</x:v>
      </x:c>
      <x:c r="E600" s="37" t="n">
        <x:v>6</x:v>
      </x:c>
      <x:c r="F600" s="37" t="n">
        <x:v>13000</x:v>
      </x:c>
      <x:c r="G600" s="37" t="str">
        <x:v>g</x:v>
      </x:c>
      <x:c r="H600" s="37" t="str">
        <x:v>THÙNG</x:v>
      </x:c>
      <x:c r="I600" s="59" t="n">
        <x:v>0</x:v>
      </x:c>
      <x:c r="J600" s="59" t="n">
        <x:v>265000</x:v>
      </x:c>
      <x:c r="K600" s="83" t="n">
        <x:v>0</x:v>
      </x:c>
    </x:row>
    <x:row r="601">
      <x:c r="A601" s="71" t="str">
        <x:v>3Q SEA ĐEN - THÙNG</x:v>
      </x:c>
      <x:c r="B601" s="37" t="str">
        <x:v>3QSEADT</x:v>
      </x:c>
      <x:c r="C601" s="37" t="str">
        <x:v>3QSEADT</x:v>
      </x:c>
      <x:c r="D601" s="37" t="str">
        <x:v>3QSEAD</x:v>
      </x:c>
      <x:c r="E601" s="37" t="n">
        <x:v>6</x:v>
      </x:c>
      <x:c r="F601" s="37" t="n">
        <x:v>13000</x:v>
      </x:c>
      <x:c r="G601" s="37" t="str">
        <x:v>g</x:v>
      </x:c>
      <x:c r="H601" s="37" t="str">
        <x:v>THÙNG</x:v>
      </x:c>
      <x:c r="I601" s="59" t="n">
        <x:v>0</x:v>
      </x:c>
      <x:c r="J601" s="59" t="n">
        <x:v>270000</x:v>
      </x:c>
      <x:c r="K601" s="83" t="n">
        <x:v>0</x:v>
      </x:c>
    </x:row>
    <x:row r="602">
      <x:c r="A602" s="71" t="str">
        <x:v>3Q OK TRẮNG - THÙNG</x:v>
      </x:c>
      <x:c r="B602" s="37" t="str">
        <x:v>3QOKTRT</x:v>
      </x:c>
      <x:c r="C602" s="37" t="str">
        <x:v>3QOKTRT</x:v>
      </x:c>
      <x:c r="D602" s="37" t="str">
        <x:v>3QOKTR</x:v>
      </x:c>
      <x:c r="E602" s="37" t="n">
        <x:v>6</x:v>
      </x:c>
      <x:c r="F602" s="37" t="n">
        <x:v>13000</x:v>
      </x:c>
      <x:c r="G602" s="37" t="str">
        <x:v>g</x:v>
      </x:c>
      <x:c r="H602" s="37" t="str">
        <x:v>THÙNG</x:v>
      </x:c>
      <x:c r="I602" s="59" t="n">
        <x:v>0</x:v>
      </x:c>
      <x:c r="J602" s="59" t="n">
        <x:v>315000</x:v>
      </x:c>
      <x:c r="K602" s="83" t="n">
        <x:v>0</x:v>
      </x:c>
    </x:row>
    <x:row r="603">
      <x:c r="A603" s="71" t="str">
        <x:v>3Q OK OLONG - THÙNG</x:v>
      </x:c>
      <x:c r="B603" s="37" t="str">
        <x:v>3QOKOLT</x:v>
      </x:c>
      <x:c r="C603" s="37" t="str">
        <x:v>3QOKOLT</x:v>
      </x:c>
      <x:c r="D603" s="37" t="str">
        <x:v>3QOKOL</x:v>
      </x:c>
      <x:c r="E603" s="37" t="n">
        <x:v>6</x:v>
      </x:c>
      <x:c r="F603" s="37" t="n">
        <x:v>13000</x:v>
      </x:c>
      <x:c r="G603" s="37" t="str">
        <x:v>g</x:v>
      </x:c>
      <x:c r="H603" s="37" t="str">
        <x:v>THÙNG</x:v>
      </x:c>
      <x:c r="I603" s="59" t="n">
        <x:v>0</x:v>
      </x:c>
      <x:c r="J603" s="59" t="n">
        <x:v>360000</x:v>
      </x:c>
      <x:c r="K603" s="83" t="n">
        <x:v>0</x:v>
      </x:c>
    </x:row>
    <x:row r="604">
      <x:c r="A604" s="71" t="str">
        <x:v>3Q BIBI TRẮNG - THÙNG</x:v>
      </x:c>
      <x:c r="B604" s="37" t="str">
        <x:v>3QBBTRT</x:v>
      </x:c>
      <x:c r="C604" s="37" t="str">
        <x:v>3QBBTRT</x:v>
      </x:c>
      <x:c r="D604" s="37" t="str">
        <x:v>3QBBTR</x:v>
      </x:c>
      <x:c r="E604" s="37" t="n">
        <x:v>6</x:v>
      </x:c>
      <x:c r="F604" s="37" t="n">
        <x:v>13000</x:v>
      </x:c>
      <x:c r="G604" s="37" t="str">
        <x:v>g</x:v>
      </x:c>
      <x:c r="H604" s="37" t="str">
        <x:v>THÙNG</x:v>
      </x:c>
      <x:c r="I604" s="59" t="n">
        <x:v>0</x:v>
      </x:c>
      <x:c r="J604" s="59" t="n">
        <x:v>270000</x:v>
      </x:c>
      <x:c r="K604" s="83" t="n">
        <x:v>0</x:v>
      </x:c>
    </x:row>
    <x:row r="605">
      <x:c r="A605" s="71" t="str">
        <x:v>3Q BIBI ĐEN - THÙNG</x:v>
      </x:c>
      <x:c r="B605" s="37" t="str">
        <x:v>3QBBDET</x:v>
      </x:c>
      <x:c r="C605" s="37" t="str">
        <x:v>3QBBDET</x:v>
      </x:c>
      <x:c r="D605" s="37" t="str">
        <x:v>3QBBDE</x:v>
      </x:c>
      <x:c r="E605" s="37" t="n">
        <x:v>6</x:v>
      </x:c>
      <x:c r="F605" s="37" t="n">
        <x:v>13000</x:v>
      </x:c>
      <x:c r="G605" s="37" t="str">
        <x:v>g</x:v>
      </x:c>
      <x:c r="H605" s="37" t="str">
        <x:v>THÙNG</x:v>
      </x:c>
      <x:c r="I605" s="59" t="n">
        <x:v>0</x:v>
      </x:c>
      <x:c r="J605" s="59" t="n">
        <x:v>280000</x:v>
      </x:c>
      <x:c r="K605" s="83" t="n">
        <x:v>0</x:v>
      </x:c>
    </x:row>
    <x:row r="606">
      <x:c r="A606" s="71" t="str">
        <x:v>3Q BIBI DÂU - THÙNG</x:v>
      </x:c>
      <x:c r="B606" s="37" t="str">
        <x:v>3QBBDAT</x:v>
      </x:c>
      <x:c r="C606" s="37" t="str">
        <x:v>3QBBDAT</x:v>
      </x:c>
      <x:c r="D606" s="37" t="str">
        <x:v>3QBBDA</x:v>
      </x:c>
      <x:c r="E606" s="37" t="n">
        <x:v>6</x:v>
      </x:c>
      <x:c r="F606" s="37" t="n">
        <x:v>13000</x:v>
      </x:c>
      <x:c r="G606" s="37" t="str">
        <x:v>g</x:v>
      </x:c>
      <x:c r="H606" s="37" t="str">
        <x:v>THÙNG</x:v>
      </x:c>
      <x:c r="I606" s="59" t="n">
        <x:v>0</x:v>
      </x:c>
      <x:c r="J606" s="59" t="n">
        <x:v>0</x:v>
      </x:c>
      <x:c r="K606" s="83" t="n">
        <x:v>0</x:v>
      </x:c>
    </x:row>
    <x:row r="607">
      <x:c r="A607" s="72" t="str">
        <x:v>3Q BIBI ĐÀO - THÙNG</x:v>
      </x:c>
      <x:c r="B607" s="44" t="str">
        <x:v>3QBBDOT</x:v>
      </x:c>
      <x:c r="C607" s="44" t="str">
        <x:v>3QBBDOT</x:v>
      </x:c>
      <x:c r="D607" s="44" t="str">
        <x:v>3QBBDO</x:v>
      </x:c>
      <x:c r="E607" s="44" t="n">
        <x:v>6</x:v>
      </x:c>
      <x:c r="F607" s="44" t="n">
        <x:v>13000</x:v>
      </x:c>
      <x:c r="G607" s="44" t="str">
        <x:v>g</x:v>
      </x:c>
      <x:c r="H607" s="44" t="str">
        <x:v>THÙNG</x:v>
      </x:c>
      <x:c r="I607" s="64" t="n">
        <x:v>0</x:v>
      </x:c>
      <x:c r="J607" s="64" t="n">
        <x:v>0</x:v>
      </x:c>
      <x:c r="K607" s="8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48d738ecf1f476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8" hidden="0" customWidth="1"/>
    <x:col min="9" max="9" width="15" hidden="0" customWidth="1"/>
    <x:col min="10" max="10" width="14" hidden="0" customWidth="1"/>
    <x:col min="11" max="11" width="16" hidden="0" customWidth="1"/>
    <x:col min="12" max="12" width="17" hidden="0" customWidth="1"/>
    <x:col min="13" max="13" width="16" hidden="0" customWidth="1"/>
    <x:col min="14" max="14" width="15" hidden="0" customWidth="1"/>
    <x:col min="15" max="15" width="18" hidden="0" customWidth="1"/>
    <x:col min="16" max="16" width="24" hidden="0" customWidth="1"/>
    <x:col min="17" max="17" width="26" hidden="0" customWidth="1"/>
    <x:col min="18" max="18" width="18" hidden="0" customWidth="1"/>
    <x:col min="19" max="19" width="22" hidden="0" customWidth="1"/>
  </x:cols>
  <x:sheetData>
    <x:row r="1">
      <x:c r="A1" s="89" t="str">
        <x:v>Dòng MASTER</x:v>
      </x:c>
      <x:c r="B1" s="89" t="str">
        <x:v>Tên sản phẩm chuẩn</x:v>
      </x:c>
      <x:c r="C1" s="89" t="str">
        <x:v>SKU đơn vị</x:v>
      </x:c>
      <x:c r="D1" s="89" t="str">
        <x:v>SKU quy đổi</x:v>
      </x:c>
      <x:c r="E1" s="89" t="str">
        <x:v>Giá trước cập nhật</x:v>
      </x:c>
      <x:c r="F1" s="89" t="str">
        <x:v>Giá lẻ DS sản phẩm</x:v>
      </x:c>
      <x:c r="G1" s="89" t="str">
        <x:v>Giá sau cập nhật</x:v>
      </x:c>
      <x:c r="H1" s="89" t="str">
        <x:v>Trạng thái cập nhật</x:v>
      </x:c>
      <x:c r="I1" s="89" t="str">
        <x:v>Khối lượng đơn vị</x:v>
      </x:c>
      <x:c r="J1" s="89" t="str">
        <x:v>ĐVT KL đơn vị</x:v>
      </x:c>
      <x:c r="K1" s="89" t="str">
        <x:v>ĐVT bán lẻ</x:v>
      </x:c>
      <x:c r="L1" s="89" t="str">
        <x:v>Khối lượng quy đổi</x:v>
      </x:c>
      <x:c r="M1" s="89" t="str">
        <x:v>ĐVT KL quy đổi</x:v>
      </x:c>
      <x:c r="N1" s="89" t="str">
        <x:v>ĐVT quy đổi</x:v>
      </x:c>
      <x:c r="O1" s="89" t="str">
        <x:v>SL quy đổi giữ nguyên</x:v>
      </x:c>
      <x:c r="P1" s="89" t="str">
        <x:v>Quy cách lẻ chuẩn</x:v>
      </x:c>
      <x:c r="Q1" s="89" t="str">
        <x:v>Quy cách quy đổi chuẩn</x:v>
      </x:c>
      <x:c r="R1" s="89" t="str">
        <x:v>Dòng DS SP SKU lẻ</x:v>
      </x:c>
      <x:c r="S1" s="89" t="str">
        <x:v>Dòng DS SP SKU quy đổi</x:v>
      </x:c>
    </x:row>
    <x:row r="2">
      <x:c r="A2" s="108" t="n">
        <x:v>2</x:v>
      </x:c>
      <x:c r="B2" s="109" t="str">
        <x:v>HẠT NỔ TRẮNG LOTUS</x:v>
      </x:c>
      <x:c r="C2" s="109" t="str">
        <x:v>NOTRLT</x:v>
      </x:c>
      <x:c r="D2" s="109" t="str">
        <x:v>NOTRLTT</x:v>
      </x:c>
      <x:c r="E2" s="119"/>
      <x:c r="F2" s="119" t="n">
        <x:v>0</x:v>
      </x:c>
      <x:c r="G2" s="119"/>
      <x:c r="H2" s="109" t="str">
        <x:v>DS SP GIÁ 0 - VẪN THIẾU GIÁ</x:v>
      </x:c>
      <x:c r="I2" s="109" t="n">
        <x:v>850</x:v>
      </x:c>
      <x:c r="J2" s="109" t="str">
        <x:v>g</x:v>
      </x:c>
      <x:c r="K2" s="109" t="str">
        <x:v>LON</x:v>
      </x:c>
      <x:c r="L2" s="109" t="n">
        <x:v>10200</x:v>
      </x:c>
      <x:c r="M2" s="109" t="str">
        <x:v>g</x:v>
      </x:c>
      <x:c r="N2" s="109" t="str">
        <x:v>THÙNG</x:v>
      </x:c>
      <x:c r="O2" s="109" t="n">
        <x:v>12</x:v>
      </x:c>
      <x:c r="P2" s="109" t="str">
        <x:v>850 g / LON</x:v>
      </x:c>
      <x:c r="Q2" s="109" t="str">
        <x:v>12 LON / THÙNG</x:v>
      </x:c>
      <x:c r="R2" s="109" t="n">
        <x:v>2</x:v>
      </x:c>
      <x:c r="S2" s="110" t="n">
        <x:v>3</x:v>
      </x:c>
    </x:row>
    <x:row r="3">
      <x:c r="A3" s="111" t="n">
        <x:v>3</x:v>
      </x:c>
      <x:c r="B3" s="112" t="str">
        <x:v>SIRO TRINH ĐÀO</x:v>
      </x:c>
      <x:c r="C3" s="112" t="str">
        <x:v>SRTRDO</x:v>
      </x:c>
      <x:c r="D3" s="112" t="str">
        <x:v>SRTRDOT</x:v>
      </x:c>
      <x:c r="E3" s="120"/>
      <x:c r="F3" s="120" t="n">
        <x:v>0</x:v>
      </x:c>
      <x:c r="G3" s="120"/>
      <x:c r="H3" s="112" t="str">
        <x:v>DS SP GIÁ 0 - VẪN THIẾU GIÁ</x:v>
      </x:c>
      <x:c r="I3" s="112" t="n">
        <x:v>1</x:v>
      </x:c>
      <x:c r="J3" s="112" t="str">
        <x:v>kg</x:v>
      </x:c>
      <x:c r="K3" s="112" t="str">
        <x:v>CHAI</x:v>
      </x:c>
      <x:c r="L3" s="112" t="n">
        <x:v>20</x:v>
      </x:c>
      <x:c r="M3" s="112" t="str">
        <x:v>kg</x:v>
      </x:c>
      <x:c r="N3" s="112" t="str">
        <x:v>THÙNG</x:v>
      </x:c>
      <x:c r="O3" s="112" t="n">
        <x:v>20</x:v>
      </x:c>
      <x:c r="P3" s="112" t="str">
        <x:v>1 kg / CHAI</x:v>
      </x:c>
      <x:c r="Q3" s="112" t="str">
        <x:v>20 CHAI / THÙNG</x:v>
      </x:c>
      <x:c r="R3" s="112" t="n">
        <x:v>37</x:v>
      </x:c>
      <x:c r="S3" s="113" t="n">
        <x:v>38</x:v>
      </x:c>
    </x:row>
    <x:row r="4">
      <x:c r="A4" s="111" t="n">
        <x:v>4</x:v>
      </x:c>
      <x:c r="B4" s="112" t="str">
        <x:v>TRÀ LÀI TAM MÃ</x:v>
      </x:c>
      <x:c r="C4" s="112" t="str">
        <x:v>TRLATM</x:v>
      </x:c>
      <x:c r="D4" s="112" t="str">
        <x:v>TRLATMT</x:v>
      </x:c>
      <x:c r="E4" s="120"/>
      <x:c r="F4" s="120" t="n">
        <x:v>0</x:v>
      </x:c>
      <x:c r="G4" s="120"/>
      <x:c r="H4" s="112" t="str">
        <x:v>DS SP GIÁ 0 - VẪN THIẾU GIÁ</x:v>
      </x:c>
      <x:c r="I4" s="112" t="n">
        <x:v>500</x:v>
      </x:c>
      <x:c r="J4" s="112" t="str">
        <x:v>g</x:v>
      </x:c>
      <x:c r="K4" s="112" t="str">
        <x:v>BỊCH</x:v>
      </x:c>
      <x:c r="L4" s="112" t="n">
        <x:v>25000</x:v>
      </x:c>
      <x:c r="M4" s="112" t="str">
        <x:v>g</x:v>
      </x:c>
      <x:c r="N4" s="112" t="str">
        <x:v>THÙNG</x:v>
      </x:c>
      <x:c r="O4" s="112" t="n">
        <x:v>50</x:v>
      </x:c>
      <x:c r="P4" s="112" t="str">
        <x:v>500 g / BỊCH</x:v>
      </x:c>
      <x:c r="Q4" s="112" t="str">
        <x:v>50 BỊCH / THÙNG</x:v>
      </x:c>
      <x:c r="R4" s="112" t="n">
        <x:v>120</x:v>
      </x:c>
      <x:c r="S4" s="113" t="n">
        <x:v>121</x:v>
      </x:c>
    </x:row>
    <x:row r="5">
      <x:c r="A5" s="111" t="n">
        <x:v>5</x:v>
      </x:c>
      <x:c r="B5" s="112" t="str">
        <x:v>TRÀ SÂM DỨA TAM MÃ</x:v>
      </x:c>
      <x:c r="C5" s="112" t="str">
        <x:v>TRSDTM</x:v>
      </x:c>
      <x:c r="D5" s="112" t="str">
        <x:v>TRSDTMT</x:v>
      </x:c>
      <x:c r="E5" s="120"/>
      <x:c r="F5" s="120" t="n">
        <x:v>0</x:v>
      </x:c>
      <x:c r="G5" s="120"/>
      <x:c r="H5" s="112" t="str">
        <x:v>DS SP GIÁ 0 - VẪN THIẾU GIÁ</x:v>
      </x:c>
      <x:c r="I5" s="112" t="n">
        <x:v>500</x:v>
      </x:c>
      <x:c r="J5" s="112" t="str">
        <x:v>g</x:v>
      </x:c>
      <x:c r="K5" s="112" t="str">
        <x:v>BỊCH</x:v>
      </x:c>
      <x:c r="L5" s="112" t="n">
        <x:v>25000</x:v>
      </x:c>
      <x:c r="M5" s="112" t="str">
        <x:v>g</x:v>
      </x:c>
      <x:c r="N5" s="112" t="str">
        <x:v>THÙNG</x:v>
      </x:c>
      <x:c r="O5" s="112" t="n">
        <x:v>50</x:v>
      </x:c>
      <x:c r="P5" s="112" t="str">
        <x:v>500 g / BỊCH</x:v>
      </x:c>
      <x:c r="Q5" s="112" t="str">
        <x:v>50 BỊCH / THÙNG</x:v>
      </x:c>
      <x:c r="R5" s="112" t="n">
        <x:v>6</x:v>
      </x:c>
      <x:c r="S5" s="113" t="n">
        <x:v>7</x:v>
      </x:c>
    </x:row>
    <x:row r="6">
      <x:c r="A6" s="111" t="n">
        <x:v>6</x:v>
      </x:c>
      <x:c r="B6" s="112" t="str">
        <x:v>BÁNH BAO CAM</x:v>
      </x:c>
      <x:c r="C6" s="112" t="str">
        <x:v>BBACAM</x:v>
      </x:c>
      <x:c r="D6" s="112" t="str">
        <x:v>BBACAMT</x:v>
      </x:c>
      <x:c r="E6" s="120"/>
      <x:c r="F6" s="120" t="n">
        <x:v>45000</x:v>
      </x:c>
      <x:c r="G6" s="120" t="n">
        <x:v>45000</x:v>
      </x:c>
      <x:c r="H6" s="112" t="str">
        <x:v>BỔ SUNG GIÁ</x:v>
      </x:c>
      <x:c r="I6" s="112" t="n">
        <x:v>500</x:v>
      </x:c>
      <x:c r="J6" s="112" t="str">
        <x:v>g</x:v>
      </x:c>
      <x:c r="K6" s="112" t="str">
        <x:v>GÓI</x:v>
      </x:c>
      <x:c r="L6" s="112" t="n">
        <x:v>10000</x:v>
      </x:c>
      <x:c r="M6" s="112" t="str">
        <x:v>g</x:v>
      </x:c>
      <x:c r="N6" s="112" t="str">
        <x:v>THÙNG</x:v>
      </x:c>
      <x:c r="O6" s="112" t="n">
        <x:v>20</x:v>
      </x:c>
      <x:c r="P6" s="112" t="str">
        <x:v>500 g / GÓI</x:v>
      </x:c>
      <x:c r="Q6" s="112" t="str">
        <x:v>20 GÓI / THÙNG</x:v>
      </x:c>
      <x:c r="R6" s="112" t="n">
        <x:v>1346</x:v>
      </x:c>
      <x:c r="S6" s="113" t="n">
        <x:v>1347</x:v>
      </x:c>
    </x:row>
    <x:row r="7">
      <x:c r="A7" s="111" t="n">
        <x:v>7</x:v>
      </x:c>
      <x:c r="B7" s="112" t="str">
        <x:v>THẢ LẨU CAM</x:v>
      </x:c>
      <x:c r="C7" s="112" t="str">
        <x:v>VTLCAM</x:v>
      </x:c>
      <x:c r="D7" s="112" t="str">
        <x:v>VTLCAMT</x:v>
      </x:c>
      <x:c r="E7" s="120"/>
      <x:c r="F7" s="120" t="n">
        <x:v>43000</x:v>
      </x:c>
      <x:c r="G7" s="120" t="n">
        <x:v>43000</x:v>
      </x:c>
      <x:c r="H7" s="112" t="str">
        <x:v>BỔ SUNG GIÁ</x:v>
      </x:c>
      <x:c r="I7" s="112" t="n">
        <x:v>500</x:v>
      </x:c>
      <x:c r="J7" s="112" t="str">
        <x:v>g</x:v>
      </x:c>
      <x:c r="K7" s="112" t="str">
        <x:v>GÓI</x:v>
      </x:c>
      <x:c r="L7" s="112" t="n">
        <x:v>20000</x:v>
      </x:c>
      <x:c r="M7" s="112" t="str">
        <x:v>g</x:v>
      </x:c>
      <x:c r="N7" s="112" t="str">
        <x:v>THÙNG</x:v>
      </x:c>
      <x:c r="O7" s="112" t="n">
        <x:v>40</x:v>
      </x:c>
      <x:c r="P7" s="112" t="str">
        <x:v>500 g / GÓI</x:v>
      </x:c>
      <x:c r="Q7" s="112" t="str">
        <x:v>40 GÓI / THÙNG</x:v>
      </x:c>
      <x:c r="R7" s="112" t="n">
        <x:v>353</x:v>
      </x:c>
      <x:c r="S7" s="113" t="n">
        <x:v>354</x:v>
      </x:c>
    </x:row>
    <x:row r="8">
      <x:c r="A8" s="111" t="n">
        <x:v>8</x:v>
      </x:c>
      <x:c r="B8" s="112" t="str">
        <x:v>XÚC XÍCH VƯỜN BIA</x:v>
      </x:c>
      <x:c r="C8" s="112" t="str">
        <x:v>XXVBIA</x:v>
      </x:c>
      <x:c r="D8" s="112" t="str">
        <x:v>XXVBIAT</x:v>
      </x:c>
      <x:c r="E8" s="120" t="n">
        <x:v>50000</x:v>
      </x:c>
      <x:c r="F8" s="120" t="n">
        <x:v>50000</x:v>
      </x:c>
      <x:c r="G8" s="120" t="n">
        <x:v>50000</x:v>
      </x:c>
      <x:c r="H8" s="112" t="str">
        <x:v>GIỮ NGUYÊN - ĐÃ KHỚP</x:v>
      </x:c>
      <x:c r="I8" s="112" t="n">
        <x:v>500</x:v>
      </x:c>
      <x:c r="J8" s="112" t="str">
        <x:v>g</x:v>
      </x:c>
      <x:c r="K8" s="112" t="str">
        <x:v>GÓI</x:v>
      </x:c>
      <x:c r="L8" s="112" t="n">
        <x:v>20000</x:v>
      </x:c>
      <x:c r="M8" s="112" t="str">
        <x:v>g</x:v>
      </x:c>
      <x:c r="N8" s="112" t="str">
        <x:v>THÙNG</x:v>
      </x:c>
      <x:c r="O8" s="112" t="n">
        <x:v>40</x:v>
      </x:c>
      <x:c r="P8" s="112" t="str">
        <x:v>500 g / GÓI</x:v>
      </x:c>
      <x:c r="Q8" s="112" t="str">
        <x:v>40 GÓI / THÙNG</x:v>
      </x:c>
      <x:c r="R8" s="112" t="n">
        <x:v>149</x:v>
      </x:c>
      <x:c r="S8" s="113" t="n">
        <x:v>150</x:v>
      </x:c>
    </x:row>
    <x:row r="9">
      <x:c r="A9" s="111" t="n">
        <x:v>9</x:v>
      </x:c>
      <x:c r="B9" s="112" t="str">
        <x:v>ỐC NHỒI LACUSA</x:v>
      </x:c>
      <x:c r="C9" s="112" t="str">
        <x:v>OCNHOI</x:v>
      </x:c>
      <x:c r="D9" s="112" t="str">
        <x:v>OCNHOIT</x:v>
      </x:c>
      <x:c r="E9" s="120" t="n">
        <x:v>33000</x:v>
      </x:c>
      <x:c r="F9" s="120" t="n">
        <x:v>32000</x:v>
      </x:c>
      <x:c r="G9" s="120" t="n">
        <x:v>32000</x:v>
      </x:c>
      <x:c r="H9" s="112" t="str">
        <x:v>CẬP NHẬT GIÁ</x:v>
      </x:c>
      <x:c r="I9" s="112" t="n">
        <x:v>500</x:v>
      </x:c>
      <x:c r="J9" s="112" t="str">
        <x:v>g</x:v>
      </x:c>
      <x:c r="K9" s="112" t="str">
        <x:v>GÓI</x:v>
      </x:c>
      <x:c r="L9" s="112" t="n">
        <x:v>20000</x:v>
      </x:c>
      <x:c r="M9" s="112" t="str">
        <x:v>g</x:v>
      </x:c>
      <x:c r="N9" s="112" t="str">
        <x:v>THÙNG</x:v>
      </x:c>
      <x:c r="O9" s="112" t="n">
        <x:v>40</x:v>
      </x:c>
      <x:c r="P9" s="112" t="str">
        <x:v>500 g / GÓI</x:v>
      </x:c>
      <x:c r="Q9" s="112" t="str">
        <x:v>40 GÓI / THÙNG</x:v>
      </x:c>
      <x:c r="R9" s="112" t="n">
        <x:v>755</x:v>
      </x:c>
      <x:c r="S9" s="113" t="n">
        <x:v>756</x:v>
      </x:c>
    </x:row>
    <x:row r="10">
      <x:c r="A10" s="111" t="n">
        <x:v>10</x:v>
      </x:c>
      <x:c r="B10" s="112" t="str">
        <x:v>TRÀ ONA QUẢ MỌNG</x:v>
      </x:c>
      <x:c r="C10" s="112" t="str">
        <x:v>TRQMON</x:v>
      </x:c>
      <x:c r="D10" s="112" t="str">
        <x:v>TRQMONT</x:v>
      </x:c>
      <x:c r="E10" s="120" t="n">
        <x:v>225000</x:v>
      </x:c>
      <x:c r="F10" s="120" t="n">
        <x:v>225000</x:v>
      </x:c>
      <x:c r="G10" s="120" t="n">
        <x:v>225000</x:v>
      </x:c>
      <x:c r="H10" s="112" t="str">
        <x:v>GIỮ NGUYÊN - ĐÃ KHỚP</x:v>
      </x:c>
      <x:c r="I10" s="112" t="n">
        <x:v>500</x:v>
      </x:c>
      <x:c r="J10" s="112" t="str">
        <x:v>g</x:v>
      </x:c>
      <x:c r="K10" s="112" t="str">
        <x:v>GÓI</x:v>
      </x:c>
      <x:c r="L10" s="112" t="n">
        <x:v>10000</x:v>
      </x:c>
      <x:c r="M10" s="112" t="str">
        <x:v>g</x:v>
      </x:c>
      <x:c r="N10" s="112" t="str">
        <x:v>THÙNG</x:v>
      </x:c>
      <x:c r="O10" s="112" t="n">
        <x:v>20</x:v>
      </x:c>
      <x:c r="P10" s="112" t="str">
        <x:v>500 g / GÓI</x:v>
      </x:c>
      <x:c r="Q10" s="112" t="str">
        <x:v>20 GÓI / THÙNG</x:v>
      </x:c>
      <x:c r="R10" s="112" t="n">
        <x:v>9</x:v>
      </x:c>
      <x:c r="S10" s="113" t="n">
        <x:v>10</x:v>
      </x:c>
    </x:row>
    <x:row r="11">
      <x:c r="A11" s="111" t="n">
        <x:v>11</x:v>
      </x:c>
      <x:c r="B11" s="112" t="str">
        <x:v>THANH CUA DÀI</x:v>
      </x:c>
      <x:c r="C11" s="112" t="str">
        <x:v>TCUADA</x:v>
      </x:c>
      <x:c r="D11" s="112" t="str">
        <x:v>TCUADAT</x:v>
      </x:c>
      <x:c r="E11" s="120" t="n">
        <x:v>130000</x:v>
      </x:c>
      <x:c r="F11" s="120" t="n">
        <x:v>130000</x:v>
      </x:c>
      <x:c r="G11" s="120" t="n">
        <x:v>130000</x:v>
      </x:c>
      <x:c r="H11" s="112" t="str">
        <x:v>GIỮ NGUYÊN - ĐÃ KHỚP</x:v>
      </x:c>
      <x:c r="I11" s="112" t="n">
        <x:v>1</x:v>
      </x:c>
      <x:c r="J11" s="112" t="str">
        <x:v>kg</x:v>
      </x:c>
      <x:c r="K11" s="112" t="str">
        <x:v>BỊCH</x:v>
      </x:c>
      <x:c r="L11" s="112" t="n">
        <x:v>10</x:v>
      </x:c>
      <x:c r="M11" s="112" t="str">
        <x:v>kg</x:v>
      </x:c>
      <x:c r="N11" s="112" t="str">
        <x:v>THÙNG</x:v>
      </x:c>
      <x:c r="O11" s="112" t="n">
        <x:v>10</x:v>
      </x:c>
      <x:c r="P11" s="112" t="str">
        <x:v>1 kg / BỊCH</x:v>
      </x:c>
      <x:c r="Q11" s="112" t="str">
        <x:v>10 BỊCH / THÙNG</x:v>
      </x:c>
      <x:c r="R11" s="112" t="n">
        <x:v>235</x:v>
      </x:c>
      <x:c r="S11" s="113" t="n">
        <x:v>236</x:v>
      </x:c>
    </x:row>
    <x:row r="12">
      <x:c r="A12" s="111" t="n">
        <x:v>12</x:v>
      </x:c>
      <x:c r="B12" s="112" t="str">
        <x:v>THANH CUA LICHUN</x:v>
      </x:c>
      <x:c r="C12" s="112" t="str">
        <x:v>TCUALC</x:v>
      </x:c>
      <x:c r="D12" s="112" t="str">
        <x:v>TCUALCT</x:v>
      </x:c>
      <x:c r="E12" s="120" t="n">
        <x:v>75000</x:v>
      </x:c>
      <x:c r="F12" s="120" t="n">
        <x:v>75000</x:v>
      </x:c>
      <x:c r="G12" s="120" t="n">
        <x:v>75000</x:v>
      </x:c>
      <x:c r="H12" s="112" t="str">
        <x:v>GIỮ NGUYÊN - ĐÃ KHỚP</x:v>
      </x:c>
      <x:c r="I12" s="112" t="n">
        <x:v>0.5</x:v>
      </x:c>
      <x:c r="J12" s="112" t="str">
        <x:v>kg</x:v>
      </x:c>
      <x:c r="K12" s="112" t="str">
        <x:v>BỊCH</x:v>
      </x:c>
      <x:c r="L12" s="112" t="n">
        <x:v>15</x:v>
      </x:c>
      <x:c r="M12" s="112" t="str">
        <x:v>kg</x:v>
      </x:c>
      <x:c r="N12" s="112" t="str">
        <x:v>THÙNG</x:v>
      </x:c>
      <x:c r="O12" s="112" t="n">
        <x:v>30</x:v>
      </x:c>
      <x:c r="P12" s="112" t="str">
        <x:v>0.5 kg / BỊCH</x:v>
      </x:c>
      <x:c r="Q12" s="112" t="str">
        <x:v>30 BỊCH / THÙNG</x:v>
      </x:c>
      <x:c r="R12" s="112" t="n">
        <x:v>233</x:v>
      </x:c>
      <x:c r="S12" s="113" t="n">
        <x:v>234</x:v>
      </x:c>
    </x:row>
    <x:row r="13">
      <x:c r="A13" s="111" t="n">
        <x:v>13</x:v>
      </x:c>
      <x:c r="B13" s="112" t="str">
        <x:v>BỘT PHOMAI ÔNG GIÀ</x:v>
      </x:c>
      <x:c r="C13" s="112" t="str">
        <x:v>BPMDBP</x:v>
      </x:c>
      <x:c r="D13" s="112" t="str">
        <x:v>BPMDBPT</x:v>
      </x:c>
      <x:c r="E13" s="120"/>
      <x:c r="F13" s="120" t="n">
        <x:v>415000</x:v>
      </x:c>
      <x:c r="G13" s="120" t="n">
        <x:v>415000</x:v>
      </x:c>
      <x:c r="H13" s="112" t="str">
        <x:v>BỔ SUNG GIÁ</x:v>
      </x:c>
      <x:c r="I13" s="112" t="n">
        <x:v>1000</x:v>
      </x:c>
      <x:c r="J13" s="112" t="str">
        <x:v>g</x:v>
      </x:c>
      <x:c r="K13" s="112" t="str">
        <x:v>BỊCH</x:v>
      </x:c>
      <x:c r="L13" s="112" t="n">
        <x:v>20000</x:v>
      </x:c>
      <x:c r="M13" s="112" t="str">
        <x:v>g</x:v>
      </x:c>
      <x:c r="N13" s="112" t="str">
        <x:v>THÙNG</x:v>
      </x:c>
      <x:c r="O13" s="112" t="n">
        <x:v>20</x:v>
      </x:c>
      <x:c r="P13" s="112" t="str">
        <x:v>1000 g / BỊCH</x:v>
      </x:c>
      <x:c r="Q13" s="112" t="str">
        <x:v>20 BỊCH / THÙNG</x:v>
      </x:c>
      <x:c r="R13" s="112" t="n">
        <x:v>1222</x:v>
      </x:c>
      <x:c r="S13" s="113" t="n">
        <x:v>1223</x:v>
      </x:c>
    </x:row>
    <x:row r="14">
      <x:c r="A14" s="111" t="n">
        <x:v>14</x:v>
      </x:c>
      <x:c r="B14" s="112" t="str">
        <x:v>HỒNG TRÀ GTP 3KG</x:v>
      </x:c>
      <x:c r="C14" s="112" t="str">
        <x:v>HTRGTP</x:v>
      </x:c>
      <x:c r="D14" s="112" t="str">
        <x:v>HTRGTPT</x:v>
      </x:c>
      <x:c r="E14" s="120"/>
      <x:c r="F14" s="120" t="n">
        <x:v>0</x:v>
      </x:c>
      <x:c r="G14" s="120"/>
      <x:c r="H14" s="112" t="str">
        <x:v>DS SP GIÁ 0 - VẪN THIẾU GIÁ</x:v>
      </x:c>
      <x:c r="I14" s="112" t="n">
        <x:v>3000</x:v>
      </x:c>
      <x:c r="J14" s="112" t="str">
        <x:v>g</x:v>
      </x:c>
      <x:c r="K14" s="112" t="str">
        <x:v>BỊCH</x:v>
      </x:c>
      <x:c r="L14" s="112" t="n">
        <x:v>24000</x:v>
      </x:c>
      <x:c r="M14" s="112" t="str">
        <x:v>g</x:v>
      </x:c>
      <x:c r="N14" s="112" t="str">
        <x:v>BAO</x:v>
      </x:c>
      <x:c r="O14" s="112" t="n">
        <x:v>8</x:v>
      </x:c>
      <x:c r="P14" s="112" t="str">
        <x:v>3000 g / BỊCH</x:v>
      </x:c>
      <x:c r="Q14" s="112" t="str">
        <x:v>8 BỊCH / BAO</x:v>
      </x:c>
      <x:c r="R14" s="112" t="n">
        <x:v>1003</x:v>
      </x:c>
      <x:c r="S14" s="113" t="n">
        <x:v>1004</x:v>
      </x:c>
    </x:row>
    <x:row r="15">
      <x:c r="A15" s="111" t="n">
        <x:v>15</x:v>
      </x:c>
      <x:c r="B15" s="112" t="str">
        <x:v>BÒ VIÊN 500g</x:v>
      </x:c>
      <x:c r="C15" s="112" t="str">
        <x:v>BOVIE5</x:v>
      </x:c>
      <x:c r="D15" s="112" t="str">
        <x:v>BOVIE5T</x:v>
      </x:c>
      <x:c r="E15" s="120" t="n">
        <x:v>32500</x:v>
      </x:c>
      <x:c r="F15" s="120" t="n">
        <x:v>32500</x:v>
      </x:c>
      <x:c r="G15" s="120" t="n">
        <x:v>32500</x:v>
      </x:c>
      <x:c r="H15" s="112" t="str">
        <x:v>GIỮ NGUYÊN - ĐÃ KHỚP</x:v>
      </x:c>
      <x:c r="I15" s="112" t="n">
        <x:v>500</x:v>
      </x:c>
      <x:c r="J15" s="112" t="str">
        <x:v>g</x:v>
      </x:c>
      <x:c r="K15" s="112" t="str">
        <x:v>GÓI</x:v>
      </x:c>
      <x:c r="L15" s="112" t="n">
        <x:v>20000</x:v>
      </x:c>
      <x:c r="M15" s="112" t="str">
        <x:v>g</x:v>
      </x:c>
      <x:c r="N15" s="112" t="str">
        <x:v>THÙNG</x:v>
      </x:c>
      <x:c r="O15" s="112" t="n">
        <x:v>40</x:v>
      </x:c>
      <x:c r="P15" s="112" t="str">
        <x:v>500 g / GÓI</x:v>
      </x:c>
      <x:c r="Q15" s="112" t="str">
        <x:v>40 GÓI / THÙNG</x:v>
      </x:c>
      <x:c r="R15" s="112" t="n">
        <x:v>1289</x:v>
      </x:c>
      <x:c r="S15" s="113" t="n">
        <x:v>1290</x:v>
      </x:c>
    </x:row>
    <x:row r="16">
      <x:c r="A16" s="111" t="n">
        <x:v>16</x:v>
      </x:c>
      <x:c r="B16" s="112" t="str">
        <x:v>KHOAI TÂY 1KG</x:v>
      </x:c>
      <x:c r="C16" s="112" t="str">
        <x:v>KTAY1K</x:v>
      </x:c>
      <x:c r="D16" s="112" t="str">
        <x:v>KTAY1KT</x:v>
      </x:c>
      <x:c r="E16" s="120" t="n">
        <x:v>60000</x:v>
      </x:c>
      <x:c r="F16" s="120" t="n">
        <x:v>60000</x:v>
      </x:c>
      <x:c r="G16" s="120" t="n">
        <x:v>60000</x:v>
      </x:c>
      <x:c r="H16" s="112" t="str">
        <x:v>GIỮ NGUYÊN - ĐÃ KHỚP</x:v>
      </x:c>
      <x:c r="I16" s="112" t="n">
        <x:v>1</x:v>
      </x:c>
      <x:c r="J16" s="112" t="str">
        <x:v>kg</x:v>
      </x:c>
      <x:c r="K16" s="112" t="str">
        <x:v>BỊCH</x:v>
      </x:c>
      <x:c r="L16" s="112" t="n">
        <x:v>10</x:v>
      </x:c>
      <x:c r="M16" s="112" t="str">
        <x:v>kg</x:v>
      </x:c>
      <x:c r="N16" s="112" t="str">
        <x:v>THÙNG</x:v>
      </x:c>
      <x:c r="O16" s="112" t="n">
        <x:v>10</x:v>
      </x:c>
      <x:c r="P16" s="112" t="str">
        <x:v>1 kg / BỊCH</x:v>
      </x:c>
      <x:c r="Q16" s="112" t="str">
        <x:v>10 BỊCH / THÙNG</x:v>
      </x:c>
      <x:c r="R16" s="112" t="n">
        <x:v>960</x:v>
      </x:c>
      <x:c r="S16" s="113" t="n">
        <x:v>961</x:v>
      </x:c>
    </x:row>
    <x:row r="17">
      <x:c r="A17" s="111" t="n">
        <x:v>17</x:v>
      </x:c>
      <x:c r="B17" s="112" t="str">
        <x:v>CUỘN ÉP TRONG</x:v>
      </x:c>
      <x:c r="C17" s="112" t="str">
        <x:v>CEPTRG</x:v>
      </x:c>
      <x:c r="D17" s="112" t="str">
        <x:v>CEPTRGT</x:v>
      </x:c>
      <x:c r="E17" s="120" t="n">
        <x:v>110000</x:v>
      </x:c>
      <x:c r="F17" s="120" t="n">
        <x:v>110000</x:v>
      </x:c>
      <x:c r="G17" s="120" t="n">
        <x:v>110000</x:v>
      </x:c>
      <x:c r="H17" s="112" t="str">
        <x:v>GIỮ NGUYÊN - ĐÃ KHỚP</x:v>
      </x:c>
      <x:c r="I17" s="112" t="n">
        <x:v>0</x:v>
      </x:c>
      <x:c r="J17" s="112" t="str">
        <x:v>g</x:v>
      </x:c>
      <x:c r="K17" s="112" t="str">
        <x:v>CUỘN</x:v>
      </x:c>
      <x:c r="L17" s="112" t="n">
        <x:v>0</x:v>
      </x:c>
      <x:c r="M17" s="112" t="str">
        <x:v>g</x:v>
      </x:c>
      <x:c r="N17" s="112" t="str">
        <x:v>THÙNG</x:v>
      </x:c>
      <x:c r="O17" s="112" t="n">
        <x:v>12</x:v>
      </x:c>
      <x:c r="P17" s="112" t="str">
        <x:v>0 g / CUỘN</x:v>
      </x:c>
      <x:c r="Q17" s="112" t="str">
        <x:v>12 CUỘN / THÙNG</x:v>
      </x:c>
      <x:c r="R17" s="112" t="n">
        <x:v>1151</x:v>
      </x:c>
      <x:c r="S17" s="113" t="n">
        <x:v>1152</x:v>
      </x:c>
    </x:row>
    <x:row r="18">
      <x:c r="A18" s="111" t="n">
        <x:v>18</x:v>
      </x:c>
      <x:c r="B18" s="112" t="str">
        <x:v>BỘT MILKFOAM NGUYÊN VỊ</x:v>
      </x:c>
      <x:c r="C18" s="112" t="str">
        <x:v>MFLVNV</x:v>
      </x:c>
      <x:c r="D18" s="112" t="str">
        <x:v>MFLVNVT</x:v>
      </x:c>
      <x:c r="E18" s="120"/>
      <x:c r="F18" s="120" t="n">
        <x:v>0</x:v>
      </x:c>
      <x:c r="G18" s="120"/>
      <x:c r="H18" s="112" t="str">
        <x:v>DS SP GIÁ 0 - VẪN THIẾU GIÁ</x:v>
      </x:c>
      <x:c r="I18" s="112" t="n">
        <x:v>500</x:v>
      </x:c>
      <x:c r="J18" s="112" t="str">
        <x:v>g</x:v>
      </x:c>
      <x:c r="K18" s="112" t="str">
        <x:v>BỊCH</x:v>
      </x:c>
      <x:c r="L18" s="112" t="n">
        <x:v>10000</x:v>
      </x:c>
      <x:c r="M18" s="112" t="str">
        <x:v>g</x:v>
      </x:c>
      <x:c r="N18" s="112" t="str">
        <x:v>THÙNG</x:v>
      </x:c>
      <x:c r="O18" s="112" t="n">
        <x:v>20</x:v>
      </x:c>
      <x:c r="P18" s="112" t="str">
        <x:v>500 g / BỊCH</x:v>
      </x:c>
      <x:c r="Q18" s="112" t="str">
        <x:v>20 BỊCH / THÙNG</x:v>
      </x:c>
      <x:c r="R18" s="112" t="n">
        <x:v>19</x:v>
      </x:c>
      <x:c r="S18" s="113" t="n">
        <x:v>20</x:v>
      </x:c>
    </x:row>
    <x:row r="19">
      <x:c r="A19" s="111" t="n">
        <x:v>19</x:v>
      </x:c>
      <x:c r="B19" s="112" t="str">
        <x:v>HẠT NỔ HỒNG LOTUS</x:v>
      </x:c>
      <x:c r="C19" s="112" t="str">
        <x:v>NOHGLT</x:v>
      </x:c>
      <x:c r="D19" s="112" t="str">
        <x:v>NOHGLTT</x:v>
      </x:c>
      <x:c r="E19" s="120"/>
      <x:c r="F19" s="120" t="n">
        <x:v>66000</x:v>
      </x:c>
      <x:c r="G19" s="120" t="n">
        <x:v>66000</x:v>
      </x:c>
      <x:c r="H19" s="112" t="str">
        <x:v>BỔ SUNG GIÁ</x:v>
      </x:c>
      <x:c r="I19" s="112" t="n">
        <x:v>850</x:v>
      </x:c>
      <x:c r="J19" s="112" t="str">
        <x:v>g</x:v>
      </x:c>
      <x:c r="K19" s="112" t="str">
        <x:v>LON</x:v>
      </x:c>
      <x:c r="L19" s="112" t="n">
        <x:v>10200</x:v>
      </x:c>
      <x:c r="M19" s="112" t="str">
        <x:v>g</x:v>
      </x:c>
      <x:c r="N19" s="112" t="str">
        <x:v>THÙNG</x:v>
      </x:c>
      <x:c r="O19" s="112" t="n">
        <x:v>12</x:v>
      </x:c>
      <x:c r="P19" s="112" t="str">
        <x:v>850 g / LON</x:v>
      </x:c>
      <x:c r="Q19" s="112" t="str">
        <x:v>12 LON / THÙNG</x:v>
      </x:c>
      <x:c r="R19" s="112" t="n">
        <x:v>21</x:v>
      </x:c>
      <x:c r="S19" s="113" t="n">
        <x:v>22</x:v>
      </x:c>
    </x:row>
    <x:row r="20">
      <x:c r="A20" s="111" t="n">
        <x:v>20</x:v>
      </x:c>
      <x:c r="B20" s="112" t="str">
        <x:v>BỘT PHOMAI ERODELI</x:v>
      </x:c>
      <x:c r="C20" s="112" t="str">
        <x:v>BPMEUR</x:v>
      </x:c>
      <x:c r="D20" s="112" t="str">
        <x:v>BPMEURT</x:v>
      </x:c>
      <x:c r="E20" s="120"/>
      <x:c r="F20" s="120" t="n">
        <x:v>275000</x:v>
      </x:c>
      <x:c r="G20" s="120" t="n">
        <x:v>275000</x:v>
      </x:c>
      <x:c r="H20" s="112" t="str">
        <x:v>BỔ SUNG GIÁ</x:v>
      </x:c>
      <x:c r="I20" s="112" t="n">
        <x:v>1</x:v>
      </x:c>
      <x:c r="J20" s="112" t="str">
        <x:v>kg</x:v>
      </x:c>
      <x:c r="K20" s="112" t="str">
        <x:v>BỊCH</x:v>
      </x:c>
      <x:c r="L20" s="112" t="n">
        <x:v>20</x:v>
      </x:c>
      <x:c r="M20" s="112" t="str">
        <x:v>kg</x:v>
      </x:c>
      <x:c r="N20" s="112" t="str">
        <x:v>THÙNG</x:v>
      </x:c>
      <x:c r="O20" s="112" t="n">
        <x:v>20</x:v>
      </x:c>
      <x:c r="P20" s="112" t="str">
        <x:v>1 kg / BỊCH</x:v>
      </x:c>
      <x:c r="Q20" s="112" t="str">
        <x:v>20 BỊCH / THÙNG</x:v>
      </x:c>
      <x:c r="R20" s="112" t="n">
        <x:v>1224</x:v>
      </x:c>
      <x:c r="S20" s="113" t="n">
        <x:v>1225</x:v>
      </x:c>
    </x:row>
    <x:row r="21">
      <x:c r="A21" s="111" t="n">
        <x:v>21</x:v>
      </x:c>
      <x:c r="B21" s="112" t="str">
        <x:v>DỒI SỤN</x:v>
      </x:c>
      <x:c r="C21" s="112" t="str">
        <x:v>DOISUN</x:v>
      </x:c>
      <x:c r="D21" s="112" t="str">
        <x:v>DOISUNT</x:v>
      </x:c>
      <x:c r="E21" s="120" t="n">
        <x:v>39000</x:v>
      </x:c>
      <x:c r="F21" s="120" t="n">
        <x:v>38000</x:v>
      </x:c>
      <x:c r="G21" s="120" t="n">
        <x:v>38000</x:v>
      </x:c>
      <x:c r="H21" s="112" t="str">
        <x:v>CẬP NHẬT GIÁ</x:v>
      </x:c>
      <x:c r="I21" s="112" t="n">
        <x:v>500</x:v>
      </x:c>
      <x:c r="J21" s="112" t="str">
        <x:v>g</x:v>
      </x:c>
      <x:c r="K21" s="112" t="str">
        <x:v>GÓI</x:v>
      </x:c>
      <x:c r="L21" s="112" t="n">
        <x:v>10000</x:v>
      </x:c>
      <x:c r="M21" s="112" t="str">
        <x:v>g</x:v>
      </x:c>
      <x:c r="N21" s="112" t="str">
        <x:v>THÙNG</x:v>
      </x:c>
      <x:c r="O21" s="112" t="n">
        <x:v>20</x:v>
      </x:c>
      <x:c r="P21" s="112" t="str">
        <x:v>500 g / GÓI</x:v>
      </x:c>
      <x:c r="Q21" s="112" t="str">
        <x:v>20 GÓI / THÙNG</x:v>
      </x:c>
      <x:c r="R21" s="112" t="n">
        <x:v>1094</x:v>
      </x:c>
      <x:c r="S21" s="113" t="n">
        <x:v>1095</x:v>
      </x:c>
    </x:row>
    <x:row r="22">
      <x:c r="A22" s="111" t="n">
        <x:v>22</x:v>
      </x:c>
      <x:c r="B22" s="112" t="str">
        <x:v>VẢI HOÀNG GIA MỚI (MOCHI)</x:v>
      </x:c>
      <x:c r="C22" s="112" t="str">
        <x:v>VAIMOC</x:v>
      </x:c>
      <x:c r="D22" s="112" t="str">
        <x:v>VAIMOCT</x:v>
      </x:c>
      <x:c r="E22" s="120"/>
      <x:c r="F22" s="120" t="n">
        <x:v>39000</x:v>
      </x:c>
      <x:c r="G22" s="120" t="n">
        <x:v>39000</x:v>
      </x:c>
      <x:c r="H22" s="112" t="str">
        <x:v>BỔ SUNG GIÁ</x:v>
      </x:c>
      <x:c r="I22" s="112" t="n">
        <x:v>900</x:v>
      </x:c>
      <x:c r="J22" s="112" t="str">
        <x:v>g</x:v>
      </x:c>
      <x:c r="K22" s="112" t="str">
        <x:v>LON</x:v>
      </x:c>
      <x:c r="L22" s="112" t="n">
        <x:v>12000</x:v>
      </x:c>
      <x:c r="M22" s="112" t="str">
        <x:v>g</x:v>
      </x:c>
      <x:c r="N22" s="112" t="str">
        <x:v>THÙNG</x:v>
      </x:c>
      <x:c r="O22" s="112" t="n">
        <x:v>12</x:v>
      </x:c>
      <x:c r="P22" s="112" t="str">
        <x:v>900 g / LON</x:v>
      </x:c>
      <x:c r="Q22" s="112" t="str">
        <x:v>12 LON / THÙNG</x:v>
      </x:c>
      <x:c r="R22" s="112" t="n">
        <x:v>24</x:v>
      </x:c>
      <x:c r="S22" s="113" t="n">
        <x:v>25</x:v>
      </x:c>
    </x:row>
    <x:row r="23">
      <x:c r="A23" s="111" t="n">
        <x:v>23</x:v>
      </x:c>
      <x:c r="B23" s="112" t="str">
        <x:v>TINH DẦU ỚT</x:v>
      </x:c>
      <x:c r="C23" s="112" t="str">
        <x:v>TDOTDO</x:v>
      </x:c>
      <x:c r="D23" s="112" t="str">
        <x:v>TDOTDOT</x:v>
      </x:c>
      <x:c r="E23" s="120" t="n">
        <x:v>155000</x:v>
      </x:c>
      <x:c r="F23" s="120" t="n">
        <x:v>155000</x:v>
      </x:c>
      <x:c r="G23" s="120" t="n">
        <x:v>155000</x:v>
      </x:c>
      <x:c r="H23" s="112" t="str">
        <x:v>GIỮ NGUYÊN - ĐÃ KHỚP</x:v>
      </x:c>
      <x:c r="I23" s="112" t="n">
        <x:v>0.5</x:v>
      </x:c>
      <x:c r="J23" s="112" t="str">
        <x:v>kg</x:v>
      </x:c>
      <x:c r="K23" s="112" t="str">
        <x:v>CHAI</x:v>
      </x:c>
      <x:c r="L23" s="112" t="n">
        <x:v>6</x:v>
      </x:c>
      <x:c r="M23" s="112" t="str">
        <x:v>kg</x:v>
      </x:c>
      <x:c r="N23" s="112" t="str">
        <x:v>THÙNG</x:v>
      </x:c>
      <x:c r="O23" s="112" t="n">
        <x:v>12</x:v>
      </x:c>
      <x:c r="P23" s="112" t="str">
        <x:v>0.5 kg / CHAI</x:v>
      </x:c>
      <x:c r="Q23" s="112" t="str">
        <x:v>12 CHAI / THÙNG</x:v>
      </x:c>
      <x:c r="R23" s="112" t="n">
        <x:v>386</x:v>
      </x:c>
      <x:c r="S23" s="113" t="n">
        <x:v>387</x:v>
      </x:c>
    </x:row>
    <x:row r="24">
      <x:c r="A24" s="111" t="n">
        <x:v>24</x:v>
      </x:c>
      <x:c r="B24" s="112" t="str">
        <x:v>TRÀ OLONG TẤM</x:v>
      </x:c>
      <x:c r="C24" s="112" t="str">
        <x:v>TROLTA</x:v>
      </x:c>
      <x:c r="D24" s="112" t="str">
        <x:v>TROLTAT</x:v>
      </x:c>
      <x:c r="E24" s="120"/>
      <x:c r="F24" s="120" t="n">
        <x:v>80000</x:v>
      </x:c>
      <x:c r="G24" s="120" t="n">
        <x:v>80000</x:v>
      </x:c>
      <x:c r="H24" s="112" t="str">
        <x:v>BỔ SUNG GIÁ</x:v>
      </x:c>
      <x:c r="I24" s="112" t="n">
        <x:v>500</x:v>
      </x:c>
      <x:c r="J24" s="112" t="str">
        <x:v>g</x:v>
      </x:c>
      <x:c r="K24" s="112" t="str">
        <x:v>BỊCH</x:v>
      </x:c>
      <x:c r="L24" s="112" t="n">
        <x:v>11000</x:v>
      </x:c>
      <x:c r="M24" s="112" t="str">
        <x:v>g</x:v>
      </x:c>
      <x:c r="N24" s="112" t="str">
        <x:v>THÙNG</x:v>
      </x:c>
      <x:c r="O24" s="112" t="n">
        <x:v>20</x:v>
      </x:c>
      <x:c r="P24" s="112" t="str">
        <x:v>500 g / BỊCH</x:v>
      </x:c>
      <x:c r="Q24" s="112" t="str">
        <x:v>20 BỊCH / THÙNG</x:v>
      </x:c>
      <x:c r="R24" s="112" t="n">
        <x:v>183</x:v>
      </x:c>
      <x:c r="S24" s="113" t="n">
        <x:v>184</x:v>
      </x:c>
    </x:row>
    <x:row r="25">
      <x:c r="A25" s="111" t="n">
        <x:v>25</x:v>
      </x:c>
      <x:c r="B25" s="112" t="str">
        <x:v>TRÀ OLONG KHÓI NOVIA</x:v>
      </x:c>
      <x:c r="C25" s="112" t="str">
        <x:v>PVN1253</x:v>
      </x:c>
      <x:c r="D25" s="112" t="str">
        <x:v>PVN1254</x:v>
      </x:c>
      <x:c r="E25" s="120"/>
      <x:c r="F25" s="120" t="n">
        <x:v>0</x:v>
      </x:c>
      <x:c r="G25" s="120"/>
      <x:c r="H25" s="112" t="str">
        <x:v>DS SP GIÁ 0 - VẪN THIẾU GIÁ</x:v>
      </x:c>
      <x:c r="I25" s="112" t="n">
        <x:v>0</x:v>
      </x:c>
      <x:c r="J25" s="112" t="str">
        <x:v>g</x:v>
      </x:c>
      <x:c r="K25" s="112" t="str">
        <x:v>BỊCH</x:v>
      </x:c>
      <x:c r="L25" s="112" t="n">
        <x:v>0</x:v>
      </x:c>
      <x:c r="M25" s="112" t="str">
        <x:v>g</x:v>
      </x:c>
      <x:c r="N25" s="112" t="str">
        <x:v>THÙNG</x:v>
      </x:c>
      <x:c r="O25" s="112" t="n">
        <x:v>20</x:v>
      </x:c>
      <x:c r="P25" s="112" t="str">
        <x:v>0 g / BỊCH</x:v>
      </x:c>
      <x:c r="Q25" s="112" t="str">
        <x:v>20 BỊCH / THÙNG</x:v>
      </x:c>
      <x:c r="R25" s="112" t="n">
        <x:v>30</x:v>
      </x:c>
      <x:c r="S25" s="113" t="n">
        <x:v>31</x:v>
      </x:c>
    </x:row>
    <x:row r="26">
      <x:c r="A26" s="111" t="n">
        <x:v>26</x:v>
      </x:c>
      <x:c r="B26" s="112" t="str">
        <x:v>TRÀ OLONG NƯỚNG NOVIA</x:v>
      </x:c>
      <x:c r="C26" s="112" t="str">
        <x:v>PVN1251</x:v>
      </x:c>
      <x:c r="D26" s="112" t="str">
        <x:v>PVN1252</x:v>
      </x:c>
      <x:c r="E26" s="120"/>
      <x:c r="F26" s="120" t="n">
        <x:v>0</x:v>
      </x:c>
      <x:c r="G26" s="120"/>
      <x:c r="H26" s="112" t="str">
        <x:v>DS SP GIÁ 0 - VẪN THIẾU GIÁ</x:v>
      </x:c>
      <x:c r="I26" s="112" t="n">
        <x:v>0</x:v>
      </x:c>
      <x:c r="J26" s="112" t="str">
        <x:v>g</x:v>
      </x:c>
      <x:c r="K26" s="112" t="str">
        <x:v>GÓI</x:v>
      </x:c>
      <x:c r="L26" s="112" t="n">
        <x:v>0</x:v>
      </x:c>
      <x:c r="M26" s="112" t="str">
        <x:v>g</x:v>
      </x:c>
      <x:c r="N26" s="112" t="str">
        <x:v>THÙNG</x:v>
      </x:c>
      <x:c r="O26" s="112" t="n">
        <x:v>20</x:v>
      </x:c>
      <x:c r="P26" s="112" t="str">
        <x:v>0 g / GÓI</x:v>
      </x:c>
      <x:c r="Q26" s="112" t="str">
        <x:v>20 GÓI / THÙNG</x:v>
      </x:c>
      <x:c r="R26" s="112" t="n">
        <x:v>32</x:v>
      </x:c>
      <x:c r="S26" s="113" t="n">
        <x:v>33</x:v>
      </x:c>
    </x:row>
    <x:row r="27">
      <x:c r="A27" s="111" t="n">
        <x:v>27</x:v>
      </x:c>
      <x:c r="B27" s="112" t="str">
        <x:v>BONE MILKY</x:v>
      </x:c>
      <x:c r="C27" s="112" t="str">
        <x:v>PVN1249</x:v>
      </x:c>
      <x:c r="D27" s="112" t="str">
        <x:v>PVN1250</x:v>
      </x:c>
      <x:c r="E27" s="120"/>
      <x:c r="F27" s="120" t="n">
        <x:v>0</x:v>
      </x:c>
      <x:c r="G27" s="120"/>
      <x:c r="H27" s="112" t="str">
        <x:v>DS SP GIÁ 0 - VẪN THIẾU GIÁ</x:v>
      </x:c>
      <x:c r="I27" s="112" t="n">
        <x:v>0</x:v>
      </x:c>
      <x:c r="J27" s="112" t="str">
        <x:v>g</x:v>
      </x:c>
      <x:c r="K27" s="112" t="str">
        <x:v>BỊCH</x:v>
      </x:c>
      <x:c r="L27" s="112" t="n">
        <x:v>0</x:v>
      </x:c>
      <x:c r="M27" s="112" t="str">
        <x:v>g</x:v>
      </x:c>
      <x:c r="N27" s="112" t="str">
        <x:v>THÙNG</x:v>
      </x:c>
      <x:c r="O27" s="112" t="n">
        <x:v>12</x:v>
      </x:c>
      <x:c r="P27" s="112" t="str">
        <x:v>0 g / BỊCH</x:v>
      </x:c>
      <x:c r="Q27" s="112" t="str">
        <x:v>12 BỊCH / THÙNG</x:v>
      </x:c>
      <x:c r="R27" s="112" t="n">
        <x:v>34</x:v>
      </x:c>
      <x:c r="S27" s="113" t="n">
        <x:v>35</x:v>
      </x:c>
    </x:row>
    <x:row r="28">
      <x:c r="A28" s="111" t="n">
        <x:v>28</x:v>
      </x:c>
      <x:c r="B28" s="112" t="str">
        <x:v>ĐÀO GOLDREEF</x:v>
      </x:c>
      <x:c r="C28" s="112" t="str">
        <x:v>DAOGRF</x:v>
      </x:c>
      <x:c r="D28" s="112" t="str">
        <x:v>DAOGRFT</x:v>
      </x:c>
      <x:c r="E28" s="120"/>
      <x:c r="F28" s="120" t="n">
        <x:v>0</x:v>
      </x:c>
      <x:c r="G28" s="120"/>
      <x:c r="H28" s="112" t="str">
        <x:v>DS SP GIÁ 0 - VẪN THIẾU GIÁ</x:v>
      </x:c>
      <x:c r="I28" s="112" t="n">
        <x:v>1</x:v>
      </x:c>
      <x:c r="J28" s="112" t="str">
        <x:v>kg</x:v>
      </x:c>
      <x:c r="K28" s="112" t="str">
        <x:v>LON</x:v>
      </x:c>
      <x:c r="L28" s="112" t="n">
        <x:v>12</x:v>
      </x:c>
      <x:c r="M28" s="112" t="str">
        <x:v>kg</x:v>
      </x:c>
      <x:c r="N28" s="112" t="str">
        <x:v>THÙNG</x:v>
      </x:c>
      <x:c r="O28" s="112" t="n">
        <x:v>12</x:v>
      </x:c>
      <x:c r="P28" s="112" t="str">
        <x:v>1 kg / LON</x:v>
      </x:c>
      <x:c r="Q28" s="112" t="str">
        <x:v>12 LON / THÙNG</x:v>
      </x:c>
      <x:c r="R28" s="112" t="n">
        <x:v>39</x:v>
      </x:c>
      <x:c r="S28" s="113" t="n">
        <x:v>40</x:v>
      </x:c>
    </x:row>
    <x:row r="29">
      <x:c r="A29" s="111" t="n">
        <x:v>29</x:v>
      </x:c>
      <x:c r="B29" s="112" t="str">
        <x:v>ĐẬM ĐẶC MÃNG CẦU</x:v>
      </x:c>
      <x:c r="C29" s="112" t="str">
        <x:v>DDGMCA</x:v>
      </x:c>
      <x:c r="D29" s="112" t="str">
        <x:v>DDGMCAT</x:v>
      </x:c>
      <x:c r="E29" s="120"/>
      <x:c r="F29" s="120" t="n">
        <x:v>0</x:v>
      </x:c>
      <x:c r="G29" s="120"/>
      <x:c r="H29" s="112" t="str">
        <x:v>DS SP GIÁ 0 - VẪN THIẾU GIÁ</x:v>
      </x:c>
      <x:c r="I29" s="112" t="n">
        <x:v>1.2</x:v>
      </x:c>
      <x:c r="J29" s="112" t="str">
        <x:v>kg</x:v>
      </x:c>
      <x:c r="K29" s="112" t="str">
        <x:v>CHAI</x:v>
      </x:c>
      <x:c r="L29" s="112" t="n">
        <x:v>16</x:v>
      </x:c>
      <x:c r="M29" s="112" t="str">
        <x:v>kg</x:v>
      </x:c>
      <x:c r="N29" s="112" t="str">
        <x:v>THÙNG</x:v>
      </x:c>
      <x:c r="O29" s="112" t="n">
        <x:v>12</x:v>
      </x:c>
      <x:c r="P29" s="112" t="str">
        <x:v>1.2 kg / CHAI</x:v>
      </x:c>
      <x:c r="Q29" s="112" t="str">
        <x:v>12 CHAI / THÙNG</x:v>
      </x:c>
      <x:c r="R29" s="112" t="n">
        <x:v>43</x:v>
      </x:c>
      <x:c r="S29" s="113" t="n">
        <x:v>44</x:v>
      </x:c>
    </x:row>
    <x:row r="30">
      <x:c r="A30" s="111" t="n">
        <x:v>30</x:v>
      </x:c>
      <x:c r="B30" s="112" t="str">
        <x:v>LY 700 UKP</x:v>
      </x:c>
      <x:c r="C30" s="112" t="str">
        <x:v>LYU700</x:v>
      </x:c>
      <x:c r="D30" s="112" t="str">
        <x:v>LYU700T</x:v>
      </x:c>
      <x:c r="E30" s="120"/>
      <x:c r="F30" s="120" t="n">
        <x:v>26000</x:v>
      </x:c>
      <x:c r="G30" s="120" t="n">
        <x:v>26000</x:v>
      </x:c>
      <x:c r="H30" s="112" t="str">
        <x:v>BỔ SUNG GIÁ</x:v>
      </x:c>
      <x:c r="I30" s="112" t="n">
        <x:v>0</x:v>
      </x:c>
      <x:c r="J30" s="112" t="str">
        <x:v>g</x:v>
      </x:c>
      <x:c r="K30" s="112" t="str">
        <x:v>CÂY</x:v>
      </x:c>
      <x:c r="L30" s="112" t="n">
        <x:v>0</x:v>
      </x:c>
      <x:c r="M30" s="112" t="str">
        <x:v>g</x:v>
      </x:c>
      <x:c r="N30" s="112" t="str">
        <x:v>THÙNG</x:v>
      </x:c>
      <x:c r="O30" s="112" t="n">
        <x:v>20</x:v>
      </x:c>
      <x:c r="P30" s="112" t="str">
        <x:v>0 g / CÂY</x:v>
      </x:c>
      <x:c r="Q30" s="112" t="str">
        <x:v>20 CÂY / THÙNG</x:v>
      </x:c>
      <x:c r="R30" s="112" t="n">
        <x:v>937</x:v>
      </x:c>
      <x:c r="S30" s="113" t="n">
        <x:v>938</x:v>
      </x:c>
    </x:row>
    <x:row r="31">
      <x:c r="A31" s="111" t="n">
        <x:v>31</x:v>
      </x:c>
      <x:c r="B31" s="112" t="str">
        <x:v>HẠT NỔ TRẮNG DEDU</x:v>
      </x:c>
      <x:c r="C31" s="112" t="str">
        <x:v>NOTRDD</x:v>
      </x:c>
      <x:c r="D31" s="112" t="str">
        <x:v>NOTRDDT</x:v>
      </x:c>
      <x:c r="E31" s="120"/>
      <x:c r="F31" s="120" t="n">
        <x:v>71000</x:v>
      </x:c>
      <x:c r="G31" s="120" t="n">
        <x:v>71000</x:v>
      </x:c>
      <x:c r="H31" s="112" t="str">
        <x:v>BỔ SUNG GIÁ</x:v>
      </x:c>
      <x:c r="I31" s="112" t="n">
        <x:v>1</x:v>
      </x:c>
      <x:c r="J31" s="112" t="str">
        <x:v>kg</x:v>
      </x:c>
      <x:c r="K31" s="112" t="str">
        <x:v>LON</x:v>
      </x:c>
      <x:c r="L31" s="112" t="n">
        <x:v>13</x:v>
      </x:c>
      <x:c r="M31" s="112" t="str">
        <x:v>kg</x:v>
      </x:c>
      <x:c r="N31" s="112" t="str">
        <x:v>THÙNG</x:v>
      </x:c>
      <x:c r="O31" s="112" t="n">
        <x:v>12</x:v>
      </x:c>
      <x:c r="P31" s="112" t="str">
        <x:v>1 kg / LON</x:v>
      </x:c>
      <x:c r="Q31" s="112" t="str">
        <x:v>12 LON / THÙNG</x:v>
      </x:c>
      <x:c r="R31" s="112" t="n">
        <x:v>47</x:v>
      </x:c>
      <x:c r="S31" s="113" t="n">
        <x:v>48</x:v>
      </x:c>
    </x:row>
    <x:row r="32">
      <x:c r="A32" s="111" t="n">
        <x:v>32</x:v>
      </x:c>
      <x:c r="B32" s="112" t="str">
        <x:v>COZY HOÀ TAN BÍ ĐAO</x:v>
      </x:c>
      <x:c r="C32" s="112" t="str">
        <x:v>COHTBD</x:v>
      </x:c>
      <x:c r="D32" s="112" t="str">
        <x:v>COHTBDT</x:v>
      </x:c>
      <x:c r="E32" s="120" t="n">
        <x:v>36000</x:v>
      </x:c>
      <x:c r="F32" s="120" t="n">
        <x:v>0</x:v>
      </x:c>
      <x:c r="G32" s="120" t="n">
        <x:v>36000</x:v>
      </x:c>
      <x:c r="H32" s="112" t="str">
        <x:v>DS SP GIÁ 0 - GIỮ GIÁ CŨ</x:v>
      </x:c>
      <x:c r="I32" s="112" t="n">
        <x:v>0</x:v>
      </x:c>
      <x:c r="J32" s="112" t="str">
        <x:v>g</x:v>
      </x:c>
      <x:c r="K32" s="112" t="str">
        <x:v>HỘP</x:v>
      </x:c>
      <x:c r="L32" s="112" t="n">
        <x:v>10000</x:v>
      </x:c>
      <x:c r="M32" s="112" t="str">
        <x:v>g</x:v>
      </x:c>
      <x:c r="N32" s="112" t="str">
        <x:v>THÙNG</x:v>
      </x:c>
      <x:c r="O32" s="112" t="n">
        <x:v>30</x:v>
      </x:c>
      <x:c r="P32" s="112" t="str">
        <x:v>0 g / HỘP</x:v>
      </x:c>
      <x:c r="Q32" s="112" t="str">
        <x:v>30 HỘP / THÙNG</x:v>
      </x:c>
      <x:c r="R32" s="112" t="n">
        <x:v>49</x:v>
      </x:c>
      <x:c r="S32" s="113" t="n">
        <x:v>50</x:v>
      </x:c>
    </x:row>
    <x:row r="33">
      <x:c r="A33" s="111" t="n">
        <x:v>33</x:v>
      </x:c>
      <x:c r="B33" s="112" t="str">
        <x:v>3Q ZION ĐEN</x:v>
      </x:c>
      <x:c r="C33" s="112" t="str">
        <x:v>3QZIDE</x:v>
      </x:c>
      <x:c r="D33" s="112" t="str">
        <x:v>3QZIDET</x:v>
      </x:c>
      <x:c r="E33" s="120" t="n">
        <x:v>52000</x:v>
      </x:c>
      <x:c r="F33" s="120" t="n">
        <x:v>55000</x:v>
      </x:c>
      <x:c r="G33" s="120" t="n">
        <x:v>55000</x:v>
      </x:c>
      <x:c r="H33" s="112" t="str">
        <x:v>CẬP NHẬT GIÁ</x:v>
      </x:c>
      <x:c r="I33" s="112" t="n">
        <x:v>2</x:v>
      </x:c>
      <x:c r="J33" s="112" t="str">
        <x:v>kg</x:v>
      </x:c>
      <x:c r="K33" s="112" t="str">
        <x:v>GÓI</x:v>
      </x:c>
      <x:c r="L33" s="112" t="n">
        <x:v>13</x:v>
      </x:c>
      <x:c r="M33" s="112" t="str">
        <x:v>kg</x:v>
      </x:c>
      <x:c r="N33" s="112" t="str">
        <x:v>THÙNG</x:v>
      </x:c>
      <x:c r="O33" s="112" t="n">
        <x:v>6</x:v>
      </x:c>
      <x:c r="P33" s="112" t="str">
        <x:v>2 kg / GÓI</x:v>
      </x:c>
      <x:c r="Q33" s="112" t="str">
        <x:v>6 GÓI / THÙNG</x:v>
      </x:c>
      <x:c r="R33" s="112" t="n">
        <x:v>52</x:v>
      </x:c>
      <x:c r="S33" s="113" t="n">
        <x:v>53</x:v>
      </x:c>
    </x:row>
    <x:row r="34">
      <x:c r="A34" s="111" t="n">
        <x:v>34</x:v>
      </x:c>
      <x:c r="B34" s="112" t="str">
        <x:v>MUỖNG DÀI ĐEN BỌC MÀNG</x:v>
      </x:c>
      <x:c r="C34" s="112" t="str">
        <x:v>MUDDMA</x:v>
      </x:c>
      <x:c r="D34" s="112" t="str">
        <x:v>MUDDMAT</x:v>
      </x:c>
      <x:c r="E34" s="120"/>
      <x:c r="F34" s="120" t="n">
        <x:v>580000</x:v>
      </x:c>
      <x:c r="G34" s="120" t="n">
        <x:v>580000</x:v>
      </x:c>
      <x:c r="H34" s="112" t="str">
        <x:v>BỔ SUNG GIÁ</x:v>
      </x:c>
      <x:c r="I34" s="112" t="n">
        <x:v>0</x:v>
      </x:c>
      <x:c r="J34" s="112" t="str">
        <x:v>g</x:v>
      </x:c>
      <x:c r="K34" s="112" t="str">
        <x:v>BỊCH</x:v>
      </x:c>
      <x:c r="L34" s="112" t="n">
        <x:v>0</x:v>
      </x:c>
      <x:c r="M34" s="112" t="str">
        <x:v>g</x:v>
      </x:c>
      <x:c r="N34" s="112" t="str">
        <x:v>THÙNG</x:v>
      </x:c>
      <x:c r="O34" s="112" t="n">
        <x:v>40</x:v>
      </x:c>
      <x:c r="P34" s="112" t="str">
        <x:v>0 g / BỊCH</x:v>
      </x:c>
      <x:c r="Q34" s="112" t="str">
        <x:v>40 BỊCH / THÙNG</x:v>
      </x:c>
      <x:c r="R34" s="112" t="n">
        <x:v>56</x:v>
      </x:c>
      <x:c r="S34" s="113" t="n">
        <x:v>57</x:v>
      </x:c>
    </x:row>
    <x:row r="35">
      <x:c r="A35" s="111" t="n">
        <x:v>35</x:v>
      </x:c>
      <x:c r="B35" s="112" t="str">
        <x:v>SỐT SAIJANG</x:v>
      </x:c>
      <x:c r="C35" s="112" t="str">
        <x:v>SAIJANG</x:v>
      </x:c>
      <x:c r="D35" s="112" t="str">
        <x:v>SAIJANGT</x:v>
      </x:c>
      <x:c r="E35" s="120"/>
      <x:c r="F35" s="120" t="n">
        <x:v>53000</x:v>
      </x:c>
      <x:c r="G35" s="120" t="n">
        <x:v>53000</x:v>
      </x:c>
      <x:c r="H35" s="112" t="str">
        <x:v>BỔ SUNG GIÁ</x:v>
      </x:c>
      <x:c r="I35" s="112" t="n">
        <x:v>1</x:v>
      </x:c>
      <x:c r="J35" s="112" t="str">
        <x:v>kg</x:v>
      </x:c>
      <x:c r="K35" s="112" t="str">
        <x:v>GÓI</x:v>
      </x:c>
      <x:c r="L35" s="112" t="n">
        <x:v>20</x:v>
      </x:c>
      <x:c r="M35" s="112" t="str">
        <x:v>kg</x:v>
      </x:c>
      <x:c r="N35" s="112" t="str">
        <x:v>THÙNG</x:v>
      </x:c>
      <x:c r="O35" s="112" t="n">
        <x:v>20</x:v>
      </x:c>
      <x:c r="P35" s="112" t="str">
        <x:v>1 kg / GÓI</x:v>
      </x:c>
      <x:c r="Q35" s="112" t="str">
        <x:v>20 GÓI / THÙNG</x:v>
      </x:c>
      <x:c r="R35" s="112" t="n">
        <x:v>484</x:v>
      </x:c>
      <x:c r="S35" s="113" t="n">
        <x:v>485</x:v>
      </x:c>
    </x:row>
    <x:row r="36">
      <x:c r="A36" s="111" t="n">
        <x:v>36</x:v>
      </x:c>
      <x:c r="B36" s="112" t="str">
        <x:v>ĐẬU HỦ PHO MAI NGON</x:v>
      </x:c>
      <x:c r="C36" s="112" t="str">
        <x:v>DHUPMN</x:v>
      </x:c>
      <x:c r="D36" s="112" t="str">
        <x:v>DHUPMNT</x:v>
      </x:c>
      <x:c r="E36" s="120" t="n">
        <x:v>48000</x:v>
      </x:c>
      <x:c r="F36" s="120" t="n">
        <x:v>48000</x:v>
      </x:c>
      <x:c r="G36" s="120" t="n">
        <x:v>48000</x:v>
      </x:c>
      <x:c r="H36" s="112" t="str">
        <x:v>GIỮ NGUYÊN - ĐÃ KHỚP</x:v>
      </x:c>
      <x:c r="I36" s="112" t="n">
        <x:v>500</x:v>
      </x:c>
      <x:c r="J36" s="112" t="str">
        <x:v>g</x:v>
      </x:c>
      <x:c r="K36" s="112" t="str">
        <x:v>GÓI</x:v>
      </x:c>
      <x:c r="L36" s="112" t="n">
        <x:v>10000</x:v>
      </x:c>
      <x:c r="M36" s="112" t="str">
        <x:v>g</x:v>
      </x:c>
      <x:c r="N36" s="112" t="str">
        <x:v>THÙNG</x:v>
      </x:c>
      <x:c r="O36" s="112" t="n">
        <x:v>20</x:v>
      </x:c>
      <x:c r="P36" s="112" t="str">
        <x:v>500 g / GÓI</x:v>
      </x:c>
      <x:c r="Q36" s="112" t="str">
        <x:v>20 GÓI / THÙNG</x:v>
      </x:c>
      <x:c r="R36" s="112" t="n">
        <x:v>1050</x:v>
      </x:c>
      <x:c r="S36" s="113" t="n">
        <x:v>1051</x:v>
      </x:c>
    </x:row>
    <x:row r="37">
      <x:c r="A37" s="111" t="n">
        <x:v>37</x:v>
      </x:c>
      <x:c r="B37" s="112" t="str">
        <x:v>BODU XOÀI</x:v>
      </x:c>
      <x:c r="C37" s="112" t="str">
        <x:v>BODUXO</x:v>
      </x:c>
      <x:c r="D37" s="112" t="str">
        <x:v>BODUXOT</x:v>
      </x:c>
      <x:c r="E37" s="120"/>
      <x:c r="F37" s="120" t="n">
        <x:v>0</x:v>
      </x:c>
      <x:c r="G37" s="120"/>
      <x:c r="H37" s="112" t="str">
        <x:v>DS SP GIÁ 0 - VẪN THIẾU GIÁ</x:v>
      </x:c>
      <x:c r="I37" s="112" t="n">
        <x:v>1400</x:v>
      </x:c>
      <x:c r="J37" s="112" t="str">
        <x:v>g</x:v>
      </x:c>
      <x:c r="K37" s="112" t="str">
        <x:v>HỦ</x:v>
      </x:c>
      <x:c r="L37" s="112" t="n">
        <x:v>17000</x:v>
      </x:c>
      <x:c r="M37" s="112" t="str">
        <x:v>g</x:v>
      </x:c>
      <x:c r="N37" s="112" t="str">
        <x:v>THÙNG</x:v>
      </x:c>
      <x:c r="O37" s="112" t="n">
        <x:v>12</x:v>
      </x:c>
      <x:c r="P37" s="112" t="str">
        <x:v>1400 g / HỦ</x:v>
      </x:c>
      <x:c r="Q37" s="112" t="str">
        <x:v>12 HỦ / THÙNG</x:v>
      </x:c>
      <x:c r="R37" s="112" t="n">
        <x:v>62</x:v>
      </x:c>
      <x:c r="S37" s="113" t="n">
        <x:v>63</x:v>
      </x:c>
    </x:row>
    <x:row r="38">
      <x:c r="A38" s="111" t="n">
        <x:v>38</x:v>
      </x:c>
      <x:c r="B38" s="112" t="str">
        <x:v>SIRO CASALANCA MÃNG CẦU</x:v>
      </x:c>
      <x:c r="C38" s="112" t="str">
        <x:v>CSAMCA</x:v>
      </x:c>
      <x:c r="D38" s="112" t="str">
        <x:v>CSAMCAT</x:v>
      </x:c>
      <x:c r="E38" s="120"/>
      <x:c r="F38" s="120" t="n">
        <x:v>0</x:v>
      </x:c>
      <x:c r="G38" s="120"/>
      <x:c r="H38" s="112" t="str">
        <x:v>DS SP GIÁ 0 - VẪN THIẾU GIÁ</x:v>
      </x:c>
      <x:c r="I38" s="112" t="n">
        <x:v>1200</x:v>
      </x:c>
      <x:c r="J38" s="112" t="str">
        <x:v>g</x:v>
      </x:c>
      <x:c r="K38" s="112" t="str">
        <x:v>CHAI</x:v>
      </x:c>
      <x:c r="L38" s="112" t="n">
        <x:v>14400</x:v>
      </x:c>
      <x:c r="M38" s="112" t="str">
        <x:v>g</x:v>
      </x:c>
      <x:c r="N38" s="112" t="str">
        <x:v>THÙNG</x:v>
      </x:c>
      <x:c r="O38" s="112" t="n">
        <x:v>12</x:v>
      </x:c>
      <x:c r="P38" s="112" t="str">
        <x:v>1200 g / CHAI</x:v>
      </x:c>
      <x:c r="Q38" s="112" t="str">
        <x:v>12 CHAI / THÙNG</x:v>
      </x:c>
      <x:c r="R38" s="112" t="n">
        <x:v>64</x:v>
      </x:c>
      <x:c r="S38" s="113" t="n">
        <x:v>65</x:v>
      </x:c>
    </x:row>
    <x:row r="39">
      <x:c r="A39" s="111" t="n">
        <x:v>39</x:v>
      </x:c>
      <x:c r="B39" s="112" t="str">
        <x:v>SIRO CASALANCA TẮC</x:v>
      </x:c>
      <x:c r="C39" s="112" t="str">
        <x:v>CSATAC</x:v>
      </x:c>
      <x:c r="D39" s="112" t="str">
        <x:v>CSATACT</x:v>
      </x:c>
      <x:c r="E39" s="120"/>
      <x:c r="F39" s="120" t="n">
        <x:v>0</x:v>
      </x:c>
      <x:c r="G39" s="120"/>
      <x:c r="H39" s="112" t="str">
        <x:v>DS SP GIÁ 0 - VẪN THIẾU GIÁ</x:v>
      </x:c>
      <x:c r="I39" s="112" t="n">
        <x:v>1200</x:v>
      </x:c>
      <x:c r="J39" s="112" t="str">
        <x:v>g</x:v>
      </x:c>
      <x:c r="K39" s="112" t="str">
        <x:v>CHAI</x:v>
      </x:c>
      <x:c r="L39" s="112" t="n">
        <x:v>16000</x:v>
      </x:c>
      <x:c r="M39" s="112" t="str">
        <x:v>g</x:v>
      </x:c>
      <x:c r="N39" s="112" t="str">
        <x:v>THÙNG</x:v>
      </x:c>
      <x:c r="O39" s="112" t="n">
        <x:v>12</x:v>
      </x:c>
      <x:c r="P39" s="112" t="str">
        <x:v>1200 g / CHAI</x:v>
      </x:c>
      <x:c r="Q39" s="112" t="str">
        <x:v>12 CHAI / THÙNG</x:v>
      </x:c>
      <x:c r="R39" s="112" t="n">
        <x:v>66</x:v>
      </x:c>
      <x:c r="S39" s="113" t="n">
        <x:v>67</x:v>
      </x:c>
    </x:row>
    <x:row r="40">
      <x:c r="A40" s="111" t="n">
        <x:v>40</x:v>
      </x:c>
      <x:c r="B40" s="112" t="str">
        <x:v>SIRO A+ NHO</x:v>
      </x:c>
      <x:c r="C40" s="112" t="str">
        <x:v>SRANHO</x:v>
      </x:c>
      <x:c r="D40" s="112" t="str">
        <x:v>SRANHOT</x:v>
      </x:c>
      <x:c r="E40" s="120"/>
      <x:c r="F40" s="120" t="n">
        <x:v>0</x:v>
      </x:c>
      <x:c r="G40" s="120"/>
      <x:c r="H40" s="112" t="str">
        <x:v>DS SP GIÁ 0 - VẪN THIẾU GIÁ</x:v>
      </x:c>
      <x:c r="I40" s="112" t="n">
        <x:v>650</x:v>
      </x:c>
      <x:c r="J40" s="112" t="str">
        <x:v>g</x:v>
      </x:c>
      <x:c r="K40" s="112" t="str">
        <x:v>CHAI</x:v>
      </x:c>
      <x:c r="L40" s="112" t="n">
        <x:v>16000</x:v>
      </x:c>
      <x:c r="M40" s="112" t="str">
        <x:v>g</x:v>
      </x:c>
      <x:c r="N40" s="112" t="str">
        <x:v>THÙNG</x:v>
      </x:c>
      <x:c r="O40" s="112" t="n">
        <x:v>24</x:v>
      </x:c>
      <x:c r="P40" s="112" t="str">
        <x:v>650 g / CHAI</x:v>
      </x:c>
      <x:c r="Q40" s="112" t="str">
        <x:v>24 CHAI / THÙNG</x:v>
      </x:c>
      <x:c r="R40" s="112" t="n">
        <x:v>68</x:v>
      </x:c>
      <x:c r="S40" s="113" t="n">
        <x:v>69</x:v>
      </x:c>
    </x:row>
    <x:row r="41">
      <x:c r="A41" s="111" t="n">
        <x:v>41</x:v>
      </x:c>
      <x:c r="B41" s="112" t="str">
        <x:v>SIRO TRÒN DÂU</x:v>
      </x:c>
      <x:c r="C41" s="112" t="str">
        <x:v>SRDAUT</x:v>
      </x:c>
      <x:c r="D41" s="112" t="str">
        <x:v>SRDAUTT</x:v>
      </x:c>
      <x:c r="E41" s="120"/>
      <x:c r="F41" s="120" t="n">
        <x:v>0</x:v>
      </x:c>
      <x:c r="G41" s="120"/>
      <x:c r="H41" s="112" t="str">
        <x:v>DS SP GIÁ 0 - VẪN THIẾU GIÁ</x:v>
      </x:c>
      <x:c r="I41" s="112" t="n">
        <x:v>2600</x:v>
      </x:c>
      <x:c r="J41" s="112" t="str">
        <x:v>g</x:v>
      </x:c>
      <x:c r="K41" s="112" t="str">
        <x:v>BÌNH</x:v>
      </x:c>
      <x:c r="L41" s="112" t="n">
        <x:v>16500</x:v>
      </x:c>
      <x:c r="M41" s="112" t="str">
        <x:v>g</x:v>
      </x:c>
      <x:c r="N41" s="112" t="str">
        <x:v>THÙNG</x:v>
      </x:c>
      <x:c r="O41" s="112" t="n">
        <x:v>6</x:v>
      </x:c>
      <x:c r="P41" s="112" t="str">
        <x:v>2600 g / BÌNH</x:v>
      </x:c>
      <x:c r="Q41" s="112" t="str">
        <x:v>6 BÌNH / THÙNG</x:v>
      </x:c>
      <x:c r="R41" s="112" t="n">
        <x:v>70</x:v>
      </x:c>
      <x:c r="S41" s="113" t="n">
        <x:v>71</x:v>
      </x:c>
    </x:row>
    <x:row r="42">
      <x:c r="A42" s="111" t="n">
        <x:v>42</x:v>
      </x:c>
      <x:c r="B42" s="112" t="str">
        <x:v>VẢI LON THÁI</x:v>
      </x:c>
      <x:c r="C42" s="112" t="str">
        <x:v>VAIYOT</x:v>
      </x:c>
      <x:c r="D42" s="112" t="str">
        <x:v>VAIYOTT</x:v>
      </x:c>
      <x:c r="E42" s="120" t="n">
        <x:v>32000</x:v>
      </x:c>
      <x:c r="F42" s="120" t="n">
        <x:v>32000</x:v>
      </x:c>
      <x:c r="G42" s="120" t="n">
        <x:v>32000</x:v>
      </x:c>
      <x:c r="H42" s="112" t="str">
        <x:v>GIỮ NGUYÊN - ĐÃ KHỚP</x:v>
      </x:c>
      <x:c r="I42" s="112" t="n">
        <x:v>600</x:v>
      </x:c>
      <x:c r="J42" s="112" t="str">
        <x:v>g</x:v>
      </x:c>
      <x:c r="K42" s="112" t="str">
        <x:v>LON</x:v>
      </x:c>
      <x:c r="L42" s="112" t="n">
        <x:v>14400</x:v>
      </x:c>
      <x:c r="M42" s="112" t="str">
        <x:v>g</x:v>
      </x:c>
      <x:c r="N42" s="112" t="str">
        <x:v>THÙNG</x:v>
      </x:c>
      <x:c r="O42" s="112" t="n">
        <x:v>24</x:v>
      </x:c>
      <x:c r="P42" s="112" t="str">
        <x:v>600 g / LON</x:v>
      </x:c>
      <x:c r="Q42" s="112" t="str">
        <x:v>24 LON / THÙNG</x:v>
      </x:c>
      <x:c r="R42" s="112" t="n">
        <x:v>73</x:v>
      </x:c>
      <x:c r="S42" s="113" t="n">
        <x:v>74</x:v>
      </x:c>
    </x:row>
    <x:row r="43">
      <x:c r="A43" s="111" t="n">
        <x:v>43</x:v>
      </x:c>
      <x:c r="B43" s="112" t="str">
        <x:v>MỨT DOUXIAN DƯA LƯỚI</x:v>
      </x:c>
      <x:c r="C43" s="112" t="str">
        <x:v>STDXDL</x:v>
      </x:c>
      <x:c r="D43" s="112" t="str">
        <x:v>STDXDLT</x:v>
      </x:c>
      <x:c r="E43" s="120"/>
      <x:c r="F43" s="120" t="n">
        <x:v>0</x:v>
      </x:c>
      <x:c r="G43" s="120"/>
      <x:c r="H43" s="112" t="str">
        <x:v>DS SP GIÁ 0 - VẪN THIẾU GIÁ</x:v>
      </x:c>
      <x:c r="I43" s="112" t="n">
        <x:v>1300</x:v>
      </x:c>
      <x:c r="J43" s="112" t="str">
        <x:v>g</x:v>
      </x:c>
      <x:c r="K43" s="112" t="str">
        <x:v>CHAI</x:v>
      </x:c>
      <x:c r="L43" s="112" t="n">
        <x:v>15600</x:v>
      </x:c>
      <x:c r="M43" s="112" t="str">
        <x:v>g</x:v>
      </x:c>
      <x:c r="N43" s="112" t="str">
        <x:v>THÙNG</x:v>
      </x:c>
      <x:c r="O43" s="112" t="n">
        <x:v>12</x:v>
      </x:c>
      <x:c r="P43" s="112" t="str">
        <x:v>1300 g / CHAI</x:v>
      </x:c>
      <x:c r="Q43" s="112" t="str">
        <x:v>12 CHAI / THÙNG</x:v>
      </x:c>
      <x:c r="R43" s="112" t="n">
        <x:v>76</x:v>
      </x:c>
      <x:c r="S43" s="113" t="n">
        <x:v>77</x:v>
      </x:c>
    </x:row>
    <x:row r="44">
      <x:c r="A44" s="111" t="n">
        <x:v>44</x:v>
      </x:c>
      <x:c r="B44" s="112" t="str">
        <x:v>TORANI DƯA LƯỚI</x:v>
      </x:c>
      <x:c r="C44" s="112" t="str">
        <x:v>TORDLU</x:v>
      </x:c>
      <x:c r="D44" s="112" t="str">
        <x:v>TORDLUT</x:v>
      </x:c>
      <x:c r="E44" s="120" t="n">
        <x:v>180000</x:v>
      </x:c>
      <x:c r="F44" s="120" t="n">
        <x:v>0</x:v>
      </x:c>
      <x:c r="G44" s="120" t="n">
        <x:v>180000</x:v>
      </x:c>
      <x:c r="H44" s="112" t="str">
        <x:v>DS SP GIÁ 0 - GIỮ GIÁ CŨ</x:v>
      </x:c>
      <x:c r="I44" s="112" t="n">
        <x:v>1500</x:v>
      </x:c>
      <x:c r="J44" s="112" t="str">
        <x:v>g</x:v>
      </x:c>
      <x:c r="K44" s="112" t="str">
        <x:v>CHAI</x:v>
      </x:c>
      <x:c r="L44" s="112" t="n">
        <x:v>18000</x:v>
      </x:c>
      <x:c r="M44" s="112" t="str">
        <x:v>g</x:v>
      </x:c>
      <x:c r="N44" s="112" t="str">
        <x:v>THÙNG</x:v>
      </x:c>
      <x:c r="O44" s="112" t="n">
        <x:v>12</x:v>
      </x:c>
      <x:c r="P44" s="112" t="str">
        <x:v>1500 g / CHAI</x:v>
      </x:c>
      <x:c r="Q44" s="112" t="str">
        <x:v>12 CHAI / THÙNG</x:v>
      </x:c>
      <x:c r="R44" s="112" t="n">
        <x:v>79</x:v>
      </x:c>
      <x:c r="S44" s="113" t="n">
        <x:v>80</x:v>
      </x:c>
    </x:row>
    <x:row r="45">
      <x:c r="A45" s="111" t="n">
        <x:v>45</x:v>
      </x:c>
      <x:c r="B45" s="112" t="str">
        <x:v>SIRO CASALANCA BLUE CURACAO</x:v>
      </x:c>
      <x:c r="C45" s="112" t="str">
        <x:v>CSABLU</x:v>
      </x:c>
      <x:c r="D45" s="112" t="str">
        <x:v>CSABLUT</x:v>
      </x:c>
      <x:c r="E45" s="120"/>
      <x:c r="F45" s="120" t="n">
        <x:v>0</x:v>
      </x:c>
      <x:c r="G45" s="120"/>
      <x:c r="H45" s="112" t="str">
        <x:v>DS SP GIÁ 0 - VẪN THIẾU GIÁ</x:v>
      </x:c>
      <x:c r="I45" s="112" t="n">
        <x:v>1000</x:v>
      </x:c>
      <x:c r="J45" s="112" t="str">
        <x:v>g</x:v>
      </x:c>
      <x:c r="K45" s="112" t="str">
        <x:v>CHAI</x:v>
      </x:c>
      <x:c r="L45" s="112" t="n">
        <x:v>13000</x:v>
      </x:c>
      <x:c r="M45" s="112" t="str">
        <x:v>g</x:v>
      </x:c>
      <x:c r="N45" s="112" t="str">
        <x:v>THÙNG</x:v>
      </x:c>
      <x:c r="O45" s="112" t="n">
        <x:v>12</x:v>
      </x:c>
      <x:c r="P45" s="112" t="str">
        <x:v>1000 g / CHAI</x:v>
      </x:c>
      <x:c r="Q45" s="112" t="str">
        <x:v>12 CHAI / THÙNG</x:v>
      </x:c>
      <x:c r="R45" s="112" t="n">
        <x:v>81</x:v>
      </x:c>
      <x:c r="S45" s="113" t="n">
        <x:v>82</x:v>
      </x:c>
    </x:row>
    <x:row r="46">
      <x:c r="A46" s="111" t="n">
        <x:v>46</x:v>
      </x:c>
      <x:c r="B46" s="112" t="str">
        <x:v>CARISA SOCOLA</x:v>
      </x:c>
      <x:c r="C46" s="112" t="str">
        <x:v>CRSSCL</x:v>
      </x:c>
      <x:c r="D46" s="112" t="str">
        <x:v>CRSSCLT</x:v>
      </x:c>
      <x:c r="E46" s="120" t="n">
        <x:v>30000</x:v>
      </x:c>
      <x:c r="F46" s="120" t="n">
        <x:v>0</x:v>
      </x:c>
      <x:c r="G46" s="120" t="n">
        <x:v>30000</x:v>
      </x:c>
      <x:c r="H46" s="112" t="str">
        <x:v>DS SP GIÁ 0 - GIỮ GIÁ CŨ</x:v>
      </x:c>
      <x:c r="I46" s="112" t="n">
        <x:v>0</x:v>
      </x:c>
      <x:c r="J46" s="112" t="str">
        <x:v>g</x:v>
      </x:c>
      <x:c r="K46" s="112" t="str">
        <x:v>CHAI</x:v>
      </x:c>
      <x:c r="L46" s="112" t="n">
        <x:v>0</x:v>
      </x:c>
      <x:c r="M46" s="112" t="str">
        <x:v>g</x:v>
      </x:c>
      <x:c r="N46" s="112" t="str">
        <x:v>THÙNG</x:v>
      </x:c>
      <x:c r="O46" s="112" t="n">
        <x:v>24</x:v>
      </x:c>
      <x:c r="P46" s="112" t="str">
        <x:v>0 g / CHAI</x:v>
      </x:c>
      <x:c r="Q46" s="112" t="str">
        <x:v>24 CHAI / THÙNG</x:v>
      </x:c>
      <x:c r="R46" s="112" t="n">
        <x:v>84</x:v>
      </x:c>
      <x:c r="S46" s="113" t="n">
        <x:v>85</x:v>
      </x:c>
    </x:row>
    <x:row r="47">
      <x:c r="A47" s="111" t="n">
        <x:v>47</x:v>
      </x:c>
      <x:c r="B47" s="112" t="str">
        <x:v>TC ĐEN 5S</x:v>
      </x:c>
      <x:c r="C47" s="112" t="str">
        <x:v>TCDD5S</x:v>
      </x:c>
      <x:c r="D47" s="112" t="str">
        <x:v>TCDD5ST</x:v>
      </x:c>
      <x:c r="E47" s="120"/>
      <x:c r="F47" s="120" t="n">
        <x:v>52000</x:v>
      </x:c>
      <x:c r="G47" s="120" t="n">
        <x:v>52000</x:v>
      </x:c>
      <x:c r="H47" s="112" t="str">
        <x:v>BỔ SUNG GIÁ</x:v>
      </x:c>
      <x:c r="I47" s="112" t="n">
        <x:v>2100</x:v>
      </x:c>
      <x:c r="J47" s="112" t="str">
        <x:v>g</x:v>
      </x:c>
      <x:c r="K47" s="112" t="str">
        <x:v>GÓI</x:v>
      </x:c>
      <x:c r="L47" s="112" t="n">
        <x:v>21000</x:v>
      </x:c>
      <x:c r="M47" s="112" t="str">
        <x:v>g</x:v>
      </x:c>
      <x:c r="N47" s="112" t="str">
        <x:v>THÙNG</x:v>
      </x:c>
      <x:c r="O47" s="112" t="n">
        <x:v>10</x:v>
      </x:c>
      <x:c r="P47" s="112" t="str">
        <x:v>2100 g / GÓI</x:v>
      </x:c>
      <x:c r="Q47" s="112" t="str">
        <x:v>10 GÓI / THÙNG</x:v>
      </x:c>
      <x:c r="R47" s="112" t="n">
        <x:v>86</x:v>
      </x:c>
      <x:c r="S47" s="113" t="n">
        <x:v>87</x:v>
      </x:c>
    </x:row>
    <x:row r="48">
      <x:c r="A48" s="111" t="n">
        <x:v>48</x:v>
      </x:c>
      <x:c r="B48" s="112" t="str">
        <x:v>TRÀ ONA OLONG TỨ QUÝ</x:v>
      </x:c>
      <x:c r="C48" s="112" t="str">
        <x:v>TROLTQ</x:v>
      </x:c>
      <x:c r="D48" s="112" t="str">
        <x:v>TROLTQT</x:v>
      </x:c>
      <x:c r="E48" s="120" t="n">
        <x:v>153000</x:v>
      </x:c>
      <x:c r="F48" s="120" t="n">
        <x:v>153000</x:v>
      </x:c>
      <x:c r="G48" s="120" t="n">
        <x:v>153000</x:v>
      </x:c>
      <x:c r="H48" s="112" t="str">
        <x:v>GIỮ NGUYÊN - ĐÃ KHỚP</x:v>
      </x:c>
      <x:c r="I48" s="112" t="n">
        <x:v>500</x:v>
      </x:c>
      <x:c r="J48" s="112" t="str">
        <x:v>g</x:v>
      </x:c>
      <x:c r="K48" s="112" t="str">
        <x:v>GÓI</x:v>
      </x:c>
      <x:c r="L48" s="112" t="n">
        <x:v>11000</x:v>
      </x:c>
      <x:c r="M48" s="112" t="str">
        <x:v>g</x:v>
      </x:c>
      <x:c r="N48" s="112" t="str">
        <x:v>THÙNG</x:v>
      </x:c>
      <x:c r="O48" s="112" t="n">
        <x:v>20</x:v>
      </x:c>
      <x:c r="P48" s="112" t="str">
        <x:v>500 g / GÓI</x:v>
      </x:c>
      <x:c r="Q48" s="112" t="str">
        <x:v>20 GÓI / THÙNG</x:v>
      </x:c>
      <x:c r="R48" s="112" t="n">
        <x:v>107</x:v>
      </x:c>
      <x:c r="S48" s="113" t="n">
        <x:v>108</x:v>
      </x:c>
    </x:row>
    <x:row r="49">
      <x:c r="A49" s="111" t="n">
        <x:v>49</x:v>
      </x:c>
      <x:c r="B49" s="112" t="str">
        <x:v>TRÀ ONA GẠO RANG</x:v>
      </x:c>
      <x:c r="C49" s="112" t="str">
        <x:v>TRGAON</x:v>
      </x:c>
      <x:c r="D49" s="112" t="str">
        <x:v>TRGAONT</x:v>
      </x:c>
      <x:c r="E49" s="120" t="n">
        <x:v>127000</x:v>
      </x:c>
      <x:c r="F49" s="120" t="n">
        <x:v>127000</x:v>
      </x:c>
      <x:c r="G49" s="120" t="n">
        <x:v>127000</x:v>
      </x:c>
      <x:c r="H49" s="112" t="str">
        <x:v>GIỮ NGUYÊN - ĐÃ KHỚP</x:v>
      </x:c>
      <x:c r="I49" s="112" t="n">
        <x:v>500</x:v>
      </x:c>
      <x:c r="J49" s="112" t="str">
        <x:v>g</x:v>
      </x:c>
      <x:c r="K49" s="112" t="str">
        <x:v>GÓI</x:v>
      </x:c>
      <x:c r="L49" s="112" t="n">
        <x:v>11000</x:v>
      </x:c>
      <x:c r="M49" s="112" t="str">
        <x:v>g</x:v>
      </x:c>
      <x:c r="N49" s="112" t="str">
        <x:v>THÙNG</x:v>
      </x:c>
      <x:c r="O49" s="112" t="n">
        <x:v>20</x:v>
      </x:c>
      <x:c r="P49" s="112" t="str">
        <x:v>500 g / GÓI</x:v>
      </x:c>
      <x:c r="Q49" s="112" t="str">
        <x:v>20 GÓI / THÙNG</x:v>
      </x:c>
      <x:c r="R49" s="112" t="n">
        <x:v>105</x:v>
      </x:c>
      <x:c r="S49" s="113" t="n">
        <x:v>106</x:v>
      </x:c>
    </x:row>
    <x:row r="50">
      <x:c r="A50" s="111" t="n">
        <x:v>50</x:v>
      </x:c>
      <x:c r="B50" s="112" t="str">
        <x:v>TRÀ ONA LÀI NHƯ Ý</x:v>
      </x:c>
      <x:c r="C50" s="112" t="str">
        <x:v>TRLANY</x:v>
      </x:c>
      <x:c r="D50" s="112" t="str">
        <x:v>TRLANYT</x:v>
      </x:c>
      <x:c r="E50" s="120" t="n">
        <x:v>80000</x:v>
      </x:c>
      <x:c r="F50" s="120" t="n">
        <x:v>80000</x:v>
      </x:c>
      <x:c r="G50" s="120" t="n">
        <x:v>80000</x:v>
      </x:c>
      <x:c r="H50" s="112" t="str">
        <x:v>GIỮ NGUYÊN - ĐÃ KHỚP</x:v>
      </x:c>
      <x:c r="I50" s="112" t="n">
        <x:v>500</x:v>
      </x:c>
      <x:c r="J50" s="112" t="str">
        <x:v>g</x:v>
      </x:c>
      <x:c r="K50" s="112" t="str">
        <x:v>GÓI</x:v>
      </x:c>
      <x:c r="L50" s="112" t="n">
        <x:v>11000</x:v>
      </x:c>
      <x:c r="M50" s="112" t="str">
        <x:v>g</x:v>
      </x:c>
      <x:c r="N50" s="112" t="str">
        <x:v>THÙNG</x:v>
      </x:c>
      <x:c r="O50" s="112" t="n">
        <x:v>20</x:v>
      </x:c>
      <x:c r="P50" s="112" t="str">
        <x:v>500 g / GÓI</x:v>
      </x:c>
      <x:c r="Q50" s="112" t="str">
        <x:v>20 GÓI / THÙNG</x:v>
      </x:c>
      <x:c r="R50" s="112" t="n">
        <x:v>101</x:v>
      </x:c>
      <x:c r="S50" s="113" t="n">
        <x:v>102</x:v>
      </x:c>
    </x:row>
    <x:row r="51">
      <x:c r="A51" s="111" t="n">
        <x:v>51</x:v>
      </x:c>
      <x:c r="B51" s="112" t="str">
        <x:v>TRÀ ONA LÀI CÔ GÁI</x:v>
      </x:c>
      <x:c r="C51" s="112" t="str">
        <x:v>TRLACG</x:v>
      </x:c>
      <x:c r="D51" s="112" t="str">
        <x:v>TRLACGT</x:v>
      </x:c>
      <x:c r="E51" s="120"/>
      <x:c r="F51" s="120" t="n">
        <x:v>84000</x:v>
      </x:c>
      <x:c r="G51" s="120" t="n">
        <x:v>84000</x:v>
      </x:c>
      <x:c r="H51" s="112" t="str">
        <x:v>BỔ SUNG GIÁ</x:v>
      </x:c>
      <x:c r="I51" s="112" t="n">
        <x:v>500</x:v>
      </x:c>
      <x:c r="J51" s="112" t="str">
        <x:v>g</x:v>
      </x:c>
      <x:c r="K51" s="112" t="str">
        <x:v>GÓI</x:v>
      </x:c>
      <x:c r="L51" s="112" t="n">
        <x:v>11000</x:v>
      </x:c>
      <x:c r="M51" s="112" t="str">
        <x:v>g</x:v>
      </x:c>
      <x:c r="N51" s="112" t="str">
        <x:v>THÙNG</x:v>
      </x:c>
      <x:c r="O51" s="112" t="n">
        <x:v>20</x:v>
      </x:c>
      <x:c r="P51" s="112" t="str">
        <x:v>500 g / GÓI</x:v>
      </x:c>
      <x:c r="Q51" s="112" t="str">
        <x:v>20 GÓI / THÙNG</x:v>
      </x:c>
      <x:c r="R51" s="112" t="n">
        <x:v>109</x:v>
      </x:c>
      <x:c r="S51" s="113" t="n">
        <x:v>110</x:v>
      </x:c>
    </x:row>
    <x:row r="52">
      <x:c r="A52" s="111" t="n">
        <x:v>52</x:v>
      </x:c>
      <x:c r="B52" s="112" t="str">
        <x:v>HỒNG TRÀ CÔ GÁI ONA</x:v>
      </x:c>
      <x:c r="C52" s="112" t="str">
        <x:v>HTRCGA</x:v>
      </x:c>
      <x:c r="D52" s="112" t="str">
        <x:v>HTRCGAT</x:v>
      </x:c>
      <x:c r="E52" s="120" t="n">
        <x:v>110000</x:v>
      </x:c>
      <x:c r="F52" s="120" t="n">
        <x:v>110000</x:v>
      </x:c>
      <x:c r="G52" s="120" t="n">
        <x:v>110000</x:v>
      </x:c>
      <x:c r="H52" s="112" t="str">
        <x:v>GIỮ NGUYÊN - ĐÃ KHỚP</x:v>
      </x:c>
      <x:c r="I52" s="112" t="n">
        <x:v>500</x:v>
      </x:c>
      <x:c r="J52" s="112" t="str">
        <x:v>g</x:v>
      </x:c>
      <x:c r="K52" s="112" t="str">
        <x:v>GÓI</x:v>
      </x:c>
      <x:c r="L52" s="112" t="n">
        <x:v>10000</x:v>
      </x:c>
      <x:c r="M52" s="112" t="str">
        <x:v>g</x:v>
      </x:c>
      <x:c r="N52" s="112" t="str">
        <x:v>THÙNG</x:v>
      </x:c>
      <x:c r="O52" s="112" t="n">
        <x:v>20</x:v>
      </x:c>
      <x:c r="P52" s="112" t="str">
        <x:v>500 g / GÓI</x:v>
      </x:c>
      <x:c r="Q52" s="112" t="str">
        <x:v>20 GÓI / THÙNG</x:v>
      </x:c>
      <x:c r="R52" s="112" t="n">
        <x:v>103</x:v>
      </x:c>
      <x:c r="S52" s="113" t="n">
        <x:v>104</x:v>
      </x:c>
    </x:row>
    <x:row r="53">
      <x:c r="A53" s="111" t="n">
        <x:v>53</x:v>
      </x:c>
      <x:c r="B53" s="112" t="str">
        <x:v>TRÀ ONA ĐEN CÔ GÁI</x:v>
      </x:c>
      <x:c r="C53" s="112" t="str">
        <x:v>TRDECG</x:v>
      </x:c>
      <x:c r="D53" s="112" t="str">
        <x:v>TRDECGT</x:v>
      </x:c>
      <x:c r="E53" s="120" t="n">
        <x:v>84000</x:v>
      </x:c>
      <x:c r="F53" s="120" t="n">
        <x:v>84000</x:v>
      </x:c>
      <x:c r="G53" s="120" t="n">
        <x:v>84000</x:v>
      </x:c>
      <x:c r="H53" s="112" t="str">
        <x:v>GIỮ NGUYÊN - ĐÃ KHỚP</x:v>
      </x:c>
      <x:c r="I53" s="112" t="n">
        <x:v>500</x:v>
      </x:c>
      <x:c r="J53" s="112" t="str">
        <x:v>g</x:v>
      </x:c>
      <x:c r="K53" s="112" t="str">
        <x:v>GÓI</x:v>
      </x:c>
      <x:c r="L53" s="112" t="n">
        <x:v>11000</x:v>
      </x:c>
      <x:c r="M53" s="112" t="str">
        <x:v>g</x:v>
      </x:c>
      <x:c r="N53" s="112" t="str">
        <x:v>THÙNG</x:v>
      </x:c>
      <x:c r="O53" s="112" t="n">
        <x:v>20</x:v>
      </x:c>
      <x:c r="P53" s="112" t="str">
        <x:v>500 g / GÓI</x:v>
      </x:c>
      <x:c r="Q53" s="112" t="str">
        <x:v>20 GÓI / THÙNG</x:v>
      </x:c>
      <x:c r="R53" s="112" t="n">
        <x:v>111</x:v>
      </x:c>
      <x:c r="S53" s="113" t="n">
        <x:v>112</x:v>
      </x:c>
    </x:row>
    <x:row r="54">
      <x:c r="A54" s="111" t="n">
        <x:v>54</x:v>
      </x:c>
      <x:c r="B54" s="112" t="str">
        <x:v>MÌ ACECOOK DELI</x:v>
      </x:c>
      <x:c r="C54" s="112" t="str">
        <x:v>MIAC80</x:v>
      </x:c>
      <x:c r="D54" s="112" t="str">
        <x:v>MIAC80T</x:v>
      </x:c>
      <x:c r="E54" s="120"/>
      <x:c r="F54" s="120" t="n">
        <x:v>0</x:v>
      </x:c>
      <x:c r="G54" s="120"/>
      <x:c r="H54" s="112" t="str">
        <x:v>DS SP GIÁ 0 - VẪN THIẾU GIÁ</x:v>
      </x:c>
      <x:c r="I54" s="112" t="n">
        <x:v>110</x:v>
      </x:c>
      <x:c r="J54" s="112" t="str">
        <x:v>g</x:v>
      </x:c>
      <x:c r="K54" s="112" t="str">
        <x:v>GÓI</x:v>
      </x:c>
      <x:c r="L54" s="112" t="n">
        <x:v>8800</x:v>
      </x:c>
      <x:c r="M54" s="112" t="str">
        <x:v>g</x:v>
      </x:c>
      <x:c r="N54" s="112" t="str">
        <x:v>THÙNG</x:v>
      </x:c>
      <x:c r="O54" s="112" t="n">
        <x:v>80</x:v>
      </x:c>
      <x:c r="P54" s="112" t="str">
        <x:v>110 g / GÓI</x:v>
      </x:c>
      <x:c r="Q54" s="112" t="str">
        <x:v>80 GÓI / THÙNG</x:v>
      </x:c>
      <x:c r="R54" s="112" t="n">
        <x:v>91</x:v>
      </x:c>
      <x:c r="S54" s="113" t="n">
        <x:v>92</x:v>
      </x:c>
    </x:row>
    <x:row r="55">
      <x:c r="A55" s="111" t="n">
        <x:v>55</x:v>
      </x:c>
      <x:c r="B55" s="112" t="str">
        <x:v>SỮA FRIMA TÚI 1KG</x:v>
      </x:c>
      <x:c r="C55" s="112" t="str">
        <x:v>FRIM1K</x:v>
      </x:c>
      <x:c r="D55" s="112" t="str">
        <x:v>FRIM1KT</x:v>
      </x:c>
      <x:c r="E55" s="120" t="n">
        <x:v>93000</x:v>
      </x:c>
      <x:c r="F55" s="120" t="n">
        <x:v>93000</x:v>
      </x:c>
      <x:c r="G55" s="120" t="n">
        <x:v>93000</x:v>
      </x:c>
      <x:c r="H55" s="112" t="str">
        <x:v>GIỮ NGUYÊN - ĐÃ KHỚP</x:v>
      </x:c>
      <x:c r="I55" s="112" t="n">
        <x:v>1</x:v>
      </x:c>
      <x:c r="J55" s="112" t="str">
        <x:v>kg</x:v>
      </x:c>
      <x:c r="K55" s="112" t="str">
        <x:v>KG</x:v>
      </x:c>
      <x:c r="L55" s="112" t="n">
        <x:v>13</x:v>
      </x:c>
      <x:c r="M55" s="112" t="str">
        <x:v>kg</x:v>
      </x:c>
      <x:c r="N55" s="112" t="str">
        <x:v>THÙNG</x:v>
      </x:c>
      <x:c r="O55" s="112" t="n">
        <x:v>12</x:v>
      </x:c>
      <x:c r="P55" s="112" t="str">
        <x:v>1 kg / KG</x:v>
      </x:c>
      <x:c r="Q55" s="112" t="str">
        <x:v>12 KG / THÙNG</x:v>
      </x:c>
      <x:c r="R55" s="112" t="n">
        <x:v>93</x:v>
      </x:c>
      <x:c r="S55" s="113" t="n">
        <x:v>94</x:v>
      </x:c>
    </x:row>
    <x:row r="56">
      <x:c r="A56" s="111" t="n">
        <x:v>56</x:v>
      </x:c>
      <x:c r="B56" s="112" t="str">
        <x:v>NẮP 120 PET</x:v>
      </x:c>
      <x:c r="C56" s="112" t="str">
        <x:v>NPE120</x:v>
      </x:c>
      <x:c r="D56" s="112" t="str">
        <x:v>NPE120T</x:v>
      </x:c>
      <x:c r="E56" s="120"/>
      <x:c r="F56" s="120" t="n">
        <x:v>0</x:v>
      </x:c>
      <x:c r="G56" s="120"/>
      <x:c r="H56" s="112" t="str">
        <x:v>DS SP GIÁ 0 - VẪN THIẾU GIÁ</x:v>
      </x:c>
      <x:c r="I56" s="112" t="n">
        <x:v>0</x:v>
      </x:c>
      <x:c r="J56" s="112" t="str">
        <x:v>g</x:v>
      </x:c>
      <x:c r="K56" s="112" t="str">
        <x:v>BỊCH</x:v>
      </x:c>
      <x:c r="L56" s="112" t="n">
        <x:v>0</x:v>
      </x:c>
      <x:c r="M56" s="112" t="str">
        <x:v>g</x:v>
      </x:c>
      <x:c r="N56" s="112" t="str">
        <x:v>THÙNG</x:v>
      </x:c>
      <x:c r="O56" s="112" t="n">
        <x:v>20</x:v>
      </x:c>
      <x:c r="P56" s="112" t="str">
        <x:v>0 g / BỊCH</x:v>
      </x:c>
      <x:c r="Q56" s="112" t="str">
        <x:v>20 BỊCH / THÙNG</x:v>
      </x:c>
      <x:c r="R56" s="112" t="n">
        <x:v>783</x:v>
      </x:c>
      <x:c r="S56" s="113" t="n">
        <x:v>784</x:v>
      </x:c>
    </x:row>
    <x:row r="57">
      <x:c r="A57" s="111" t="n">
        <x:v>57</x:v>
      </x:c>
      <x:c r="B57" s="112" t="str">
        <x:v>SIRO HESTIA MĂNG CỤT</x:v>
      </x:c>
      <x:c r="C57" s="112" t="str">
        <x:v>SRHTMT</x:v>
      </x:c>
      <x:c r="D57" s="112" t="str">
        <x:v>SRHTMTT</x:v>
      </x:c>
      <x:c r="E57" s="120"/>
      <x:c r="F57" s="120" t="n">
        <x:v>145000</x:v>
      </x:c>
      <x:c r="G57" s="120" t="n">
        <x:v>145000</x:v>
      </x:c>
      <x:c r="H57" s="112" t="str">
        <x:v>BỔ SUNG GIÁ</x:v>
      </x:c>
      <x:c r="I57" s="112" t="n">
        <x:v>0</x:v>
      </x:c>
      <x:c r="J57" s="112" t="str">
        <x:v>g</x:v>
      </x:c>
      <x:c r="K57" s="112" t="str">
        <x:v>CHAI</x:v>
      </x:c>
      <x:c r="L57" s="112" t="n">
        <x:v>0</x:v>
      </x:c>
      <x:c r="M57" s="112" t="str">
        <x:v>g</x:v>
      </x:c>
      <x:c r="N57" s="112" t="str">
        <x:v>THÙNG</x:v>
      </x:c>
      <x:c r="O57" s="112" t="n">
        <x:v>12</x:v>
      </x:c>
      <x:c r="P57" s="112" t="str">
        <x:v>0 g / CHAI</x:v>
      </x:c>
      <x:c r="Q57" s="112" t="str">
        <x:v>12 CHAI / THÙNG</x:v>
      </x:c>
      <x:c r="R57" s="112" t="n">
        <x:v>98</x:v>
      </x:c>
      <x:c r="S57" s="113" t="n">
        <x:v>99</x:v>
      </x:c>
    </x:row>
    <x:row r="58">
      <x:c r="A58" s="111" t="n">
        <x:v>58</x:v>
      </x:c>
      <x:c r="B58" s="112" t="str">
        <x:v>MỨT GOLD QUÝT MẬT ONG</x:v>
      </x:c>
      <x:c r="C58" s="112" t="str">
        <x:v>STGQMO</x:v>
      </x:c>
      <x:c r="D58" s="112" t="str">
        <x:v>STGQMOT</x:v>
      </x:c>
      <x:c r="E58" s="120"/>
      <x:c r="F58" s="120" t="n">
        <x:v>117000</x:v>
      </x:c>
      <x:c r="G58" s="120" t="n">
        <x:v>117000</x:v>
      </x:c>
      <x:c r="H58" s="112" t="str">
        <x:v>BỔ SUNG GIÁ</x:v>
      </x:c>
      <x:c r="I58" s="112" t="n">
        <x:v>0</x:v>
      </x:c>
      <x:c r="J58" s="112" t="str">
        <x:v>g</x:v>
      </x:c>
      <x:c r="K58" s="112" t="str">
        <x:v>CHAI</x:v>
      </x:c>
      <x:c r="L58" s="112" t="n">
        <x:v>0</x:v>
      </x:c>
      <x:c r="M58" s="112" t="str">
        <x:v>g</x:v>
      </x:c>
      <x:c r="N58" s="112" t="str">
        <x:v>THÙNG</x:v>
      </x:c>
      <x:c r="O58" s="112" t="n">
        <x:v>12</x:v>
      </x:c>
      <x:c r="P58" s="112" t="str">
        <x:v>0 g / CHAI</x:v>
      </x:c>
      <x:c r="Q58" s="112" t="str">
        <x:v>12 CHAI / THÙNG</x:v>
      </x:c>
      <x:c r="R58" s="112" t="n">
        <x:v>116</x:v>
      </x:c>
      <x:c r="S58" s="113" t="n">
        <x:v>117</x:v>
      </x:c>
    </x:row>
    <x:row r="59">
      <x:c r="A59" s="111" t="n">
        <x:v>59</x:v>
      </x:c>
      <x:c r="B59" s="112" t="str">
        <x:v>ĐƯỜNG TRẮNG MONITA</x:v>
      </x:c>
      <x:c r="C59" s="112" t="str">
        <x:v>DTSEUL</x:v>
      </x:c>
      <x:c r="D59" s="112" t="str">
        <x:v>DTSEULT</x:v>
      </x:c>
      <x:c r="E59" s="120"/>
      <x:c r="F59" s="120" t="n">
        <x:v>0</x:v>
      </x:c>
      <x:c r="G59" s="120"/>
      <x:c r="H59" s="112" t="str">
        <x:v>DS SP GIÁ 0 - VẪN THIẾU GIÁ</x:v>
      </x:c>
      <x:c r="I59" s="112" t="n">
        <x:v>1</x:v>
      </x:c>
      <x:c r="J59" s="112" t="str">
        <x:v>kg</x:v>
      </x:c>
      <x:c r="K59" s="112" t="str">
        <x:v>GÓI</x:v>
      </x:c>
      <x:c r="L59" s="112" t="n">
        <x:v>17</x:v>
      </x:c>
      <x:c r="M59" s="112" t="str">
        <x:v>kg</x:v>
      </x:c>
      <x:c r="N59" s="112" t="str">
        <x:v>THÙNG</x:v>
      </x:c>
      <x:c r="O59" s="112" t="n">
        <x:v>16</x:v>
      </x:c>
      <x:c r="P59" s="112" t="str">
        <x:v>1 kg / GÓI</x:v>
      </x:c>
      <x:c r="Q59" s="112" t="str">
        <x:v>16 GÓI / THÙNG</x:v>
      </x:c>
      <x:c r="R59" s="112" t="n">
        <x:v>118</x:v>
      </x:c>
      <x:c r="S59" s="113" t="n">
        <x:v>119</x:v>
      </x:c>
    </x:row>
    <x:row r="60">
      <x:c r="A60" s="111" t="n">
        <x:v>60</x:v>
      </x:c>
      <x:c r="B60" s="112" t="str">
        <x:v>BODU MẬT ONG ĐÀO</x:v>
      </x:c>
      <x:c r="C60" s="112" t="str">
        <x:v>BODUMD</x:v>
      </x:c>
      <x:c r="D60" s="112" t="str">
        <x:v>BODUMDT</x:v>
      </x:c>
      <x:c r="E60" s="120"/>
      <x:c r="F60" s="120" t="n">
        <x:v>0</x:v>
      </x:c>
      <x:c r="G60" s="120"/>
      <x:c r="H60" s="112" t="str">
        <x:v>DS SP GIÁ 0 - VẪN THIẾU GIÁ</x:v>
      </x:c>
      <x:c r="I60" s="112" t="n">
        <x:v>1450</x:v>
      </x:c>
      <x:c r="J60" s="112" t="str">
        <x:v>g</x:v>
      </x:c>
      <x:c r="K60" s="112" t="str">
        <x:v>HŨ</x:v>
      </x:c>
      <x:c r="L60" s="112" t="n">
        <x:v>17500</x:v>
      </x:c>
      <x:c r="M60" s="112" t="str">
        <x:v>g</x:v>
      </x:c>
      <x:c r="N60" s="112" t="str">
        <x:v>THÙNG</x:v>
      </x:c>
      <x:c r="O60" s="112" t="n">
        <x:v>12</x:v>
      </x:c>
      <x:c r="P60" s="112" t="str">
        <x:v>1450 g / HŨ</x:v>
      </x:c>
      <x:c r="Q60" s="112" t="str">
        <x:v>12 HŨ / THÙNG</x:v>
      </x:c>
      <x:c r="R60" s="112" t="n">
        <x:v>122</x:v>
      </x:c>
      <x:c r="S60" s="113" t="n">
        <x:v>123</x:v>
      </x:c>
    </x:row>
    <x:row r="61">
      <x:c r="A61" s="111" t="n">
        <x:v>61</x:v>
      </x:c>
      <x:c r="B61" s="112" t="str">
        <x:v>SIRO VINA MĂNG CỤT</x:v>
      </x:c>
      <x:c r="C61" s="112" t="str">
        <x:v>SRVNMT</x:v>
      </x:c>
      <x:c r="D61" s="112" t="str">
        <x:v>SRVNMTT</x:v>
      </x:c>
      <x:c r="E61" s="120" t="n">
        <x:v>40000</x:v>
      </x:c>
      <x:c r="F61" s="120" t="n">
        <x:v>40000</x:v>
      </x:c>
      <x:c r="G61" s="120" t="n">
        <x:v>40000</x:v>
      </x:c>
      <x:c r="H61" s="112" t="str">
        <x:v>GIỮ NGUYÊN - ĐÃ KHỚP</x:v>
      </x:c>
      <x:c r="I61" s="112" t="n">
        <x:v>0</x:v>
      </x:c>
      <x:c r="J61" s="112" t="str">
        <x:v>g</x:v>
      </x:c>
      <x:c r="K61" s="112" t="str">
        <x:v>CHAI</x:v>
      </x:c>
      <x:c r="L61" s="112" t="n">
        <x:v>0</x:v>
      </x:c>
      <x:c r="M61" s="112" t="str">
        <x:v>g</x:v>
      </x:c>
      <x:c r="N61" s="112" t="str">
        <x:v>THÙNG</x:v>
      </x:c>
      <x:c r="O61" s="112" t="n">
        <x:v>12</x:v>
      </x:c>
      <x:c r="P61" s="112" t="str">
        <x:v>0 g / CHAI</x:v>
      </x:c>
      <x:c r="Q61" s="112" t="str">
        <x:v>12 CHAI / THÙNG</x:v>
      </x:c>
      <x:c r="R61" s="112" t="n">
        <x:v>125</x:v>
      </x:c>
      <x:c r="S61" s="113" t="n">
        <x:v>126</x:v>
      </x:c>
    </x:row>
    <x:row r="62">
      <x:c r="A62" s="111" t="n">
        <x:v>62</x:v>
      </x:c>
      <x:c r="B62" s="112" t="str">
        <x:v>GTP ĐƯỜNG ĐEN</x:v>
      </x:c>
      <x:c r="C62" s="112" t="str">
        <x:v>GTPDDE</x:v>
      </x:c>
      <x:c r="D62" s="112" t="str">
        <x:v>GTPDDET</x:v>
      </x:c>
      <x:c r="E62" s="120" t="n">
        <x:v>146000</x:v>
      </x:c>
      <x:c r="F62" s="120" t="n">
        <x:v>0</x:v>
      </x:c>
      <x:c r="G62" s="120" t="n">
        <x:v>146000</x:v>
      </x:c>
      <x:c r="H62" s="112" t="str">
        <x:v>DS SP GIÁ 0 - GIỮ GIÁ CŨ</x:v>
      </x:c>
      <x:c r="I62" s="112" t="n">
        <x:v>0</x:v>
      </x:c>
      <x:c r="J62" s="112" t="str">
        <x:v>g</x:v>
      </x:c>
      <x:c r="K62" s="112" t="str">
        <x:v>BÌNH</x:v>
      </x:c>
      <x:c r="L62" s="112" t="n">
        <x:v>0</x:v>
      </x:c>
      <x:c r="M62" s="112" t="str">
        <x:v>g</x:v>
      </x:c>
      <x:c r="N62" s="112" t="str">
        <x:v>THÙNG</x:v>
      </x:c>
      <x:c r="O62" s="112" t="n">
        <x:v>6</x:v>
      </x:c>
      <x:c r="P62" s="112" t="str">
        <x:v>0 g / BÌNH</x:v>
      </x:c>
      <x:c r="Q62" s="112" t="str">
        <x:v>6 BÌNH / THÙNG</x:v>
      </x:c>
      <x:c r="R62" s="112" t="n">
        <x:v>131</x:v>
      </x:c>
      <x:c r="S62" s="113" t="n">
        <x:v>132</x:v>
      </x:c>
    </x:row>
    <x:row r="63">
      <x:c r="A63" s="111" t="n">
        <x:v>63</x:v>
      </x:c>
      <x:c r="B63" s="112" t="str">
        <x:v>HỒNG TRÀ GTP 1KG</x:v>
      </x:c>
      <x:c r="C63" s="112" t="str">
        <x:v>HTGTP1</x:v>
      </x:c>
      <x:c r="D63" s="112" t="str">
        <x:v>HTGTP1T</x:v>
      </x:c>
      <x:c r="E63" s="120" t="n">
        <x:v>140000</x:v>
      </x:c>
      <x:c r="F63" s="120" t="n">
        <x:v>140000</x:v>
      </x:c>
      <x:c r="G63" s="120" t="n">
        <x:v>140000</x:v>
      </x:c>
      <x:c r="H63" s="112" t="str">
        <x:v>GIỮ NGUYÊN - ĐÃ KHỚP</x:v>
      </x:c>
      <x:c r="I63" s="112" t="n">
        <x:v>1000</x:v>
      </x:c>
      <x:c r="J63" s="112" t="str">
        <x:v>g</x:v>
      </x:c>
      <x:c r="K63" s="112" t="str">
        <x:v>BỊCH</x:v>
      </x:c>
      <x:c r="L63" s="112" t="n">
        <x:v>8000</x:v>
      </x:c>
      <x:c r="M63" s="112" t="str">
        <x:v>g</x:v>
      </x:c>
      <x:c r="N63" s="112" t="str">
        <x:v>BAO</x:v>
      </x:c>
      <x:c r="O63" s="112" t="n">
        <x:v>8</x:v>
      </x:c>
      <x:c r="P63" s="112" t="str">
        <x:v>1000 g / BỊCH</x:v>
      </x:c>
      <x:c r="Q63" s="112" t="str">
        <x:v>8 BỊCH / BAO</x:v>
      </x:c>
      <x:c r="R63" s="112" t="n">
        <x:v>133</x:v>
      </x:c>
      <x:c r="S63" s="113" t="n">
        <x:v>134</x:v>
      </x:c>
    </x:row>
    <x:row r="64">
      <x:c r="A64" s="111" t="n">
        <x:v>64</x:v>
      </x:c>
      <x:c r="B64" s="112" t="str">
        <x:v>GTP NHO</x:v>
      </x:c>
      <x:c r="C64" s="112" t="str">
        <x:v>GTPNHO</x:v>
      </x:c>
      <x:c r="D64" s="112" t="str">
        <x:v>GTPNHOT</x:v>
      </x:c>
      <x:c r="E64" s="120" t="n">
        <x:v>140000</x:v>
      </x:c>
      <x:c r="F64" s="120" t="n">
        <x:v>0</x:v>
      </x:c>
      <x:c r="G64" s="120" t="n">
        <x:v>140000</x:v>
      </x:c>
      <x:c r="H64" s="112" t="str">
        <x:v>DS SP GIÁ 0 - GIỮ GIÁ CŨ</x:v>
      </x:c>
      <x:c r="I64" s="112" t="n">
        <x:v>2550</x:v>
      </x:c>
      <x:c r="J64" s="112" t="str">
        <x:v>g</x:v>
      </x:c>
      <x:c r="K64" s="112" t="str">
        <x:v>BÌNH</x:v>
      </x:c>
      <x:c r="L64" s="112" t="n">
        <x:v>1</x:v>
      </x:c>
      <x:c r="M64" s="112" t="str">
        <x:v>kg</x:v>
      </x:c>
      <x:c r="N64" s="112" t="str">
        <x:v>THÙNG</x:v>
      </x:c>
      <x:c r="O64" s="112" t="n">
        <x:v>6</x:v>
      </x:c>
      <x:c r="P64" s="112" t="str">
        <x:v>2550 g / BÌNH</x:v>
      </x:c>
      <x:c r="Q64" s="112" t="str">
        <x:v>6 BÌNH / THÙNG</x:v>
      </x:c>
      <x:c r="R64" s="112" t="n">
        <x:v>135</x:v>
      </x:c>
      <x:c r="S64" s="113" t="n">
        <x:v>136</x:v>
      </x:c>
    </x:row>
    <x:row r="65">
      <x:c r="A65" s="111" t="n">
        <x:v>65</x:v>
      </x:c>
      <x:c r="B65" s="112" t="str">
        <x:v>SIRO MAULIN CHANH DÂY</x:v>
      </x:c>
      <x:c r="C65" s="112" t="str">
        <x:v>SRMLCD</x:v>
      </x:c>
      <x:c r="D65" s="112" t="str">
        <x:v>SRMLCDT</x:v>
      </x:c>
      <x:c r="E65" s="120"/>
      <x:c r="F65" s="120" t="n">
        <x:v>0</x:v>
      </x:c>
      <x:c r="G65" s="120"/>
      <x:c r="H65" s="112" t="str">
        <x:v>DS SP GIÁ 0 - VẪN THIẾU GIÁ</x:v>
      </x:c>
      <x:c r="I65" s="112" t="n">
        <x:v>2600</x:v>
      </x:c>
      <x:c r="J65" s="112" t="str">
        <x:v>g</x:v>
      </x:c>
      <x:c r="K65" s="112" t="str">
        <x:v>CHAI</x:v>
      </x:c>
      <x:c r="L65" s="112" t="n">
        <x:v>16</x:v>
      </x:c>
      <x:c r="M65" s="112" t="str">
        <x:v>kg</x:v>
      </x:c>
      <x:c r="N65" s="112" t="str">
        <x:v>THÙNG</x:v>
      </x:c>
      <x:c r="O65" s="112" t="n">
        <x:v>6</x:v>
      </x:c>
      <x:c r="P65" s="112" t="str">
        <x:v>2600 g / CHAI</x:v>
      </x:c>
      <x:c r="Q65" s="112" t="str">
        <x:v>6 CHAI / THÙNG</x:v>
      </x:c>
      <x:c r="R65" s="112" t="n">
        <x:v>140</x:v>
      </x:c>
      <x:c r="S65" s="113" t="n">
        <x:v>141</x:v>
      </x:c>
    </x:row>
    <x:row r="66">
      <x:c r="A66" s="111" t="n">
        <x:v>66</x:v>
      </x:c>
      <x:c r="B66" s="112" t="str">
        <x:v>SỐT DOUXIAN CARAMEN</x:v>
      </x:c>
      <x:c r="C66" s="112" t="str">
        <x:v>SCARDX</x:v>
      </x:c>
      <x:c r="D66" s="112" t="str">
        <x:v>SCARDXT</x:v>
      </x:c>
      <x:c r="E66" s="120" t="n">
        <x:v>53000</x:v>
      </x:c>
      <x:c r="F66" s="120" t="n">
        <x:v>0</x:v>
      </x:c>
      <x:c r="G66" s="120" t="n">
        <x:v>53000</x:v>
      </x:c>
      <x:c r="H66" s="112" t="str">
        <x:v>DS SP GIÁ 0 - GIỮ GIÁ CŨ</x:v>
      </x:c>
      <x:c r="I66" s="112" t="n">
        <x:v>750</x:v>
      </x:c>
      <x:c r="J66" s="112" t="str">
        <x:v>g</x:v>
      </x:c>
      <x:c r="K66" s="112" t="str">
        <x:v>CHAI</x:v>
      </x:c>
      <x:c r="L66" s="112" t="n">
        <x:v>13000</x:v>
      </x:c>
      <x:c r="M66" s="112" t="str">
        <x:v>g</x:v>
      </x:c>
      <x:c r="N66" s="112" t="str">
        <x:v>THÙNG</x:v>
      </x:c>
      <x:c r="O66" s="112" t="n">
        <x:v>12</x:v>
      </x:c>
      <x:c r="P66" s="112" t="str">
        <x:v>750 g / CHAI</x:v>
      </x:c>
      <x:c r="Q66" s="112" t="str">
        <x:v>12 CHAI / THÙNG</x:v>
      </x:c>
      <x:c r="R66" s="112" t="n">
        <x:v>143</x:v>
      </x:c>
      <x:c r="S66" s="113" t="n">
        <x:v>144</x:v>
      </x:c>
    </x:row>
    <x:row r="67">
      <x:c r="A67" s="111" t="n">
        <x:v>67</x:v>
      </x:c>
      <x:c r="B67" s="112" t="str">
        <x:v>ICEHOT CÔ ĐẶC</x:v>
      </x:c>
      <x:c r="C67" s="112" t="str">
        <x:v>ICEHCD</x:v>
      </x:c>
      <x:c r="D67" s="112" t="str">
        <x:v>ICEHCDT</x:v>
      </x:c>
      <x:c r="E67" s="120"/>
      <x:c r="F67" s="120" t="n">
        <x:v>0</x:v>
      </x:c>
      <x:c r="G67" s="120"/>
      <x:c r="H67" s="112" t="str">
        <x:v>DS SP GIÁ 0 - VẪN THIẾU GIÁ</x:v>
      </x:c>
      <x:c r="I67" s="112" t="n">
        <x:v>1</x:v>
      </x:c>
      <x:c r="J67" s="112" t="str">
        <x:v>kg</x:v>
      </x:c>
      <x:c r="K67" s="112" t="str">
        <x:v>HỘP</x:v>
      </x:c>
      <x:c r="L67" s="112" t="n">
        <x:v>13</x:v>
      </x:c>
      <x:c r="M67" s="112" t="str">
        <x:v>kg</x:v>
      </x:c>
      <x:c r="N67" s="112" t="str">
        <x:v>THÙNG</x:v>
      </x:c>
      <x:c r="O67" s="112" t="n">
        <x:v>12</x:v>
      </x:c>
      <x:c r="P67" s="112" t="str">
        <x:v>1 kg / HỘP</x:v>
      </x:c>
      <x:c r="Q67" s="112" t="str">
        <x:v>12 HỘP / THÙNG</x:v>
      </x:c>
      <x:c r="R67" s="112" t="n">
        <x:v>145</x:v>
      </x:c>
      <x:c r="S67" s="113" t="n">
        <x:v>146</x:v>
      </x:c>
    </x:row>
    <x:row r="68">
      <x:c r="A68" s="111" t="n">
        <x:v>68</x:v>
      </x:c>
      <x:c r="B68" s="112" t="str">
        <x:v>SIRO VINA TRÀ XANH</x:v>
      </x:c>
      <x:c r="C68" s="112" t="str">
        <x:v>SRVNTX</x:v>
      </x:c>
      <x:c r="D68" s="112" t="str">
        <x:v>SRVNTXT</x:v>
      </x:c>
      <x:c r="E68" s="120"/>
      <x:c r="F68" s="120" t="n">
        <x:v>40000</x:v>
      </x:c>
      <x:c r="G68" s="120" t="n">
        <x:v>40000</x:v>
      </x:c>
      <x:c r="H68" s="112" t="str">
        <x:v>BỔ SUNG GIÁ</x:v>
      </x:c>
      <x:c r="I68" s="112" t="n">
        <x:v>1000</x:v>
      </x:c>
      <x:c r="J68" s="112" t="str">
        <x:v>g</x:v>
      </x:c>
      <x:c r="K68" s="112" t="str">
        <x:v>CHAI</x:v>
      </x:c>
      <x:c r="L68" s="112" t="n">
        <x:v>13000</x:v>
      </x:c>
      <x:c r="M68" s="112" t="str">
        <x:v>g</x:v>
      </x:c>
      <x:c r="N68" s="112" t="str">
        <x:v>THÙNG</x:v>
      </x:c>
      <x:c r="O68" s="112" t="n">
        <x:v>12</x:v>
      </x:c>
      <x:c r="P68" s="112" t="str">
        <x:v>1000 g / CHAI</x:v>
      </x:c>
      <x:c r="Q68" s="112" t="str">
        <x:v>12 CHAI / THÙNG</x:v>
      </x:c>
      <x:c r="R68" s="112" t="n">
        <x:v>153</x:v>
      </x:c>
      <x:c r="S68" s="113" t="n">
        <x:v>154</x:v>
      </x:c>
    </x:row>
    <x:row r="69">
      <x:c r="A69" s="111" t="n">
        <x:v>69</x:v>
      </x:c>
      <x:c r="B69" s="112" t="str">
        <x:v>SIRO VINA TÁO</x:v>
      </x:c>
      <x:c r="C69" s="112" t="str">
        <x:v>SRVNTA</x:v>
      </x:c>
      <x:c r="D69" s="112" t="str">
        <x:v>SRVNTAT</x:v>
      </x:c>
      <x:c r="E69" s="120" t="n">
        <x:v>40000</x:v>
      </x:c>
      <x:c r="F69" s="120" t="n">
        <x:v>40000</x:v>
      </x:c>
      <x:c r="G69" s="120" t="n">
        <x:v>40000</x:v>
      </x:c>
      <x:c r="H69" s="112" t="str">
        <x:v>GIỮ NGUYÊN - ĐÃ KHỚP</x:v>
      </x:c>
      <x:c r="I69" s="112" t="n">
        <x:v>1000</x:v>
      </x:c>
      <x:c r="J69" s="112" t="str">
        <x:v>g</x:v>
      </x:c>
      <x:c r="K69" s="112" t="str">
        <x:v>CHAI</x:v>
      </x:c>
      <x:c r="L69" s="112" t="n">
        <x:v>13000</x:v>
      </x:c>
      <x:c r="M69" s="112" t="str">
        <x:v>g</x:v>
      </x:c>
      <x:c r="N69" s="112" t="str">
        <x:v>THÙNG</x:v>
      </x:c>
      <x:c r="O69" s="112" t="n">
        <x:v>12</x:v>
      </x:c>
      <x:c r="P69" s="112" t="str">
        <x:v>1000 g / CHAI</x:v>
      </x:c>
      <x:c r="Q69" s="112" t="str">
        <x:v>12 CHAI / THÙNG</x:v>
      </x:c>
      <x:c r="R69" s="112" t="n">
        <x:v>155</x:v>
      </x:c>
      <x:c r="S69" s="113" t="n">
        <x:v>156</x:v>
      </x:c>
    </x:row>
    <x:row r="70">
      <x:c r="A70" s="111" t="n">
        <x:v>70</x:v>
      </x:c>
      <x:c r="B70" s="112" t="str">
        <x:v>SIRO VINA MÔN</x:v>
      </x:c>
      <x:c r="C70" s="112" t="str">
        <x:v>SRVNMN</x:v>
      </x:c>
      <x:c r="D70" s="112" t="str">
        <x:v>SRVNMNT</x:v>
      </x:c>
      <x:c r="E70" s="120" t="n">
        <x:v>40000</x:v>
      </x:c>
      <x:c r="F70" s="120" t="n">
        <x:v>40000</x:v>
      </x:c>
      <x:c r="G70" s="120" t="n">
        <x:v>40000</x:v>
      </x:c>
      <x:c r="H70" s="112" t="str">
        <x:v>GIỮ NGUYÊN - ĐÃ KHỚP</x:v>
      </x:c>
      <x:c r="I70" s="112" t="n">
        <x:v>1000</x:v>
      </x:c>
      <x:c r="J70" s="112" t="str">
        <x:v>g</x:v>
      </x:c>
      <x:c r="K70" s="112" t="str">
        <x:v>CHAI</x:v>
      </x:c>
      <x:c r="L70" s="112" t="n">
        <x:v>13000</x:v>
      </x:c>
      <x:c r="M70" s="112" t="str">
        <x:v>g</x:v>
      </x:c>
      <x:c r="N70" s="112" t="str">
        <x:v>THÙNG</x:v>
      </x:c>
      <x:c r="O70" s="112" t="n">
        <x:v>12</x:v>
      </x:c>
      <x:c r="P70" s="112" t="str">
        <x:v>1000 g / CHAI</x:v>
      </x:c>
      <x:c r="Q70" s="112" t="str">
        <x:v>12 CHAI / THÙNG</x:v>
      </x:c>
      <x:c r="R70" s="112" t="n">
        <x:v>157</x:v>
      </x:c>
      <x:c r="S70" s="113" t="n">
        <x:v>158</x:v>
      </x:c>
    </x:row>
    <x:row r="71">
      <x:c r="A71" s="111" t="n">
        <x:v>71</x:v>
      </x:c>
      <x:c r="B71" s="112" t="str">
        <x:v>SIRO VINA KIWI</x:v>
      </x:c>
      <x:c r="C71" s="112" t="str">
        <x:v>SRVNKW</x:v>
      </x:c>
      <x:c r="D71" s="112" t="str">
        <x:v>SRVNKWT</x:v>
      </x:c>
      <x:c r="E71" s="120" t="n">
        <x:v>40000</x:v>
      </x:c>
      <x:c r="F71" s="120" t="n">
        <x:v>40000</x:v>
      </x:c>
      <x:c r="G71" s="120" t="n">
        <x:v>40000</x:v>
      </x:c>
      <x:c r="H71" s="112" t="str">
        <x:v>GIỮ NGUYÊN - ĐÃ KHỚP</x:v>
      </x:c>
      <x:c r="I71" s="112" t="n">
        <x:v>1000</x:v>
      </x:c>
      <x:c r="J71" s="112" t="str">
        <x:v>g</x:v>
      </x:c>
      <x:c r="K71" s="112" t="str">
        <x:v>CHAI</x:v>
      </x:c>
      <x:c r="L71" s="112" t="n">
        <x:v>13000</x:v>
      </x:c>
      <x:c r="M71" s="112" t="str">
        <x:v>g</x:v>
      </x:c>
      <x:c r="N71" s="112" t="str">
        <x:v>THÙNG</x:v>
      </x:c>
      <x:c r="O71" s="112" t="n">
        <x:v>12</x:v>
      </x:c>
      <x:c r="P71" s="112" t="str">
        <x:v>1000 g / CHAI</x:v>
      </x:c>
      <x:c r="Q71" s="112" t="str">
        <x:v>12 CHAI / THÙNG</x:v>
      </x:c>
      <x:c r="R71" s="112" t="n">
        <x:v>159</x:v>
      </x:c>
      <x:c r="S71" s="113" t="n">
        <x:v>160</x:v>
      </x:c>
    </x:row>
    <x:row r="72">
      <x:c r="A72" s="111" t="n">
        <x:v>72</x:v>
      </x:c>
      <x:c r="B72" s="112" t="str">
        <x:v>SIRO VINA DƯA LƯỚI</x:v>
      </x:c>
      <x:c r="C72" s="112" t="str">
        <x:v>SRVNDL</x:v>
      </x:c>
      <x:c r="D72" s="112" t="str">
        <x:v>SRVNDLT</x:v>
      </x:c>
      <x:c r="E72" s="120" t="n">
        <x:v>40000</x:v>
      </x:c>
      <x:c r="F72" s="120" t="n">
        <x:v>40000</x:v>
      </x:c>
      <x:c r="G72" s="120" t="n">
        <x:v>40000</x:v>
      </x:c>
      <x:c r="H72" s="112" t="str">
        <x:v>GIỮ NGUYÊN - ĐÃ KHỚP</x:v>
      </x:c>
      <x:c r="I72" s="112" t="n">
        <x:v>1000</x:v>
      </x:c>
      <x:c r="J72" s="112" t="str">
        <x:v>g</x:v>
      </x:c>
      <x:c r="K72" s="112" t="str">
        <x:v>CHAI</x:v>
      </x:c>
      <x:c r="L72" s="112" t="n">
        <x:v>13000</x:v>
      </x:c>
      <x:c r="M72" s="112" t="str">
        <x:v>g</x:v>
      </x:c>
      <x:c r="N72" s="112" t="str">
        <x:v>THÙNG</x:v>
      </x:c>
      <x:c r="O72" s="112" t="n">
        <x:v>12</x:v>
      </x:c>
      <x:c r="P72" s="112" t="str">
        <x:v>1000 g / CHAI</x:v>
      </x:c>
      <x:c r="Q72" s="112" t="str">
        <x:v>12 CHAI / THÙNG</x:v>
      </x:c>
      <x:c r="R72" s="112" t="n">
        <x:v>161</x:v>
      </x:c>
      <x:c r="S72" s="113" t="n">
        <x:v>162</x:v>
      </x:c>
    </x:row>
    <x:row r="73">
      <x:c r="A73" s="111" t="n">
        <x:v>73</x:v>
      </x:c>
      <x:c r="B73" s="112" t="str">
        <x:v>SIRO VINA CHANH DÂY</x:v>
      </x:c>
      <x:c r="C73" s="112" t="str">
        <x:v>SRVNCD</x:v>
      </x:c>
      <x:c r="D73" s="112" t="str">
        <x:v>SRVNCDT</x:v>
      </x:c>
      <x:c r="E73" s="120" t="n">
        <x:v>40000</x:v>
      </x:c>
      <x:c r="F73" s="120" t="n">
        <x:v>40000</x:v>
      </x:c>
      <x:c r="G73" s="120" t="n">
        <x:v>40000</x:v>
      </x:c>
      <x:c r="H73" s="112" t="str">
        <x:v>GIỮ NGUYÊN - ĐÃ KHỚP</x:v>
      </x:c>
      <x:c r="I73" s="112" t="n">
        <x:v>1000</x:v>
      </x:c>
      <x:c r="J73" s="112" t="str">
        <x:v>g</x:v>
      </x:c>
      <x:c r="K73" s="112" t="str">
        <x:v>CHAI</x:v>
      </x:c>
      <x:c r="L73" s="112" t="n">
        <x:v>13000</x:v>
      </x:c>
      <x:c r="M73" s="112" t="str">
        <x:v>g</x:v>
      </x:c>
      <x:c r="N73" s="112" t="str">
        <x:v>THÙNG</x:v>
      </x:c>
      <x:c r="O73" s="112" t="n">
        <x:v>12</x:v>
      </x:c>
      <x:c r="P73" s="112" t="str">
        <x:v>1000 g / CHAI</x:v>
      </x:c>
      <x:c r="Q73" s="112" t="str">
        <x:v>12 CHAI / THÙNG</x:v>
      </x:c>
      <x:c r="R73" s="112" t="n">
        <x:v>163</x:v>
      </x:c>
      <x:c r="S73" s="113" t="n">
        <x:v>164</x:v>
      </x:c>
    </x:row>
    <x:row r="74">
      <x:c r="A74" s="111" t="n">
        <x:v>74</x:v>
      </x:c>
      <x:c r="B74" s="112" t="str">
        <x:v>SIRO VINA BLUE</x:v>
      </x:c>
      <x:c r="C74" s="112" t="str">
        <x:v>SRVNBL</x:v>
      </x:c>
      <x:c r="D74" s="112" t="str">
        <x:v>SRVNBLT</x:v>
      </x:c>
      <x:c r="E74" s="120" t="n">
        <x:v>40000</x:v>
      </x:c>
      <x:c r="F74" s="120" t="n">
        <x:v>40000</x:v>
      </x:c>
      <x:c r="G74" s="120" t="n">
        <x:v>40000</x:v>
      </x:c>
      <x:c r="H74" s="112" t="str">
        <x:v>GIỮ NGUYÊN - ĐÃ KHỚP</x:v>
      </x:c>
      <x:c r="I74" s="112" t="n">
        <x:v>1000</x:v>
      </x:c>
      <x:c r="J74" s="112" t="str">
        <x:v>g</x:v>
      </x:c>
      <x:c r="K74" s="112" t="str">
        <x:v>CHAI</x:v>
      </x:c>
      <x:c r="L74" s="112" t="n">
        <x:v>13000</x:v>
      </x:c>
      <x:c r="M74" s="112" t="str">
        <x:v>g</x:v>
      </x:c>
      <x:c r="N74" s="112" t="str">
        <x:v>THÙNG</x:v>
      </x:c>
      <x:c r="O74" s="112" t="n">
        <x:v>12</x:v>
      </x:c>
      <x:c r="P74" s="112" t="str">
        <x:v>1000 g / CHAI</x:v>
      </x:c>
      <x:c r="Q74" s="112" t="str">
        <x:v>12 CHAI / THÙNG</x:v>
      </x:c>
      <x:c r="R74" s="112" t="n">
        <x:v>165</x:v>
      </x:c>
      <x:c r="S74" s="113" t="n">
        <x:v>166</x:v>
      </x:c>
    </x:row>
    <x:row r="75">
      <x:c r="A75" s="111" t="n">
        <x:v>75</x:v>
      </x:c>
      <x:c r="B75" s="112" t="str">
        <x:v>VẢI HOÀNG GIA</x:v>
      </x:c>
      <x:c r="C75" s="112" t="str">
        <x:v>VAIHGI</x:v>
      </x:c>
      <x:c r="D75" s="112" t="str">
        <x:v>VAIHGIT</x:v>
      </x:c>
      <x:c r="E75" s="120"/>
      <x:c r="F75" s="120" t="n">
        <x:v>30000</x:v>
      </x:c>
      <x:c r="G75" s="120" t="n">
        <x:v>30000</x:v>
      </x:c>
      <x:c r="H75" s="112" t="str">
        <x:v>BỔ SUNG GIÁ</x:v>
      </x:c>
      <x:c r="I75" s="112" t="n">
        <x:v>600</x:v>
      </x:c>
      <x:c r="J75" s="112" t="str">
        <x:v>g</x:v>
      </x:c>
      <x:c r="K75" s="112" t="str">
        <x:v>LON</x:v>
      </x:c>
      <x:c r="L75" s="112" t="n">
        <x:v>8000</x:v>
      </x:c>
      <x:c r="M75" s="112" t="str">
        <x:v>g</x:v>
      </x:c>
      <x:c r="N75" s="112" t="str">
        <x:v>THÙNG</x:v>
      </x:c>
      <x:c r="O75" s="112" t="n">
        <x:v>12</x:v>
      </x:c>
      <x:c r="P75" s="112" t="str">
        <x:v>600 g / LON</x:v>
      </x:c>
      <x:c r="Q75" s="112" t="str">
        <x:v>12 LON / THÙNG</x:v>
      </x:c>
      <x:c r="R75" s="112" t="n">
        <x:v>167</x:v>
      </x:c>
      <x:c r="S75" s="113" t="n">
        <x:v>168</x:v>
      </x:c>
    </x:row>
    <x:row r="76">
      <x:c r="A76" s="111" t="n">
        <x:v>76</x:v>
      </x:c>
      <x:c r="B76" s="112" t="str">
        <x:v>GTP VẢI</x:v>
      </x:c>
      <x:c r="C76" s="112" t="str">
        <x:v>GTPVAI</x:v>
      </x:c>
      <x:c r="D76" s="112" t="str">
        <x:v>GTPVAIT</x:v>
      </x:c>
      <x:c r="E76" s="120" t="n">
        <x:v>140000</x:v>
      </x:c>
      <x:c r="F76" s="120" t="n">
        <x:v>140000</x:v>
      </x:c>
      <x:c r="G76" s="120" t="n">
        <x:v>140000</x:v>
      </x:c>
      <x:c r="H76" s="112" t="str">
        <x:v>GIỮ NGUYÊN - ĐÃ KHỚP</x:v>
      </x:c>
      <x:c r="I76" s="112" t="n">
        <x:v>2550</x:v>
      </x:c>
      <x:c r="J76" s="112" t="str">
        <x:v>g</x:v>
      </x:c>
      <x:c r="K76" s="112" t="str">
        <x:v>BÌNH</x:v>
      </x:c>
      <x:c r="L76" s="112" t="n">
        <x:v>16000</x:v>
      </x:c>
      <x:c r="M76" s="112" t="str">
        <x:v>g</x:v>
      </x:c>
      <x:c r="N76" s="112" t="str">
        <x:v>THÙNG</x:v>
      </x:c>
      <x:c r="O76" s="112" t="n">
        <x:v>6</x:v>
      </x:c>
      <x:c r="P76" s="112" t="str">
        <x:v>2550 g / BÌNH</x:v>
      </x:c>
      <x:c r="Q76" s="112" t="str">
        <x:v>6 BÌNH / THÙNG</x:v>
      </x:c>
      <x:c r="R76" s="112" t="n">
        <x:v>169</x:v>
      </x:c>
      <x:c r="S76" s="113" t="n">
        <x:v>170</x:v>
      </x:c>
    </x:row>
    <x:row r="77">
      <x:c r="A77" s="111" t="n">
        <x:v>77</x:v>
      </x:c>
      <x:c r="B77" s="112" t="str">
        <x:v>TC HOÀNG KIM KUNHAN 3KG</x:v>
      </x:c>
      <x:c r="C77" s="112" t="str">
        <x:v>KH3KHK</x:v>
      </x:c>
      <x:c r="D77" s="112" t="str">
        <x:v>KH3KHKT</x:v>
      </x:c>
      <x:c r="E77" s="120"/>
      <x:c r="F77" s="120" t="n">
        <x:v>78000</x:v>
      </x:c>
      <x:c r="G77" s="120" t="n">
        <x:v>78000</x:v>
      </x:c>
      <x:c r="H77" s="112" t="str">
        <x:v>BỔ SUNG GIÁ</x:v>
      </x:c>
      <x:c r="I77" s="112" t="n">
        <x:v>3</x:v>
      </x:c>
      <x:c r="J77" s="112" t="str">
        <x:v>kg</x:v>
      </x:c>
      <x:c r="K77" s="112" t="str">
        <x:v>GÓI</x:v>
      </x:c>
      <x:c r="L77" s="112" t="n">
        <x:v>19000</x:v>
      </x:c>
      <x:c r="M77" s="112" t="str">
        <x:v>g</x:v>
      </x:c>
      <x:c r="N77" s="112" t="str">
        <x:v>THÙNG</x:v>
      </x:c>
      <x:c r="O77" s="112" t="n">
        <x:v>6</x:v>
      </x:c>
      <x:c r="P77" s="112" t="str">
        <x:v>3 kg / GÓI</x:v>
      </x:c>
      <x:c r="Q77" s="112" t="str">
        <x:v>6 GÓI / THÙNG</x:v>
      </x:c>
      <x:c r="R77" s="112" t="n">
        <x:v>171</x:v>
      </x:c>
      <x:c r="S77" s="113" t="n">
        <x:v>172</x:v>
      </x:c>
    </x:row>
    <x:row r="78">
      <x:c r="A78" s="111" t="n">
        <x:v>78</x:v>
      </x:c>
      <x:c r="B78" s="112" t="str">
        <x:v>GTP TRÀ XANH</x:v>
      </x:c>
      <x:c r="C78" s="112" t="str">
        <x:v>GTPTXA</x:v>
      </x:c>
      <x:c r="D78" s="112" t="str">
        <x:v>GTPTXAT</x:v>
      </x:c>
      <x:c r="E78" s="120"/>
      <x:c r="F78" s="120" t="n">
        <x:v>140000</x:v>
      </x:c>
      <x:c r="G78" s="120" t="n">
        <x:v>140000</x:v>
      </x:c>
      <x:c r="H78" s="112" t="str">
        <x:v>BỔ SUNG GIÁ</x:v>
      </x:c>
      <x:c r="I78" s="112" t="n">
        <x:v>2550</x:v>
      </x:c>
      <x:c r="J78" s="112" t="str">
        <x:v>g</x:v>
      </x:c>
      <x:c r="K78" s="112" t="str">
        <x:v>BÌNH</x:v>
      </x:c>
      <x:c r="L78" s="112" t="n">
        <x:v>16000</x:v>
      </x:c>
      <x:c r="M78" s="112" t="str">
        <x:v>g</x:v>
      </x:c>
      <x:c r="N78" s="112" t="str">
        <x:v>THÙNG</x:v>
      </x:c>
      <x:c r="O78" s="112" t="n">
        <x:v>6</x:v>
      </x:c>
      <x:c r="P78" s="112" t="str">
        <x:v>2550 g / BÌNH</x:v>
      </x:c>
      <x:c r="Q78" s="112" t="str">
        <x:v>6 BÌNH / THÙNG</x:v>
      </x:c>
      <x:c r="R78" s="112" t="n">
        <x:v>173</x:v>
      </x:c>
      <x:c r="S78" s="113" t="n">
        <x:v>174</x:v>
      </x:c>
    </x:row>
    <x:row r="79">
      <x:c r="A79" s="111" t="n">
        <x:v>79</x:v>
      </x:c>
      <x:c r="B79" s="112" t="str">
        <x:v>COZY TÚI LỌC VẢI</x:v>
      </x:c>
      <x:c r="C79" s="112" t="str">
        <x:v>COTLVA</x:v>
      </x:c>
      <x:c r="D79" s="112" t="str">
        <x:v>COTLVAT</x:v>
      </x:c>
      <x:c r="E79" s="120" t="n">
        <x:v>38000</x:v>
      </x:c>
      <x:c r="F79" s="120" t="n">
        <x:v>39000</x:v>
      </x:c>
      <x:c r="G79" s="120" t="n">
        <x:v>39000</x:v>
      </x:c>
      <x:c r="H79" s="112" t="str">
        <x:v>CẬP NHẬT GIÁ</x:v>
      </x:c>
      <x:c r="I79" s="112" t="n">
        <x:v>100</x:v>
      </x:c>
      <x:c r="J79" s="112" t="str">
        <x:v>g</x:v>
      </x:c>
      <x:c r="K79" s="112" t="str">
        <x:v>HỘP</x:v>
      </x:c>
      <x:c r="L79" s="112" t="n">
        <x:v>5000</x:v>
      </x:c>
      <x:c r="M79" s="112" t="str">
        <x:v>g</x:v>
      </x:c>
      <x:c r="N79" s="112" t="str">
        <x:v>THÙNG</x:v>
      </x:c>
      <x:c r="O79" s="112" t="n">
        <x:v>36</x:v>
      </x:c>
      <x:c r="P79" s="112" t="str">
        <x:v>100 g / HỘP</x:v>
      </x:c>
      <x:c r="Q79" s="112" t="str">
        <x:v>36 HỘP / THÙNG</x:v>
      </x:c>
      <x:c r="R79" s="112" t="n">
        <x:v>175</x:v>
      </x:c>
      <x:c r="S79" s="113" t="n">
        <x:v>176</x:v>
      </x:c>
    </x:row>
    <x:row r="80">
      <x:c r="A80" s="111" t="n">
        <x:v>80</x:v>
      </x:c>
      <x:c r="B80" s="112" t="str">
        <x:v>TRÀ SỐ 9 DOUXIAN</x:v>
      </x:c>
      <x:c r="C80" s="112" t="str">
        <x:v>TR9DXN</x:v>
      </x:c>
      <x:c r="D80" s="112" t="str">
        <x:v>TR9DXNT</x:v>
      </x:c>
      <x:c r="E80" s="120" t="n">
        <x:v>43000</x:v>
      </x:c>
      <x:c r="F80" s="120" t="n">
        <x:v>54000</x:v>
      </x:c>
      <x:c r="G80" s="120" t="n">
        <x:v>54000</x:v>
      </x:c>
      <x:c r="H80" s="112" t="str">
        <x:v>CẬP NHẬT GIÁ</x:v>
      </x:c>
      <x:c r="I80" s="112" t="n">
        <x:v>0</x:v>
      </x:c>
      <x:c r="J80" s="112" t="str">
        <x:v>g</x:v>
      </x:c>
      <x:c r="K80" s="112" t="str">
        <x:v>BỊCH</x:v>
      </x:c>
      <x:c r="L80" s="112" t="n">
        <x:v>0</x:v>
      </x:c>
      <x:c r="M80" s="112" t="str">
        <x:v>g</x:v>
      </x:c>
      <x:c r="N80" s="112" t="str">
        <x:v>THÙNG</x:v>
      </x:c>
      <x:c r="O80" s="112" t="n">
        <x:v>10</x:v>
      </x:c>
      <x:c r="P80" s="112" t="str">
        <x:v>0 g / BỊCH</x:v>
      </x:c>
      <x:c r="Q80" s="112" t="str">
        <x:v>10 BỊCH / THÙNG</x:v>
      </x:c>
      <x:c r="R80" s="112" t="n">
        <x:v>177</x:v>
      </x:c>
      <x:c r="S80" s="113" t="n">
        <x:v>178</x:v>
      </x:c>
    </x:row>
    <x:row r="81">
      <x:c r="A81" s="111" t="n">
        <x:v>81</x:v>
      </x:c>
      <x:c r="B81" s="112" t="str">
        <x:v>TRÀ SEN THÁI NGUYÊN</x:v>
      </x:c>
      <x:c r="C81" s="112" t="str">
        <x:v>TRSETN</x:v>
      </x:c>
      <x:c r="D81" s="112" t="str">
        <x:v>TRSETNT</x:v>
      </x:c>
      <x:c r="E81" s="120" t="n">
        <x:v>40000</x:v>
      </x:c>
      <x:c r="F81" s="120" t="n">
        <x:v>40000</x:v>
      </x:c>
      <x:c r="G81" s="120" t="n">
        <x:v>40000</x:v>
      </x:c>
      <x:c r="H81" s="112" t="str">
        <x:v>GIỮ NGUYÊN - ĐÃ KHỚP</x:v>
      </x:c>
      <x:c r="I81" s="112" t="n">
        <x:v>100</x:v>
      </x:c>
      <x:c r="J81" s="112" t="str">
        <x:v>g</x:v>
      </x:c>
      <x:c r="K81" s="112" t="str">
        <x:v>BỊCH</x:v>
      </x:c>
      <x:c r="L81" s="112" t="n">
        <x:v>3000</x:v>
      </x:c>
      <x:c r="M81" s="112" t="str">
        <x:v>g</x:v>
      </x:c>
      <x:c r="N81" s="112" t="str">
        <x:v>THÙNG</x:v>
      </x:c>
      <x:c r="O81" s="112" t="n">
        <x:v>25</x:v>
      </x:c>
      <x:c r="P81" s="112" t="str">
        <x:v>100 g / BỊCH</x:v>
      </x:c>
      <x:c r="Q81" s="112" t="str">
        <x:v>25 BỊCH / THÙNG</x:v>
      </x:c>
      <x:c r="R81" s="112" t="n">
        <x:v>179</x:v>
      </x:c>
      <x:c r="S81" s="113" t="n">
        <x:v>180</x:v>
      </x:c>
    </x:row>
    <x:row r="82">
      <x:c r="A82" s="111" t="n">
        <x:v>82</x:v>
      </x:c>
      <x:c r="B82" s="112" t="str">
        <x:v>TRÀ SEN PHÚC LONG LỌC</x:v>
      </x:c>
      <x:c r="C82" s="112" t="str">
        <x:v>TRSPLL</x:v>
      </x:c>
      <x:c r="D82" s="112" t="str">
        <x:v>TRSPLLT</x:v>
      </x:c>
      <x:c r="E82" s="120" t="n">
        <x:v>38000</x:v>
      </x:c>
      <x:c r="F82" s="120" t="n">
        <x:v>40000</x:v>
      </x:c>
      <x:c r="G82" s="120" t="n">
        <x:v>40000</x:v>
      </x:c>
      <x:c r="H82" s="112" t="str">
        <x:v>CẬP NHẬT GIÁ</x:v>
      </x:c>
      <x:c r="I82" s="112" t="n">
        <x:v>100</x:v>
      </x:c>
      <x:c r="J82" s="112" t="str">
        <x:v>g</x:v>
      </x:c>
      <x:c r="K82" s="112" t="str">
        <x:v>HỘP</x:v>
      </x:c>
      <x:c r="L82" s="112" t="n">
        <x:v>2000</x:v>
      </x:c>
      <x:c r="M82" s="112" t="str">
        <x:v>g</x:v>
      </x:c>
      <x:c r="N82" s="112" t="str">
        <x:v>THÙNG</x:v>
      </x:c>
      <x:c r="O82" s="112" t="n">
        <x:v>20</x:v>
      </x:c>
      <x:c r="P82" s="112" t="str">
        <x:v>100 g / HỘP</x:v>
      </x:c>
      <x:c r="Q82" s="112" t="str">
        <x:v>20 HỘP / THÙNG</x:v>
      </x:c>
      <x:c r="R82" s="112" t="n">
        <x:v>181</x:v>
      </x:c>
      <x:c r="S82" s="113" t="n">
        <x:v>182</x:v>
      </x:c>
    </x:row>
    <x:row r="83">
      <x:c r="A83" s="111" t="n">
        <x:v>83</x:v>
      </x:c>
      <x:c r="B83" s="112" t="str">
        <x:v>TRÀ OLONG LỘC PHÁT</x:v>
      </x:c>
      <x:c r="C83" s="112" t="str">
        <x:v>TROLLP</x:v>
      </x:c>
      <x:c r="D83" s="112" t="str">
        <x:v>TROLLPT</x:v>
      </x:c>
      <x:c r="E83" s="120" t="n">
        <x:v>306000</x:v>
      </x:c>
      <x:c r="F83" s="120" t="n">
        <x:v>306000</x:v>
      </x:c>
      <x:c r="G83" s="120" t="n">
        <x:v>306000</x:v>
      </x:c>
      <x:c r="H83" s="112" t="str">
        <x:v>GIỮ NGUYÊN - ĐÃ KHỚP</x:v>
      </x:c>
      <x:c r="I83" s="112" t="n">
        <x:v>1000</x:v>
      </x:c>
      <x:c r="J83" s="112" t="str">
        <x:v>g</x:v>
      </x:c>
      <x:c r="K83" s="112" t="str">
        <x:v>BỊCH</x:v>
      </x:c>
      <x:c r="L83" s="112" t="n">
        <x:v>13000</x:v>
      </x:c>
      <x:c r="M83" s="112" t="str">
        <x:v>g</x:v>
      </x:c>
      <x:c r="N83" s="112" t="str">
        <x:v>THÙNG</x:v>
      </x:c>
      <x:c r="O83" s="112" t="n">
        <x:v>12</x:v>
      </x:c>
      <x:c r="P83" s="112" t="str">
        <x:v>1000 g / BỊCH</x:v>
      </x:c>
      <x:c r="Q83" s="112" t="str">
        <x:v>12 BỊCH / THÙNG</x:v>
      </x:c>
      <x:c r="R83" s="112" t="n">
        <x:v>185</x:v>
      </x:c>
      <x:c r="S83" s="113" t="n">
        <x:v>186</x:v>
      </x:c>
    </x:row>
    <x:row r="84">
      <x:c r="A84" s="111" t="n">
        <x:v>84</x:v>
      </x:c>
      <x:c r="B84" s="112" t="str">
        <x:v>TRÀ OLONG KING</x:v>
      </x:c>
      <x:c r="C84" s="112" t="str">
        <x:v>TROLKG</x:v>
      </x:c>
      <x:c r="D84" s="112" t="str">
        <x:v>TROLKGT</x:v>
      </x:c>
      <x:c r="E84" s="120" t="n">
        <x:v>160000</x:v>
      </x:c>
      <x:c r="F84" s="120" t="n">
        <x:v>160000</x:v>
      </x:c>
      <x:c r="G84" s="120" t="n">
        <x:v>160000</x:v>
      </x:c>
      <x:c r="H84" s="112" t="str">
        <x:v>GIỮ NGUYÊN - ĐÃ KHỚP</x:v>
      </x:c>
      <x:c r="I84" s="112" t="n">
        <x:v>1</x:v>
      </x:c>
      <x:c r="J84" s="112" t="str">
        <x:v>kg</x:v>
      </x:c>
      <x:c r="K84" s="112" t="str">
        <x:v>BỊCH</x:v>
      </x:c>
      <x:c r="L84" s="112" t="n">
        <x:v>30</x:v>
      </x:c>
      <x:c r="M84" s="112" t="str">
        <x:v>kg</x:v>
      </x:c>
      <x:c r="N84" s="112" t="str">
        <x:v>BAO</x:v>
      </x:c>
      <x:c r="O84" s="112" t="n">
        <x:v>30</x:v>
      </x:c>
      <x:c r="P84" s="112" t="str">
        <x:v>1 kg / BỊCH</x:v>
      </x:c>
      <x:c r="Q84" s="112" t="str">
        <x:v>30 BỊCH / BAO</x:v>
      </x:c>
      <x:c r="R84" s="112" t="n">
        <x:v>187</x:v>
      </x:c>
      <x:c r="S84" s="113" t="n">
        <x:v>188</x:v>
      </x:c>
    </x:row>
    <x:row r="85">
      <x:c r="A85" s="111" t="n">
        <x:v>85</x:v>
      </x:c>
      <x:c r="B85" s="112" t="str">
        <x:v>TRÀ LÀI THÁI NGUYÊN</x:v>
      </x:c>
      <x:c r="C85" s="112" t="str">
        <x:v>TRLATN</x:v>
      </x:c>
      <x:c r="D85" s="112" t="str">
        <x:v>TRLATNT</x:v>
      </x:c>
      <x:c r="E85" s="120" t="n">
        <x:v>40000</x:v>
      </x:c>
      <x:c r="F85" s="120" t="n">
        <x:v>40000</x:v>
      </x:c>
      <x:c r="G85" s="120" t="n">
        <x:v>40000</x:v>
      </x:c>
      <x:c r="H85" s="112" t="str">
        <x:v>GIỮ NGUYÊN - ĐÃ KHỚP</x:v>
      </x:c>
      <x:c r="I85" s="112" t="n">
        <x:v>100</x:v>
      </x:c>
      <x:c r="J85" s="112" t="str">
        <x:v>g</x:v>
      </x:c>
      <x:c r="K85" s="112" t="str">
        <x:v>BỊCH</x:v>
      </x:c>
      <x:c r="L85" s="112" t="n">
        <x:v>3000</x:v>
      </x:c>
      <x:c r="M85" s="112" t="str">
        <x:v>g</x:v>
      </x:c>
      <x:c r="N85" s="112" t="str">
        <x:v>THÙNG</x:v>
      </x:c>
      <x:c r="O85" s="112" t="n">
        <x:v>25</x:v>
      </x:c>
      <x:c r="P85" s="112" t="str">
        <x:v>100 g / BỊCH</x:v>
      </x:c>
      <x:c r="Q85" s="112" t="str">
        <x:v>25 BỊCH / THÙNG</x:v>
      </x:c>
      <x:c r="R85" s="112" t="n">
        <x:v>189</x:v>
      </x:c>
      <x:c r="S85" s="113" t="n">
        <x:v>190</x:v>
      </x:c>
    </x:row>
    <x:row r="86">
      <x:c r="A86" s="111" t="n">
        <x:v>86</x:v>
      </x:c>
      <x:c r="B86" s="112" t="str">
        <x:v>TRÀ LÀI TÂN NAM BẮC</x:v>
      </x:c>
      <x:c r="C86" s="112" t="str">
        <x:v>TRLTNB</x:v>
      </x:c>
      <x:c r="D86" s="112" t="str">
        <x:v>TRLTNBT</x:v>
      </x:c>
      <x:c r="E86" s="120" t="n">
        <x:v>29000</x:v>
      </x:c>
      <x:c r="F86" s="120" t="n">
        <x:v>30000</x:v>
      </x:c>
      <x:c r="G86" s="120" t="n">
        <x:v>30000</x:v>
      </x:c>
      <x:c r="H86" s="112" t="str">
        <x:v>CẬP NHẬT GIÁ</x:v>
      </x:c>
      <x:c r="I86" s="112" t="n">
        <x:v>300</x:v>
      </x:c>
      <x:c r="J86" s="112" t="str">
        <x:v>g</x:v>
      </x:c>
      <x:c r="K86" s="112" t="str">
        <x:v>GÓI</x:v>
      </x:c>
      <x:c r="L86" s="112" t="n">
        <x:v>20000</x:v>
      </x:c>
      <x:c r="M86" s="112" t="str">
        <x:v>g</x:v>
      </x:c>
      <x:c r="N86" s="112" t="str">
        <x:v>THÙNG</x:v>
      </x:c>
      <x:c r="O86" s="112" t="n">
        <x:v>50</x:v>
      </x:c>
      <x:c r="P86" s="112" t="str">
        <x:v>300 g / GÓI</x:v>
      </x:c>
      <x:c r="Q86" s="112" t="str">
        <x:v>50 GÓI / THÙNG</x:v>
      </x:c>
      <x:c r="R86" s="112" t="n">
        <x:v>191</x:v>
      </x:c>
      <x:c r="S86" s="113" t="n">
        <x:v>192</x:v>
      </x:c>
    </x:row>
    <x:row r="87">
      <x:c r="A87" s="111" t="n">
        <x:v>87</x:v>
      </x:c>
      <x:c r="B87" s="112" t="str">
        <x:v>TRÀ LÀI PHÚC LONG LỌC</x:v>
      </x:c>
      <x:c r="C87" s="112" t="str">
        <x:v>TRLPLL</x:v>
      </x:c>
      <x:c r="D87" s="112" t="str">
        <x:v>TRLPLLT</x:v>
      </x:c>
      <x:c r="E87" s="120" t="n">
        <x:v>38000</x:v>
      </x:c>
      <x:c r="F87" s="120" t="n">
        <x:v>40000</x:v>
      </x:c>
      <x:c r="G87" s="120" t="n">
        <x:v>40000</x:v>
      </x:c>
      <x:c r="H87" s="112" t="str">
        <x:v>CẬP NHẬT GIÁ</x:v>
      </x:c>
      <x:c r="I87" s="112" t="n">
        <x:v>0</x:v>
      </x:c>
      <x:c r="J87" s="112" t="str">
        <x:v>g</x:v>
      </x:c>
      <x:c r="K87" s="112" t="str">
        <x:v>HỘP</x:v>
      </x:c>
      <x:c r="L87" s="112" t="n">
        <x:v>2000</x:v>
      </x:c>
      <x:c r="M87" s="112" t="str">
        <x:v>g</x:v>
      </x:c>
      <x:c r="N87" s="112" t="str">
        <x:v>THÙNG</x:v>
      </x:c>
      <x:c r="O87" s="112" t="n">
        <x:v>20</x:v>
      </x:c>
      <x:c r="P87" s="112" t="str">
        <x:v>0 g / HỘP</x:v>
      </x:c>
      <x:c r="Q87" s="112" t="str">
        <x:v>20 HỘP / THÙNG</x:v>
      </x:c>
      <x:c r="R87" s="112" t="n">
        <x:v>193</x:v>
      </x:c>
      <x:c r="S87" s="113" t="n">
        <x:v>194</x:v>
      </x:c>
    </x:row>
    <x:row r="88">
      <x:c r="A88" s="111" t="n">
        <x:v>88</x:v>
      </x:c>
      <x:c r="B88" s="112" t="str">
        <x:v>TRÀ LÀI NOVIA</x:v>
      </x:c>
      <x:c r="C88" s="112" t="str">
        <x:v>TRLANO</x:v>
      </x:c>
      <x:c r="D88" s="112" t="str">
        <x:v>TRLANOT</x:v>
      </x:c>
      <x:c r="E88" s="120" t="n">
        <x:v>80000</x:v>
      </x:c>
      <x:c r="F88" s="120" t="n">
        <x:v>80000</x:v>
      </x:c>
      <x:c r="G88" s="120" t="n">
        <x:v>80000</x:v>
      </x:c>
      <x:c r="H88" s="112" t="str">
        <x:v>GIỮ NGUYÊN - ĐÃ KHỚP</x:v>
      </x:c>
      <x:c r="I88" s="112" t="n">
        <x:v>500</x:v>
      </x:c>
      <x:c r="J88" s="112" t="str">
        <x:v>g</x:v>
      </x:c>
      <x:c r="K88" s="112" t="str">
        <x:v>BỊCH</x:v>
      </x:c>
      <x:c r="L88" s="112" t="n">
        <x:v>11000</x:v>
      </x:c>
      <x:c r="M88" s="112" t="str">
        <x:v>g</x:v>
      </x:c>
      <x:c r="N88" s="112" t="str">
        <x:v>THÙNG</x:v>
      </x:c>
      <x:c r="O88" s="112" t="n">
        <x:v>20</x:v>
      </x:c>
      <x:c r="P88" s="112" t="str">
        <x:v>500 g / BỊCH</x:v>
      </x:c>
      <x:c r="Q88" s="112" t="str">
        <x:v>20 BỊCH / THÙNG</x:v>
      </x:c>
      <x:c r="R88" s="112" t="n">
        <x:v>195</x:v>
      </x:c>
      <x:c r="S88" s="113" t="n">
        <x:v>196</x:v>
      </x:c>
    </x:row>
    <x:row r="89">
      <x:c r="A89" s="111" t="n">
        <x:v>89</x:v>
      </x:c>
      <x:c r="B89" s="112" t="str">
        <x:v>TRÀ LÀI LỘC PHÁT</x:v>
      </x:c>
      <x:c r="C89" s="112" t="str">
        <x:v>TRLALP</x:v>
      </x:c>
      <x:c r="D89" s="112" t="str">
        <x:v>TRLALPT</x:v>
      </x:c>
      <x:c r="E89" s="120" t="n">
        <x:v>155000</x:v>
      </x:c>
      <x:c r="F89" s="120" t="n">
        <x:v>155000</x:v>
      </x:c>
      <x:c r="G89" s="120" t="n">
        <x:v>155000</x:v>
      </x:c>
      <x:c r="H89" s="112" t="str">
        <x:v>GIỮ NGUYÊN - ĐÃ KHỚP</x:v>
      </x:c>
      <x:c r="I89" s="112" t="n">
        <x:v>1000</x:v>
      </x:c>
      <x:c r="J89" s="112" t="str">
        <x:v>g</x:v>
      </x:c>
      <x:c r="K89" s="112" t="str">
        <x:v>BỊCH</x:v>
      </x:c>
      <x:c r="L89" s="112" t="n">
        <x:v>13000</x:v>
      </x:c>
      <x:c r="M89" s="112" t="str">
        <x:v>g</x:v>
      </x:c>
      <x:c r="N89" s="112" t="str">
        <x:v>THÙNG</x:v>
      </x:c>
      <x:c r="O89" s="112" t="n">
        <x:v>12</x:v>
      </x:c>
      <x:c r="P89" s="112" t="str">
        <x:v>1000 g / BỊCH</x:v>
      </x:c>
      <x:c r="Q89" s="112" t="str">
        <x:v>12 BỊCH / THÙNG</x:v>
      </x:c>
      <x:c r="R89" s="112" t="n">
        <x:v>197</x:v>
      </x:c>
      <x:c r="S89" s="113" t="n">
        <x:v>198</x:v>
      </x:c>
    </x:row>
    <x:row r="90">
      <x:c r="A90" s="111" t="n">
        <x:v>90</x:v>
      </x:c>
      <x:c r="B90" s="112" t="str">
        <x:v>TRÀ LÀI KING GÓI</x:v>
      </x:c>
      <x:c r="C90" s="112" t="str">
        <x:v>TRLAKG</x:v>
      </x:c>
      <x:c r="D90" s="112" t="str">
        <x:v>TRLAKGT</x:v>
      </x:c>
      <x:c r="E90" s="120" t="n">
        <x:v>155000</x:v>
      </x:c>
      <x:c r="F90" s="120" t="n">
        <x:v>160000</x:v>
      </x:c>
      <x:c r="G90" s="120" t="n">
        <x:v>160000</x:v>
      </x:c>
      <x:c r="H90" s="112" t="str">
        <x:v>CẬP NHẬT GIÁ</x:v>
      </x:c>
      <x:c r="I90" s="112" t="n">
        <x:v>1</x:v>
      </x:c>
      <x:c r="J90" s="112" t="str">
        <x:v>kg</x:v>
      </x:c>
      <x:c r="K90" s="112" t="str">
        <x:v>BỊCH</x:v>
      </x:c>
      <x:c r="L90" s="112" t="n">
        <x:v>0</x:v>
      </x:c>
      <x:c r="M90" s="112" t="str">
        <x:v>g</x:v>
      </x:c>
      <x:c r="N90" s="112" t="str">
        <x:v>THÙNG</x:v>
      </x:c>
      <x:c r="O90" s="112" t="n">
        <x:v>30</x:v>
      </x:c>
      <x:c r="P90" s="112" t="str">
        <x:v>1 kg / BỊCH</x:v>
      </x:c>
      <x:c r="Q90" s="112" t="str">
        <x:v>30 BỊCH / THÙNG</x:v>
      </x:c>
      <x:c r="R90" s="112" t="n">
        <x:v>199</x:v>
      </x:c>
      <x:c r="S90" s="113" t="n">
        <x:v>200</x:v>
      </x:c>
    </x:row>
    <x:row r="91">
      <x:c r="A91" s="111" t="n">
        <x:v>91</x:v>
      </x:c>
      <x:c r="B91" s="112" t="str">
        <x:v>TRÀ LÀI HOÀNG GIA</x:v>
      </x:c>
      <x:c r="C91" s="112" t="str">
        <x:v>TRLAHG</x:v>
      </x:c>
      <x:c r="D91" s="112" t="str">
        <x:v>TRLAHGT</x:v>
      </x:c>
      <x:c r="E91" s="120" t="n">
        <x:v>80000</x:v>
      </x:c>
      <x:c r="F91" s="120" t="n">
        <x:v>80000</x:v>
      </x:c>
      <x:c r="G91" s="120" t="n">
        <x:v>80000</x:v>
      </x:c>
      <x:c r="H91" s="112" t="str">
        <x:v>GIỮ NGUYÊN - ĐÃ KHỚP</x:v>
      </x:c>
      <x:c r="I91" s="112" t="n">
        <x:v>500</x:v>
      </x:c>
      <x:c r="J91" s="112" t="str">
        <x:v>g</x:v>
      </x:c>
      <x:c r="K91" s="112" t="str">
        <x:v>BỊCH</x:v>
      </x:c>
      <x:c r="L91" s="112" t="n">
        <x:v>11000</x:v>
      </x:c>
      <x:c r="M91" s="112" t="str">
        <x:v>g</x:v>
      </x:c>
      <x:c r="N91" s="112" t="str">
        <x:v>THÙNG</x:v>
      </x:c>
      <x:c r="O91" s="112" t="n">
        <x:v>20</x:v>
      </x:c>
      <x:c r="P91" s="112" t="str">
        <x:v>500 g / BỊCH</x:v>
      </x:c>
      <x:c r="Q91" s="112" t="str">
        <x:v>20 BỊCH / THÙNG</x:v>
      </x:c>
      <x:c r="R91" s="112" t="n">
        <x:v>201</x:v>
      </x:c>
      <x:c r="S91" s="113" t="n">
        <x:v>202</x:v>
      </x:c>
    </x:row>
    <x:row r="92">
      <x:c r="A92" s="111" t="n">
        <x:v>92</x:v>
      </x:c>
      <x:c r="B92" s="112" t="str">
        <x:v>TRÀ HOA TRÂN NHÁM</x:v>
      </x:c>
      <x:c r="C92" s="112" t="str">
        <x:v>TRHTNH</x:v>
      </x:c>
      <x:c r="D92" s="112" t="str">
        <x:v>TRHTNHT</x:v>
      </x:c>
      <x:c r="E92" s="120"/>
      <x:c r="F92" s="120" t="n">
        <x:v>68000</x:v>
      </x:c>
      <x:c r="G92" s="120" t="n">
        <x:v>68000</x:v>
      </x:c>
      <x:c r="H92" s="112" t="str">
        <x:v>BỔ SUNG GIÁ</x:v>
      </x:c>
      <x:c r="I92" s="112" t="n">
        <x:v>500</x:v>
      </x:c>
      <x:c r="J92" s="112" t="str">
        <x:v>g</x:v>
      </x:c>
      <x:c r="K92" s="112" t="str">
        <x:v>BỊCH</x:v>
      </x:c>
      <x:c r="L92" s="112" t="n">
        <x:v>11000</x:v>
      </x:c>
      <x:c r="M92" s="112" t="str">
        <x:v>g</x:v>
      </x:c>
      <x:c r="N92" s="112" t="str">
        <x:v>THÙNG</x:v>
      </x:c>
      <x:c r="O92" s="112" t="n">
        <x:v>20</x:v>
      </x:c>
      <x:c r="P92" s="112" t="str">
        <x:v>500 g / BỊCH</x:v>
      </x:c>
      <x:c r="Q92" s="112" t="str">
        <x:v>20 BỊCH / THÙNG</x:v>
      </x:c>
      <x:c r="R92" s="112" t="n">
        <x:v>204</x:v>
      </x:c>
      <x:c r="S92" s="113" t="n">
        <x:v>205</x:v>
      </x:c>
    </x:row>
    <x:row r="93">
      <x:c r="A93" s="111" t="n">
        <x:v>93</x:v>
      </x:c>
      <x:c r="B93" s="112" t="str">
        <x:v>TRÀ GẠO NOVIA</x:v>
      </x:c>
      <x:c r="C93" s="112" t="str">
        <x:v>TRGANO</x:v>
      </x:c>
      <x:c r="D93" s="112" t="str">
        <x:v>TRGANOT</x:v>
      </x:c>
      <x:c r="E93" s="120" t="n">
        <x:v>125000</x:v>
      </x:c>
      <x:c r="F93" s="120" t="n">
        <x:v>125000</x:v>
      </x:c>
      <x:c r="G93" s="120" t="n">
        <x:v>125000</x:v>
      </x:c>
      <x:c r="H93" s="112" t="str">
        <x:v>GIỮ NGUYÊN - ĐÃ KHỚP</x:v>
      </x:c>
      <x:c r="I93" s="112" t="n">
        <x:v>500</x:v>
      </x:c>
      <x:c r="J93" s="112" t="str">
        <x:v>g</x:v>
      </x:c>
      <x:c r="K93" s="112" t="str">
        <x:v>BỊCH</x:v>
      </x:c>
      <x:c r="L93" s="112" t="n">
        <x:v>11000</x:v>
      </x:c>
      <x:c r="M93" s="112" t="str">
        <x:v>g</x:v>
      </x:c>
      <x:c r="N93" s="112" t="str">
        <x:v>THÙNG</x:v>
      </x:c>
      <x:c r="O93" s="112" t="n">
        <x:v>20</x:v>
      </x:c>
      <x:c r="P93" s="112" t="str">
        <x:v>500 g / BỊCH</x:v>
      </x:c>
      <x:c r="Q93" s="112" t="str">
        <x:v>20 BỊCH / THÙNG</x:v>
      </x:c>
      <x:c r="R93" s="112" t="n">
        <x:v>207</x:v>
      </x:c>
      <x:c r="S93" s="113" t="n">
        <x:v>208</x:v>
      </x:c>
    </x:row>
    <x:row r="94">
      <x:c r="A94" s="111" t="n">
        <x:v>94</x:v>
      </x:c>
      <x:c r="B94" s="112" t="str">
        <x:v>TRÀ GẠO LỘC PHÁT</x:v>
      </x:c>
      <x:c r="C94" s="112" t="str">
        <x:v>TRGALP</x:v>
      </x:c>
      <x:c r="D94" s="112" t="str">
        <x:v>TRGALPT</x:v>
      </x:c>
      <x:c r="E94" s="120"/>
      <x:c r="F94" s="120" t="n">
        <x:v>126000</x:v>
      </x:c>
      <x:c r="G94" s="120" t="n">
        <x:v>126000</x:v>
      </x:c>
      <x:c r="H94" s="112" t="str">
        <x:v>BỔ SUNG GIÁ</x:v>
      </x:c>
      <x:c r="I94" s="112" t="n">
        <x:v>1000</x:v>
      </x:c>
      <x:c r="J94" s="112" t="str">
        <x:v>g</x:v>
      </x:c>
      <x:c r="K94" s="112" t="str">
        <x:v>BỊCH</x:v>
      </x:c>
      <x:c r="L94" s="112" t="n">
        <x:v>13000</x:v>
      </x:c>
      <x:c r="M94" s="112" t="str">
        <x:v>g</x:v>
      </x:c>
      <x:c r="N94" s="112" t="str">
        <x:v>THÙNG</x:v>
      </x:c>
      <x:c r="O94" s="112" t="n">
        <x:v>24</x:v>
      </x:c>
      <x:c r="P94" s="112" t="str">
        <x:v>1000 g / BỊCH</x:v>
      </x:c>
      <x:c r="Q94" s="112" t="str">
        <x:v>24 BỊCH / THÙNG</x:v>
      </x:c>
      <x:c r="R94" s="112" t="n">
        <x:v>209</x:v>
      </x:c>
      <x:c r="S94" s="113" t="n">
        <x:v>210</x:v>
      </x:c>
    </x:row>
    <x:row r="95">
      <x:c r="A95" s="111" t="n">
        <x:v>95</x:v>
      </x:c>
      <x:c r="B95" s="112" t="str">
        <x:v>TRÀ ĐEN PHÚC LONG</x:v>
      </x:c>
      <x:c r="C95" s="112" t="str">
        <x:v>TRDEPL</x:v>
      </x:c>
      <x:c r="D95" s="112" t="str">
        <x:v>TRDEPLT</x:v>
      </x:c>
      <x:c r="E95" s="120" t="n">
        <x:v>107000</x:v>
      </x:c>
      <x:c r="F95" s="120" t="n">
        <x:v>107000</x:v>
      </x:c>
      <x:c r="G95" s="120" t="n">
        <x:v>107000</x:v>
      </x:c>
      <x:c r="H95" s="112" t="str">
        <x:v>GIỮ NGUYÊN - ĐÃ KHỚP</x:v>
      </x:c>
      <x:c r="I95" s="112" t="n">
        <x:v>500</x:v>
      </x:c>
      <x:c r="J95" s="112" t="str">
        <x:v>g</x:v>
      </x:c>
      <x:c r="K95" s="112" t="str">
        <x:v>BỊCH</x:v>
      </x:c>
      <x:c r="L95" s="112" t="n">
        <x:v>12</x:v>
      </x:c>
      <x:c r="M95" s="112" t="str">
        <x:v>kg</x:v>
      </x:c>
      <x:c r="N95" s="112" t="str">
        <x:v>THÙNG</x:v>
      </x:c>
      <x:c r="O95" s="112" t="n">
        <x:v>20</x:v>
      </x:c>
      <x:c r="P95" s="112" t="str">
        <x:v>500 g / BỊCH</x:v>
      </x:c>
      <x:c r="Q95" s="112" t="str">
        <x:v>20 BỊCH / THÙNG</x:v>
      </x:c>
      <x:c r="R95" s="112" t="n">
        <x:v>211</x:v>
      </x:c>
      <x:c r="S95" s="113" t="n">
        <x:v>212</x:v>
      </x:c>
    </x:row>
    <x:row r="96">
      <x:c r="A96" s="111" t="n">
        <x:v>96</x:v>
      </x:c>
      <x:c r="B96" s="112" t="str">
        <x:v>TRÀ ĐEN NOVIA</x:v>
      </x:c>
      <x:c r="C96" s="112" t="str">
        <x:v>TRDENN</x:v>
      </x:c>
      <x:c r="D96" s="112" t="str">
        <x:v>TRDENNT</x:v>
      </x:c>
      <x:c r="E96" s="120" t="n">
        <x:v>82000</x:v>
      </x:c>
      <x:c r="F96" s="120" t="n">
        <x:v>82000</x:v>
      </x:c>
      <x:c r="G96" s="120" t="n">
        <x:v>82000</x:v>
      </x:c>
      <x:c r="H96" s="112" t="str">
        <x:v>GIỮ NGUYÊN - ĐÃ KHỚP</x:v>
      </x:c>
      <x:c r="I96" s="112" t="n">
        <x:v>500</x:v>
      </x:c>
      <x:c r="J96" s="112" t="str">
        <x:v>g</x:v>
      </x:c>
      <x:c r="K96" s="112" t="str">
        <x:v>BỊCH</x:v>
      </x:c>
      <x:c r="L96" s="112" t="n">
        <x:v>11000</x:v>
      </x:c>
      <x:c r="M96" s="112" t="str">
        <x:v>g</x:v>
      </x:c>
      <x:c r="N96" s="112" t="str">
        <x:v>THÙNG</x:v>
      </x:c>
      <x:c r="O96" s="112" t="n">
        <x:v>20</x:v>
      </x:c>
      <x:c r="P96" s="112" t="str">
        <x:v>500 g / BỊCH</x:v>
      </x:c>
      <x:c r="Q96" s="112" t="str">
        <x:v>20 BỊCH / THÙNG</x:v>
      </x:c>
      <x:c r="R96" s="112" t="n">
        <x:v>213</x:v>
      </x:c>
      <x:c r="S96" s="113" t="n">
        <x:v>214</x:v>
      </x:c>
    </x:row>
    <x:row r="97">
      <x:c r="A97" s="111" t="n">
        <x:v>97</x:v>
      </x:c>
      <x:c r="B97" s="112" t="str">
        <x:v>TRÀ ĐEN LỘC PHÁT</x:v>
      </x:c>
      <x:c r="C97" s="112" t="str">
        <x:v>TRDELP</x:v>
      </x:c>
      <x:c r="D97" s="112" t="str">
        <x:v>TRDELPT</x:v>
      </x:c>
      <x:c r="E97" s="120" t="n">
        <x:v>155000</x:v>
      </x:c>
      <x:c r="F97" s="120" t="n">
        <x:v>155000</x:v>
      </x:c>
      <x:c r="G97" s="120" t="n">
        <x:v>155000</x:v>
      </x:c>
      <x:c r="H97" s="112" t="str">
        <x:v>GIỮ NGUYÊN - ĐÃ KHỚP</x:v>
      </x:c>
      <x:c r="I97" s="112" t="n">
        <x:v>1000</x:v>
      </x:c>
      <x:c r="J97" s="112" t="str">
        <x:v>g</x:v>
      </x:c>
      <x:c r="K97" s="112" t="str">
        <x:v>BỊCH</x:v>
      </x:c>
      <x:c r="L97" s="112" t="n">
        <x:v>13000</x:v>
      </x:c>
      <x:c r="M97" s="112" t="str">
        <x:v>g</x:v>
      </x:c>
      <x:c r="N97" s="112" t="str">
        <x:v>THÙNG</x:v>
      </x:c>
      <x:c r="O97" s="112" t="n">
        <x:v>12</x:v>
      </x:c>
      <x:c r="P97" s="112" t="str">
        <x:v>1000 g / BỊCH</x:v>
      </x:c>
      <x:c r="Q97" s="112" t="str">
        <x:v>12 BỊCH / THÙNG</x:v>
      </x:c>
      <x:c r="R97" s="112" t="n">
        <x:v>215</x:v>
      </x:c>
      <x:c r="S97" s="113" t="n">
        <x:v>216</x:v>
      </x:c>
    </x:row>
    <x:row r="98">
      <x:c r="A98" s="111" t="n">
        <x:v>98</x:v>
      </x:c>
      <x:c r="B98" s="112" t="str">
        <x:v>TRÀ ĐEN HOÀNG GIA</x:v>
      </x:c>
      <x:c r="C98" s="112" t="str">
        <x:v>TRDEHG</x:v>
      </x:c>
      <x:c r="D98" s="112" t="str">
        <x:v>TRDEHGT</x:v>
      </x:c>
      <x:c r="E98" s="120" t="n">
        <x:v>57000</x:v>
      </x:c>
      <x:c r="F98" s="120" t="n">
        <x:v>57000</x:v>
      </x:c>
      <x:c r="G98" s="120" t="n">
        <x:v>57000</x:v>
      </x:c>
      <x:c r="H98" s="112" t="str">
        <x:v>GIỮ NGUYÊN - ĐÃ KHỚP</x:v>
      </x:c>
      <x:c r="I98" s="112" t="n">
        <x:v>500</x:v>
      </x:c>
      <x:c r="J98" s="112" t="str">
        <x:v>g</x:v>
      </x:c>
      <x:c r="K98" s="112" t="str">
        <x:v>BỊCH</x:v>
      </x:c>
      <x:c r="L98" s="112" t="n">
        <x:v>11000</x:v>
      </x:c>
      <x:c r="M98" s="112" t="str">
        <x:v>g</x:v>
      </x:c>
      <x:c r="N98" s="112" t="str">
        <x:v>THÙNG</x:v>
      </x:c>
      <x:c r="O98" s="112" t="n">
        <x:v>20</x:v>
      </x:c>
      <x:c r="P98" s="112" t="str">
        <x:v>500 g / BỊCH</x:v>
      </x:c>
      <x:c r="Q98" s="112" t="str">
        <x:v>20 BỊCH / THÙNG</x:v>
      </x:c>
      <x:c r="R98" s="112" t="n">
        <x:v>217</x:v>
      </x:c>
      <x:c r="S98" s="113" t="n">
        <x:v>218</x:v>
      </x:c>
    </x:row>
    <x:row r="99">
      <x:c r="A99" s="111" t="n">
        <x:v>99</x:v>
      </x:c>
      <x:c r="B99" s="112" t="str">
        <x:v>TRÀ ĐÀO TÂN NAM BẮC</x:v>
      </x:c>
      <x:c r="C99" s="112" t="str">
        <x:v>TRDTNB</x:v>
      </x:c>
      <x:c r="D99" s="112" t="str">
        <x:v>TRDTNBT</x:v>
      </x:c>
      <x:c r="E99" s="120" t="n">
        <x:v>42000</x:v>
      </x:c>
      <x:c r="F99" s="120" t="n">
        <x:v>42000</x:v>
      </x:c>
      <x:c r="G99" s="120" t="n">
        <x:v>42000</x:v>
      </x:c>
      <x:c r="H99" s="112" t="str">
        <x:v>GIỮ NGUYÊN - ĐÃ KHỚP</x:v>
      </x:c>
      <x:c r="I99" s="112" t="n">
        <x:v>200</x:v>
      </x:c>
      <x:c r="J99" s="112" t="str">
        <x:v>g</x:v>
      </x:c>
      <x:c r="K99" s="112" t="str">
        <x:v>GÓI</x:v>
      </x:c>
      <x:c r="L99" s="112" t="n">
        <x:v>10000</x:v>
      </x:c>
      <x:c r="M99" s="112" t="str">
        <x:v>g</x:v>
      </x:c>
      <x:c r="N99" s="112" t="str">
        <x:v>THÙNG</x:v>
      </x:c>
      <x:c r="O99" s="112" t="n">
        <x:v>30</x:v>
      </x:c>
      <x:c r="P99" s="112" t="str">
        <x:v>200 g / GÓI</x:v>
      </x:c>
      <x:c r="Q99" s="112" t="str">
        <x:v>30 GÓI / THÙNG</x:v>
      </x:c>
      <x:c r="R99" s="112" t="n">
        <x:v>219</x:v>
      </x:c>
      <x:c r="S99" s="113" t="n">
        <x:v>220</x:v>
      </x:c>
    </x:row>
    <x:row r="100">
      <x:c r="A100" s="111" t="n">
        <x:v>100</x:v>
      </x:c>
      <x:c r="B100" s="112" t="str">
        <x:v>COZY TÚI LỌC HỒNG TRÀ</x:v>
      </x:c>
      <x:c r="C100" s="112" t="str">
        <x:v>COTLHT</x:v>
      </x:c>
      <x:c r="D100" s="112" t="str">
        <x:v>COTLHTT</x:v>
      </x:c>
      <x:c r="E100" s="120" t="n">
        <x:v>38000</x:v>
      </x:c>
      <x:c r="F100" s="120" t="n">
        <x:v>39000</x:v>
      </x:c>
      <x:c r="G100" s="120" t="n">
        <x:v>39000</x:v>
      </x:c>
      <x:c r="H100" s="112" t="str">
        <x:v>CẬP NHẬT GIÁ</x:v>
      </x:c>
      <x:c r="I100" s="112" t="n">
        <x:v>10</x:v>
      </x:c>
      <x:c r="J100" s="112" t="str">
        <x:v>g</x:v>
      </x:c>
      <x:c r="K100" s="112" t="str">
        <x:v>HỘP</x:v>
      </x:c>
      <x:c r="L100" s="112" t="n">
        <x:v>5000</x:v>
      </x:c>
      <x:c r="M100" s="112" t="str">
        <x:v>g</x:v>
      </x:c>
      <x:c r="N100" s="112" t="str">
        <x:v>THÙNG</x:v>
      </x:c>
      <x:c r="O100" s="112" t="n">
        <x:v>36</x:v>
      </x:c>
      <x:c r="P100" s="112" t="str">
        <x:v>10 g / HỘP</x:v>
      </x:c>
      <x:c r="Q100" s="112" t="str">
        <x:v>36 HỘP / THÙNG</x:v>
      </x:c>
      <x:c r="R100" s="112" t="n">
        <x:v>221</x:v>
      </x:c>
      <x:c r="S100" s="113" t="n">
        <x:v>222</x:v>
      </x:c>
    </x:row>
    <x:row r="101">
      <x:c r="A101" s="111" t="n">
        <x:v>101</x:v>
      </x:c>
      <x:c r="B101" s="112" t="str">
        <x:v>COZY TÚI LỌC ĐÀO</x:v>
      </x:c>
      <x:c r="C101" s="112" t="str">
        <x:v>COTLDO</x:v>
      </x:c>
      <x:c r="D101" s="112" t="str">
        <x:v>COTLDOT</x:v>
      </x:c>
      <x:c r="E101" s="120" t="n">
        <x:v>38000</x:v>
      </x:c>
      <x:c r="F101" s="120" t="n">
        <x:v>39000</x:v>
      </x:c>
      <x:c r="G101" s="120" t="n">
        <x:v>39000</x:v>
      </x:c>
      <x:c r="H101" s="112" t="str">
        <x:v>CẬP NHẬT GIÁ</x:v>
      </x:c>
      <x:c r="I101" s="112" t="n">
        <x:v>100</x:v>
      </x:c>
      <x:c r="J101" s="112" t="str">
        <x:v>g</x:v>
      </x:c>
      <x:c r="K101" s="112" t="str">
        <x:v>HỘP</x:v>
      </x:c>
      <x:c r="L101" s="112" t="n">
        <x:v>5000</x:v>
      </x:c>
      <x:c r="M101" s="112" t="str">
        <x:v>g</x:v>
      </x:c>
      <x:c r="N101" s="112" t="str">
        <x:v>THÙNG</x:v>
      </x:c>
      <x:c r="O101" s="112" t="n">
        <x:v>36</x:v>
      </x:c>
      <x:c r="P101" s="112" t="str">
        <x:v>100 g / HỘP</x:v>
      </x:c>
      <x:c r="Q101" s="112" t="str">
        <x:v>36 HỘP / THÙNG</x:v>
      </x:c>
      <x:c r="R101" s="112" t="n">
        <x:v>224</x:v>
      </x:c>
      <x:c r="S101" s="113" t="n">
        <x:v>225</x:v>
      </x:c>
    </x:row>
    <x:row r="102">
      <x:c r="A102" s="111" t="n">
        <x:v>102</x:v>
      </x:c>
      <x:c r="B102" s="112" t="str">
        <x:v>TRÀ 9 BÓNG</x:v>
      </x:c>
      <x:c r="C102" s="112" t="str">
        <x:v>TR9BOG</x:v>
      </x:c>
      <x:c r="D102" s="112" t="str">
        <x:v>TR9BOGT</x:v>
      </x:c>
      <x:c r="E102" s="120"/>
      <x:c r="F102" s="120" t="n">
        <x:v>45000</x:v>
      </x:c>
      <x:c r="G102" s="120" t="n">
        <x:v>45000</x:v>
      </x:c>
      <x:c r="H102" s="112" t="str">
        <x:v>BỔ SUNG GIÁ</x:v>
      </x:c>
      <x:c r="I102" s="112" t="n">
        <x:v>500</x:v>
      </x:c>
      <x:c r="J102" s="112" t="str">
        <x:v>g</x:v>
      </x:c>
      <x:c r="K102" s="112" t="str">
        <x:v>BỊCH</x:v>
      </x:c>
      <x:c r="L102" s="112" t="n">
        <x:v>26000</x:v>
      </x:c>
      <x:c r="M102" s="112" t="str">
        <x:v>g</x:v>
      </x:c>
      <x:c r="N102" s="112" t="str">
        <x:v>BAO</x:v>
      </x:c>
      <x:c r="O102" s="112" t="n">
        <x:v>50</x:v>
      </x:c>
      <x:c r="P102" s="112" t="str">
        <x:v>500 g / BỊCH</x:v>
      </x:c>
      <x:c r="Q102" s="112" t="str">
        <x:v>50 BỊCH / BAO</x:v>
      </x:c>
      <x:c r="R102" s="112" t="n">
        <x:v>227</x:v>
      </x:c>
      <x:c r="S102" s="113" t="n">
        <x:v>228</x:v>
      </x:c>
    </x:row>
    <x:row r="103">
      <x:c r="A103" s="111" t="n">
        <x:v>103</x:v>
      </x:c>
      <x:c r="B103" s="112" t="str">
        <x:v>TRÀ OLONG PHÚC LONG LỌC</x:v>
      </x:c>
      <x:c r="C103" s="112" t="str">
        <x:v>TROPLL</x:v>
      </x:c>
      <x:c r="D103" s="112" t="str">
        <x:v>TROPLLT</x:v>
      </x:c>
      <x:c r="E103" s="120" t="n">
        <x:v>40000</x:v>
      </x:c>
      <x:c r="F103" s="120" t="n">
        <x:v>40000</x:v>
      </x:c>
      <x:c r="G103" s="120" t="n">
        <x:v>40000</x:v>
      </x:c>
      <x:c r="H103" s="112" t="str">
        <x:v>GIỮ NGUYÊN - ĐÃ KHỚP</x:v>
      </x:c>
      <x:c r="I103" s="112" t="n">
        <x:v>0</x:v>
      </x:c>
      <x:c r="J103" s="112" t="str">
        <x:v>g</x:v>
      </x:c>
      <x:c r="K103" s="112" t="str">
        <x:v>HỘP</x:v>
      </x:c>
      <x:c r="L103" s="112" t="n">
        <x:v>2000</x:v>
      </x:c>
      <x:c r="M103" s="112" t="str">
        <x:v>g</x:v>
      </x:c>
      <x:c r="N103" s="112" t="str">
        <x:v>THÙNG</x:v>
      </x:c>
      <x:c r="O103" s="112" t="n">
        <x:v>20</x:v>
      </x:c>
      <x:c r="P103" s="112" t="str">
        <x:v>0 g / HỘP</x:v>
      </x:c>
      <x:c r="Q103" s="112" t="str">
        <x:v>20 HỘP / THÙNG</x:v>
      </x:c>
      <x:c r="R103" s="112" t="n">
        <x:v>229</x:v>
      </x:c>
      <x:c r="S103" s="113" t="n">
        <x:v>230</x:v>
      </x:c>
    </x:row>
    <x:row r="104">
      <x:c r="A104" s="111" t="n">
        <x:v>104</x:v>
      </x:c>
      <x:c r="B104" s="112" t="str">
        <x:v>THỐT NỐT NHƯ QUỲNH</x:v>
      </x:c>
      <x:c r="C104" s="112" t="str">
        <x:v>TNOTNQ</x:v>
      </x:c>
      <x:c r="D104" s="112" t="str">
        <x:v>TNOTNQT</x:v>
      </x:c>
      <x:c r="E104" s="120" t="n">
        <x:v>52000</x:v>
      </x:c>
      <x:c r="F104" s="120" t="n">
        <x:v>52000</x:v>
      </x:c>
      <x:c r="G104" s="120" t="n">
        <x:v>52000</x:v>
      </x:c>
      <x:c r="H104" s="112" t="str">
        <x:v>GIỮ NGUYÊN - ĐÃ KHỚP</x:v>
      </x:c>
      <x:c r="I104" s="112" t="n">
        <x:v>1</x:v>
      </x:c>
      <x:c r="J104" s="112" t="str">
        <x:v>kg</x:v>
      </x:c>
      <x:c r="K104" s="112" t="str">
        <x:v>BỊCH</x:v>
      </x:c>
      <x:c r="L104" s="112" t="n">
        <x:v>10</x:v>
      </x:c>
      <x:c r="M104" s="112" t="str">
        <x:v>kg</x:v>
      </x:c>
      <x:c r="N104" s="112" t="str">
        <x:v>THÙNG</x:v>
      </x:c>
      <x:c r="O104" s="112" t="n">
        <x:v>10</x:v>
      </x:c>
      <x:c r="P104" s="112" t="str">
        <x:v>1 kg / BỊCH</x:v>
      </x:c>
      <x:c r="Q104" s="112" t="str">
        <x:v>10 BỊCH / THÙNG</x:v>
      </x:c>
      <x:c r="R104" s="112" t="n">
        <x:v>231</x:v>
      </x:c>
      <x:c r="S104" s="113" t="n">
        <x:v>232</x:v>
      </x:c>
    </x:row>
    <x:row r="105">
      <x:c r="A105" s="111" t="n">
        <x:v>105</x:v>
      </x:c>
      <x:c r="B105" s="112" t="str">
        <x:v>THÁI XANH CÔNG TY</x:v>
      </x:c>
      <x:c r="C105" s="112" t="str">
        <x:v>TXACTY</x:v>
      </x:c>
      <x:c r="D105" s="112" t="str">
        <x:v>TXACTYT</x:v>
      </x:c>
      <x:c r="E105" s="120" t="n">
        <x:v>70000</x:v>
      </x:c>
      <x:c r="F105" s="120" t="n">
        <x:v>70000</x:v>
      </x:c>
      <x:c r="G105" s="120" t="n">
        <x:v>70000</x:v>
      </x:c>
      <x:c r="H105" s="112" t="str">
        <x:v>GIỮ NGUYÊN - ĐÃ KHỚP</x:v>
      </x:c>
      <x:c r="I105" s="112" t="n">
        <x:v>200</x:v>
      </x:c>
      <x:c r="J105" s="112" t="str">
        <x:v>g</x:v>
      </x:c>
      <x:c r="K105" s="112" t="str">
        <x:v>GÓI</x:v>
      </x:c>
      <x:c r="L105" s="112" t="n">
        <x:v>3</x:v>
      </x:c>
      <x:c r="M105" s="112" t="str">
        <x:v>kg</x:v>
      </x:c>
      <x:c r="N105" s="112" t="str">
        <x:v>THÙNG</x:v>
      </x:c>
      <x:c r="O105" s="112" t="n">
        <x:v>12</x:v>
      </x:c>
      <x:c r="P105" s="112" t="str">
        <x:v>200 g / GÓI</x:v>
      </x:c>
      <x:c r="Q105" s="112" t="str">
        <x:v>12 GÓI / THÙNG</x:v>
      </x:c>
      <x:c r="R105" s="112" t="n">
        <x:v>238</x:v>
      </x:c>
      <x:c r="S105" s="113" t="n">
        <x:v>239</x:v>
      </x:c>
    </x:row>
    <x:row r="106">
      <x:c r="A106" s="111" t="n">
        <x:v>106</x:v>
      </x:c>
      <x:c r="B106" s="112" t="str">
        <x:v>THÁI XANH B-ONE</x:v>
      </x:c>
      <x:c r="C106" s="112" t="str">
        <x:v>TXABON</x:v>
      </x:c>
      <x:c r="D106" s="112" t="str">
        <x:v>TXABONT</x:v>
      </x:c>
      <x:c r="E106" s="120" t="n">
        <x:v>65000</x:v>
      </x:c>
      <x:c r="F106" s="120" t="n">
        <x:v>30000</x:v>
      </x:c>
      <x:c r="G106" s="120" t="n">
        <x:v>30000</x:v>
      </x:c>
      <x:c r="H106" s="112" t="str">
        <x:v>CẬP NHẬT GIÁ</x:v>
      </x:c>
      <x:c r="I106" s="112" t="n">
        <x:v>200</x:v>
      </x:c>
      <x:c r="J106" s="112" t="str">
        <x:v>g</x:v>
      </x:c>
      <x:c r="K106" s="112" t="str">
        <x:v>GÓI</x:v>
      </x:c>
      <x:c r="L106" s="112" t="n">
        <x:v>2000</x:v>
      </x:c>
      <x:c r="M106" s="112" t="str">
        <x:v>g</x:v>
      </x:c>
      <x:c r="N106" s="112" t="str">
        <x:v>THÙNG</x:v>
      </x:c>
      <x:c r="O106" s="112" t="n">
        <x:v>12</x:v>
      </x:c>
      <x:c r="P106" s="112" t="str">
        <x:v>200 g / GÓI</x:v>
      </x:c>
      <x:c r="Q106" s="112" t="str">
        <x:v>12 GÓI / THÙNG</x:v>
      </x:c>
      <x:c r="R106" s="112" t="n">
        <x:v>240</x:v>
      </x:c>
      <x:c r="S106" s="113" t="n">
        <x:v>241</x:v>
      </x:c>
    </x:row>
    <x:row r="107">
      <x:c r="A107" s="111" t="n">
        <x:v>107</x:v>
      </x:c>
      <x:c r="B107" s="112" t="str">
        <x:v>THÁI XANH BIÊN</x:v>
      </x:c>
      <x:c r="C107" s="112" t="str">
        <x:v>TXABIE</x:v>
      </x:c>
      <x:c r="D107" s="112" t="str">
        <x:v>TXABIET</x:v>
      </x:c>
      <x:c r="E107" s="120" t="n">
        <x:v>65000</x:v>
      </x:c>
      <x:c r="F107" s="120" t="n">
        <x:v>65000</x:v>
      </x:c>
      <x:c r="G107" s="120" t="n">
        <x:v>65000</x:v>
      </x:c>
      <x:c r="H107" s="112" t="str">
        <x:v>GIỮ NGUYÊN - ĐÃ KHỚP</x:v>
      </x:c>
      <x:c r="I107" s="112" t="n">
        <x:v>200</x:v>
      </x:c>
      <x:c r="J107" s="112" t="str">
        <x:v>g</x:v>
      </x:c>
      <x:c r="K107" s="112" t="str">
        <x:v>GÓI</x:v>
      </x:c>
      <x:c r="L107" s="112" t="n">
        <x:v>2000</x:v>
      </x:c>
      <x:c r="M107" s="112" t="str">
        <x:v>g</x:v>
      </x:c>
      <x:c r="N107" s="112" t="str">
        <x:v>THÙNG</x:v>
      </x:c>
      <x:c r="O107" s="112" t="n">
        <x:v>12</x:v>
      </x:c>
      <x:c r="P107" s="112" t="str">
        <x:v>200 g / GÓI</x:v>
      </x:c>
      <x:c r="Q107" s="112" t="str">
        <x:v>12 GÓI / THÙNG</x:v>
      </x:c>
      <x:c r="R107" s="112" t="n">
        <x:v>242</x:v>
      </x:c>
      <x:c r="S107" s="113" t="n">
        <x:v>243</x:v>
      </x:c>
    </x:row>
    <x:row r="108">
      <x:c r="A108" s="111" t="n">
        <x:v>108</x:v>
      </x:c>
      <x:c r="B108" s="112" t="str">
        <x:v>THÁI ĐỎ CÔNG TY</x:v>
      </x:c>
      <x:c r="C108" s="112" t="str">
        <x:v>TDOCTY</x:v>
      </x:c>
      <x:c r="D108" s="112" t="str">
        <x:v>TDOCTYT</x:v>
      </x:c>
      <x:c r="E108" s="120" t="n">
        <x:v>70000</x:v>
      </x:c>
      <x:c r="F108" s="120" t="n">
        <x:v>70000</x:v>
      </x:c>
      <x:c r="G108" s="120" t="n">
        <x:v>70000</x:v>
      </x:c>
      <x:c r="H108" s="112" t="str">
        <x:v>GIỮ NGUYÊN - ĐÃ KHỚP</x:v>
      </x:c>
      <x:c r="I108" s="112" t="n">
        <x:v>200</x:v>
      </x:c>
      <x:c r="J108" s="112" t="str">
        <x:v>g</x:v>
      </x:c>
      <x:c r="K108" s="112" t="str">
        <x:v>GÓI</x:v>
      </x:c>
      <x:c r="L108" s="112" t="n">
        <x:v>3000</x:v>
      </x:c>
      <x:c r="M108" s="112" t="str">
        <x:v>g</x:v>
      </x:c>
      <x:c r="N108" s="112" t="str">
        <x:v>THÙNG</x:v>
      </x:c>
      <x:c r="O108" s="112" t="n">
        <x:v>12</x:v>
      </x:c>
      <x:c r="P108" s="112" t="str">
        <x:v>200 g / GÓI</x:v>
      </x:c>
      <x:c r="Q108" s="112" t="str">
        <x:v>12 GÓI / THÙNG</x:v>
      </x:c>
      <x:c r="R108" s="112" t="n">
        <x:v>244</x:v>
      </x:c>
      <x:c r="S108" s="113" t="n">
        <x:v>245</x:v>
      </x:c>
    </x:row>
    <x:row r="109">
      <x:c r="A109" s="111" t="n">
        <x:v>109</x:v>
      </x:c>
      <x:c r="B109" s="112" t="str">
        <x:v>THÁI ĐỎ BIÊN</x:v>
      </x:c>
      <x:c r="C109" s="112" t="str">
        <x:v>TDOBIE</x:v>
      </x:c>
      <x:c r="D109" s="112" t="str">
        <x:v>TDOBIET</x:v>
      </x:c>
      <x:c r="E109" s="120"/>
      <x:c r="F109" s="120" t="n">
        <x:v>65000</x:v>
      </x:c>
      <x:c r="G109" s="120" t="n">
        <x:v>65000</x:v>
      </x:c>
      <x:c r="H109" s="112" t="str">
        <x:v>BỔ SUNG GIÁ</x:v>
      </x:c>
      <x:c r="I109" s="112" t="n">
        <x:v>200</x:v>
      </x:c>
      <x:c r="J109" s="112" t="str">
        <x:v>g</x:v>
      </x:c>
      <x:c r="K109" s="112" t="str">
        <x:v>GÓI</x:v>
      </x:c>
      <x:c r="L109" s="112" t="n">
        <x:v>2000</x:v>
      </x:c>
      <x:c r="M109" s="112" t="str">
        <x:v>g</x:v>
      </x:c>
      <x:c r="N109" s="112" t="str">
        <x:v>THÙNG</x:v>
      </x:c>
      <x:c r="O109" s="112" t="n">
        <x:v>12</x:v>
      </x:c>
      <x:c r="P109" s="112" t="str">
        <x:v>200 g / GÓI</x:v>
      </x:c>
      <x:c r="Q109" s="112" t="str">
        <x:v>12 GÓI / THÙNG</x:v>
      </x:c>
      <x:c r="R109" s="112" t="n">
        <x:v>246</x:v>
      </x:c>
      <x:c r="S109" s="113" t="n">
        <x:v>247</x:v>
      </x:c>
    </x:row>
    <x:row r="110">
      <x:c r="A110" s="111" t="n">
        <x:v>110</x:v>
      </x:c>
      <x:c r="B110" s="112" t="str">
        <x:v>THẠCH TRỨNG ĐÀO</x:v>
      </x:c>
      <x:c r="C110" s="112" t="str">
        <x:v>TTRDAO</x:v>
      </x:c>
      <x:c r="D110" s="112" t="str">
        <x:v>TTRDAOT</x:v>
      </x:c>
      <x:c r="E110" s="120"/>
      <x:c r="F110" s="120" t="n">
        <x:v>70000</x:v>
      </x:c>
      <x:c r="G110" s="120" t="n">
        <x:v>70000</x:v>
      </x:c>
      <x:c r="H110" s="112" t="str">
        <x:v>BỔ SUNG GIÁ</x:v>
      </x:c>
      <x:c r="I110" s="112" t="n">
        <x:v>2600</x:v>
      </x:c>
      <x:c r="J110" s="112" t="str">
        <x:v>g</x:v>
      </x:c>
      <x:c r="K110" s="112" t="str">
        <x:v>HỘP</x:v>
      </x:c>
      <x:c r="L110" s="112" t="n">
        <x:v>16000</x:v>
      </x:c>
      <x:c r="M110" s="112" t="str">
        <x:v>g</x:v>
      </x:c>
      <x:c r="N110" s="112" t="str">
        <x:v>THÙNG</x:v>
      </x:c>
      <x:c r="O110" s="112" t="n">
        <x:v>6</x:v>
      </x:c>
      <x:c r="P110" s="112" t="str">
        <x:v>2600 g / HỘP</x:v>
      </x:c>
      <x:c r="Q110" s="112" t="str">
        <x:v>6 HỘP / THÙNG</x:v>
      </x:c>
      <x:c r="R110" s="112" t="n">
        <x:v>248</x:v>
      </x:c>
      <x:c r="S110" s="113" t="n">
        <x:v>249</x:v>
      </x:c>
    </x:row>
    <x:row r="111">
      <x:c r="A111" s="111" t="n">
        <x:v>111</x:v>
      </x:c>
      <x:c r="B111" s="112" t="str">
        <x:v>THẠCH TRỨNG 4 MÀU</x:v>
      </x:c>
      <x:c r="C111" s="112" t="str">
        <x:v>TTR4MA</x:v>
      </x:c>
      <x:c r="D111" s="112" t="str">
        <x:v>TTR4MAT</x:v>
      </x:c>
      <x:c r="E111" s="120"/>
      <x:c r="F111" s="120" t="n">
        <x:v>70000</x:v>
      </x:c>
      <x:c r="G111" s="120" t="n">
        <x:v>70000</x:v>
      </x:c>
      <x:c r="H111" s="112" t="str">
        <x:v>BỔ SUNG GIÁ</x:v>
      </x:c>
      <x:c r="I111" s="112" t="n">
        <x:v>0</x:v>
      </x:c>
      <x:c r="J111" s="112" t="str">
        <x:v>g</x:v>
      </x:c>
      <x:c r="K111" s="112" t="str">
        <x:v>HỘP</x:v>
      </x:c>
      <x:c r="L111" s="112" t="n">
        <x:v>16000</x:v>
      </x:c>
      <x:c r="M111" s="112" t="str">
        <x:v>g</x:v>
      </x:c>
      <x:c r="N111" s="112" t="str">
        <x:v>THÙNG</x:v>
      </x:c>
      <x:c r="O111" s="112" t="n">
        <x:v>6</x:v>
      </x:c>
      <x:c r="P111" s="112" t="str">
        <x:v>0 g / HỘP</x:v>
      </x:c>
      <x:c r="Q111" s="112" t="str">
        <x:v>6 HỘP / THÙNG</x:v>
      </x:c>
      <x:c r="R111" s="112" t="n">
        <x:v>250</x:v>
      </x:c>
      <x:c r="S111" s="113" t="n">
        <x:v>251</x:v>
      </x:c>
    </x:row>
    <x:row r="112">
      <x:c r="A112" s="111" t="n">
        <x:v>112</x:v>
      </x:c>
      <x:c r="B112" s="112" t="str">
        <x:v>THẠCH TRÁI CÂY 5M NHỎ</x:v>
      </x:c>
      <x:c r="C112" s="112" t="str">
        <x:v>TTC5MN</x:v>
      </x:c>
      <x:c r="D112" s="112" t="str">
        <x:v>TTC5MNT</x:v>
      </x:c>
      <x:c r="E112" s="120"/>
      <x:c r="F112" s="120" t="n">
        <x:v>70000</x:v>
      </x:c>
      <x:c r="G112" s="120" t="n">
        <x:v>70000</x:v>
      </x:c>
      <x:c r="H112" s="112" t="str">
        <x:v>BỔ SUNG GIÁ</x:v>
      </x:c>
      <x:c r="I112" s="112" t="n">
        <x:v>2600</x:v>
      </x:c>
      <x:c r="J112" s="112" t="str">
        <x:v>g</x:v>
      </x:c>
      <x:c r="K112" s="112" t="str">
        <x:v>HỘP</x:v>
      </x:c>
      <x:c r="L112" s="112" t="n">
        <x:v>16000</x:v>
      </x:c>
      <x:c r="M112" s="112" t="str">
        <x:v>g</x:v>
      </x:c>
      <x:c r="N112" s="112" t="str">
        <x:v>THÙNG</x:v>
      </x:c>
      <x:c r="O112" s="112" t="n">
        <x:v>6</x:v>
      </x:c>
      <x:c r="P112" s="112" t="str">
        <x:v>2600 g / HỘP</x:v>
      </x:c>
      <x:c r="Q112" s="112" t="str">
        <x:v>6 HỘP / THÙNG</x:v>
      </x:c>
      <x:c r="R112" s="112" t="n">
        <x:v>252</x:v>
      </x:c>
      <x:c r="S112" s="113" t="n">
        <x:v>253</x:v>
      </x:c>
    </x:row>
    <x:row r="113">
      <x:c r="A113" s="111" t="n">
        <x:v>113</x:v>
      </x:c>
      <x:c r="B113" s="112" t="str">
        <x:v>THẠCH TRÁI CÂY 3M NHỎ</x:v>
      </x:c>
      <x:c r="C113" s="112" t="str">
        <x:v>TTC3MN</x:v>
      </x:c>
      <x:c r="D113" s="112" t="str">
        <x:v>TTC3MNT</x:v>
      </x:c>
      <x:c r="E113" s="120"/>
      <x:c r="F113" s="120" t="n">
        <x:v>70000</x:v>
      </x:c>
      <x:c r="G113" s="120" t="n">
        <x:v>70000</x:v>
      </x:c>
      <x:c r="H113" s="112" t="str">
        <x:v>BỔ SUNG GIÁ</x:v>
      </x:c>
      <x:c r="I113" s="112" t="n">
        <x:v>2600</x:v>
      </x:c>
      <x:c r="J113" s="112" t="str">
        <x:v>g</x:v>
      </x:c>
      <x:c r="K113" s="112" t="str">
        <x:v>HỘP</x:v>
      </x:c>
      <x:c r="L113" s="112" t="n">
        <x:v>16000</x:v>
      </x:c>
      <x:c r="M113" s="112" t="str">
        <x:v>g</x:v>
      </x:c>
      <x:c r="N113" s="112" t="str">
        <x:v>THÙNG</x:v>
      </x:c>
      <x:c r="O113" s="112" t="n">
        <x:v>6</x:v>
      </x:c>
      <x:c r="P113" s="112" t="str">
        <x:v>2600 g / HỘP</x:v>
      </x:c>
      <x:c r="Q113" s="112" t="str">
        <x:v>6 HỘP / THÙNG</x:v>
      </x:c>
      <x:c r="R113" s="112" t="n">
        <x:v>254</x:v>
      </x:c>
      <x:c r="S113" s="113" t="n">
        <x:v>255</x:v>
      </x:c>
    </x:row>
    <x:row r="114">
      <x:c r="A114" s="111" t="n">
        <x:v>114</x:v>
      </x:c>
      <x:c r="B114" s="112" t="str">
        <x:v>THẠCH TRÁI CÂY 3M LỚN</x:v>
      </x:c>
      <x:c r="C114" s="112" t="str">
        <x:v>TTC3ML</x:v>
      </x:c>
      <x:c r="D114" s="112" t="str">
        <x:v>TTC3MLT</x:v>
      </x:c>
      <x:c r="E114" s="120"/>
      <x:c r="F114" s="120" t="n">
        <x:v>70000</x:v>
      </x:c>
      <x:c r="G114" s="120" t="n">
        <x:v>70000</x:v>
      </x:c>
      <x:c r="H114" s="112" t="str">
        <x:v>BỔ SUNG GIÁ</x:v>
      </x:c>
      <x:c r="I114" s="112" t="n">
        <x:v>2600</x:v>
      </x:c>
      <x:c r="J114" s="112" t="str">
        <x:v>g</x:v>
      </x:c>
      <x:c r="K114" s="112" t="str">
        <x:v>HỘP</x:v>
      </x:c>
      <x:c r="L114" s="112" t="n">
        <x:v>16000</x:v>
      </x:c>
      <x:c r="M114" s="112" t="str">
        <x:v>g</x:v>
      </x:c>
      <x:c r="N114" s="112" t="str">
        <x:v>THÙNG</x:v>
      </x:c>
      <x:c r="O114" s="112" t="n">
        <x:v>6</x:v>
      </x:c>
      <x:c r="P114" s="112" t="str">
        <x:v>2600 g / HỘP</x:v>
      </x:c>
      <x:c r="Q114" s="112" t="str">
        <x:v>6 HỘP / THÙNG</x:v>
      </x:c>
      <x:c r="R114" s="112" t="n">
        <x:v>256</x:v>
      </x:c>
      <x:c r="S114" s="113" t="n">
        <x:v>257</x:v>
      </x:c>
    </x:row>
    <x:row r="115">
      <x:c r="A115" s="111" t="n">
        <x:v>115</x:v>
      </x:c>
      <x:c r="B115" s="112" t="str">
        <x:v>THẠCH MH THUỶ TINH TRÁI CÂY</x:v>
      </x:c>
      <x:c r="C115" s="112" t="str">
        <x:v>TTTCMH</x:v>
      </x:c>
      <x:c r="D115" s="112" t="str">
        <x:v>TTTCMHT</x:v>
      </x:c>
      <x:c r="E115" s="120"/>
      <x:c r="F115" s="120" t="n">
        <x:v>40000</x:v>
      </x:c>
      <x:c r="G115" s="120" t="n">
        <x:v>40000</x:v>
      </x:c>
      <x:c r="H115" s="112" t="str">
        <x:v>BỔ SUNG GIÁ</x:v>
      </x:c>
      <x:c r="I115" s="112" t="n">
        <x:v>25</x:v>
      </x:c>
      <x:c r="J115" s="112" t="str">
        <x:v>g</x:v>
      </x:c>
      <x:c r="K115" s="112" t="str">
        <x:v>HỦ</x:v>
      </x:c>
      <x:c r="L115" s="112" t="n">
        <x:v>21000</x:v>
      </x:c>
      <x:c r="M115" s="112" t="str">
        <x:v>g</x:v>
      </x:c>
      <x:c r="N115" s="112" t="str">
        <x:v>THÙNG</x:v>
      </x:c>
      <x:c r="O115" s="112" t="n">
        <x:v>8</x:v>
      </x:c>
      <x:c r="P115" s="112" t="str">
        <x:v>25 g / HỦ</x:v>
      </x:c>
      <x:c r="Q115" s="112" t="str">
        <x:v>8 HỦ / THÙNG</x:v>
      </x:c>
      <x:c r="R115" s="112" t="n">
        <x:v>258</x:v>
      </x:c>
      <x:c r="S115" s="113" t="n">
        <x:v>259</x:v>
      </x:c>
    </x:row>
    <x:row r="116">
      <x:c r="A116" s="111" t="n">
        <x:v>116</x:v>
      </x:c>
      <x:c r="B116" s="112" t="str">
        <x:v>THẠCH TIM 4 MÀU</x:v>
      </x:c>
      <x:c r="C116" s="112" t="str">
        <x:v>TTIM4M</x:v>
      </x:c>
      <x:c r="D116" s="112" t="str">
        <x:v>TTIM4MT</x:v>
      </x:c>
      <x:c r="E116" s="120"/>
      <x:c r="F116" s="120" t="n">
        <x:v>70000</x:v>
      </x:c>
      <x:c r="G116" s="120" t="n">
        <x:v>70000</x:v>
      </x:c>
      <x:c r="H116" s="112" t="str">
        <x:v>BỔ SUNG GIÁ</x:v>
      </x:c>
      <x:c r="I116" s="112" t="n">
        <x:v>2600</x:v>
      </x:c>
      <x:c r="J116" s="112" t="str">
        <x:v>g</x:v>
      </x:c>
      <x:c r="K116" s="112" t="str">
        <x:v>HỘP</x:v>
      </x:c>
      <x:c r="L116" s="112" t="n">
        <x:v>16000</x:v>
      </x:c>
      <x:c r="M116" s="112" t="str">
        <x:v>g</x:v>
      </x:c>
      <x:c r="N116" s="112" t="str">
        <x:v>THÙNG</x:v>
      </x:c>
      <x:c r="O116" s="112" t="n">
        <x:v>6</x:v>
      </x:c>
      <x:c r="P116" s="112" t="str">
        <x:v>2600 g / HỘP</x:v>
      </x:c>
      <x:c r="Q116" s="112" t="str">
        <x:v>6 HỘP / THÙNG</x:v>
      </x:c>
      <x:c r="R116" s="112" t="n">
        <x:v>260</x:v>
      </x:c>
      <x:c r="S116" s="113" t="n">
        <x:v>261</x:v>
      </x:c>
    </x:row>
    <x:row r="117">
      <x:c r="A117" s="111" t="n">
        <x:v>117</x:v>
      </x:c>
      <x:c r="B117" s="112" t="str">
        <x:v>THẠCH SỢI TRẮNG</x:v>
      </x:c>
      <x:c r="C117" s="112" t="str">
        <x:v>TSOITR</x:v>
      </x:c>
      <x:c r="D117" s="112" t="str">
        <x:v>TSOITRT</x:v>
      </x:c>
      <x:c r="E117" s="120"/>
      <x:c r="F117" s="120" t="n">
        <x:v>70000</x:v>
      </x:c>
      <x:c r="G117" s="120" t="n">
        <x:v>70000</x:v>
      </x:c>
      <x:c r="H117" s="112" t="str">
        <x:v>BỔ SUNG GIÁ</x:v>
      </x:c>
      <x:c r="I117" s="112" t="n">
        <x:v>2600</x:v>
      </x:c>
      <x:c r="J117" s="112" t="str">
        <x:v>g</x:v>
      </x:c>
      <x:c r="K117" s="112" t="str">
        <x:v>HỘP</x:v>
      </x:c>
      <x:c r="L117" s="112" t="n">
        <x:v>16000</x:v>
      </x:c>
      <x:c r="M117" s="112" t="str">
        <x:v>g</x:v>
      </x:c>
      <x:c r="N117" s="112" t="str">
        <x:v>THÙNG</x:v>
      </x:c>
      <x:c r="O117" s="112" t="n">
        <x:v>6</x:v>
      </x:c>
      <x:c r="P117" s="112" t="str">
        <x:v>2600 g / HỘP</x:v>
      </x:c>
      <x:c r="Q117" s="112" t="str">
        <x:v>6 HỘP / THÙNG</x:v>
      </x:c>
      <x:c r="R117" s="112" t="n">
        <x:v>262</x:v>
      </x:c>
      <x:c r="S117" s="113" t="n">
        <x:v>263</x:v>
      </x:c>
    </x:row>
    <x:row r="118">
      <x:c r="A118" s="111" t="n">
        <x:v>118</x:v>
      </x:c>
      <x:c r="B118" s="112" t="str">
        <x:v>THẠCH SỢI HOÀNG KIM</x:v>
      </x:c>
      <x:c r="C118" s="112" t="str">
        <x:v>TSOIHK</x:v>
      </x:c>
      <x:c r="D118" s="112" t="str">
        <x:v>TSOIHKT</x:v>
      </x:c>
      <x:c r="E118" s="120"/>
      <x:c r="F118" s="120" t="n">
        <x:v>70000</x:v>
      </x:c>
      <x:c r="G118" s="120" t="n">
        <x:v>70000</x:v>
      </x:c>
      <x:c r="H118" s="112" t="str">
        <x:v>BỔ SUNG GIÁ</x:v>
      </x:c>
      <x:c r="I118" s="112" t="n">
        <x:v>0</x:v>
      </x:c>
      <x:c r="J118" s="112" t="str">
        <x:v>g</x:v>
      </x:c>
      <x:c r="K118" s="112" t="str">
        <x:v>HỘP</x:v>
      </x:c>
      <x:c r="L118" s="112" t="n">
        <x:v>16000</x:v>
      </x:c>
      <x:c r="M118" s="112" t="str">
        <x:v>g</x:v>
      </x:c>
      <x:c r="N118" s="112" t="str">
        <x:v>THÙNG</x:v>
      </x:c>
      <x:c r="O118" s="112" t="n">
        <x:v>6</x:v>
      </x:c>
      <x:c r="P118" s="112" t="str">
        <x:v>0 g / HỘP</x:v>
      </x:c>
      <x:c r="Q118" s="112" t="str">
        <x:v>6 HỘP / THÙNG</x:v>
      </x:c>
      <x:c r="R118" s="112" t="n">
        <x:v>264</x:v>
      </x:c>
      <x:c r="S118" s="113" t="n">
        <x:v>265</x:v>
      </x:c>
    </x:row>
    <x:row r="119">
      <x:c r="A119" s="111" t="n">
        <x:v>119</x:v>
      </x:c>
      <x:c r="B119" s="112" t="str">
        <x:v>THẠCH SOCOLA NHUYỄN</x:v>
      </x:c>
      <x:c r="C119" s="112" t="str">
        <x:v>TSCLNH</x:v>
      </x:c>
      <x:c r="D119" s="112" t="str">
        <x:v>TSCLNHT</x:v>
      </x:c>
      <x:c r="E119" s="120"/>
      <x:c r="F119" s="120" t="n">
        <x:v>70000</x:v>
      </x:c>
      <x:c r="G119" s="120" t="n">
        <x:v>70000</x:v>
      </x:c>
      <x:c r="H119" s="112" t="str">
        <x:v>BỔ SUNG GIÁ</x:v>
      </x:c>
      <x:c r="I119" s="112" t="n">
        <x:v>2600</x:v>
      </x:c>
      <x:c r="J119" s="112" t="str">
        <x:v>g</x:v>
      </x:c>
      <x:c r="K119" s="112" t="str">
        <x:v>HỘP</x:v>
      </x:c>
      <x:c r="L119" s="112" t="n">
        <x:v>16000</x:v>
      </x:c>
      <x:c r="M119" s="112" t="str">
        <x:v>g</x:v>
      </x:c>
      <x:c r="N119" s="112" t="str">
        <x:v>THÙNG</x:v>
      </x:c>
      <x:c r="O119" s="112" t="n">
        <x:v>6</x:v>
      </x:c>
      <x:c r="P119" s="112" t="str">
        <x:v>2600 g / HỘP</x:v>
      </x:c>
      <x:c r="Q119" s="112" t="str">
        <x:v>6 HỘP / THÙNG</x:v>
      </x:c>
      <x:c r="R119" s="112" t="n">
        <x:v>266</x:v>
      </x:c>
      <x:c r="S119" s="113" t="n">
        <x:v>267</x:v>
      </x:c>
    </x:row>
    <x:row r="120">
      <x:c r="A120" s="111" t="n">
        <x:v>120</x:v>
      </x:c>
      <x:c r="B120" s="112" t="str">
        <x:v>THẠCH MH NGŨ SẮC</x:v>
      </x:c>
      <x:c r="C120" s="112" t="str">
        <x:v>THNSMH</x:v>
      </x:c>
      <x:c r="D120" s="112" t="str">
        <x:v>THNSMHT</x:v>
      </x:c>
      <x:c r="E120" s="120"/>
      <x:c r="F120" s="120" t="n">
        <x:v>45000</x:v>
      </x:c>
      <x:c r="G120" s="120" t="n">
        <x:v>45000</x:v>
      </x:c>
      <x:c r="H120" s="112" t="str">
        <x:v>BỔ SUNG GIÁ</x:v>
      </x:c>
      <x:c r="I120" s="112" t="n">
        <x:v>2600</x:v>
      </x:c>
      <x:c r="J120" s="112" t="str">
        <x:v>g</x:v>
      </x:c>
      <x:c r="K120" s="112" t="str">
        <x:v>HỦ</x:v>
      </x:c>
      <x:c r="L120" s="112" t="n">
        <x:v>16000</x:v>
      </x:c>
      <x:c r="M120" s="112" t="str">
        <x:v>g</x:v>
      </x:c>
      <x:c r="N120" s="112" t="str">
        <x:v>THÙNG</x:v>
      </x:c>
      <x:c r="O120" s="112" t="n">
        <x:v>6</x:v>
      </x:c>
      <x:c r="P120" s="112" t="str">
        <x:v>2600 g / HỦ</x:v>
      </x:c>
      <x:c r="Q120" s="112" t="str">
        <x:v>6 HỦ / THÙNG</x:v>
      </x:c>
      <x:c r="R120" s="112" t="n">
        <x:v>268</x:v>
      </x:c>
      <x:c r="S120" s="113" t="n">
        <x:v>269</x:v>
      </x:c>
    </x:row>
    <x:row r="121">
      <x:c r="A121" s="111" t="n">
        <x:v>121</x:v>
      </x:c>
      <x:c r="B121" s="112" t="str">
        <x:v>THẠCH MÔN NHUYỄN</x:v>
      </x:c>
      <x:c r="C121" s="112" t="str">
        <x:v>TMONNH</x:v>
      </x:c>
      <x:c r="D121" s="112" t="str">
        <x:v>TMONNHT</x:v>
      </x:c>
      <x:c r="E121" s="120"/>
      <x:c r="F121" s="120" t="n">
        <x:v>70000</x:v>
      </x:c>
      <x:c r="G121" s="120" t="n">
        <x:v>70000</x:v>
      </x:c>
      <x:c r="H121" s="112" t="str">
        <x:v>BỔ SUNG GIÁ</x:v>
      </x:c>
      <x:c r="I121" s="112" t="n">
        <x:v>26</x:v>
      </x:c>
      <x:c r="J121" s="112" t="str">
        <x:v>g</x:v>
      </x:c>
      <x:c r="K121" s="112" t="str">
        <x:v>HỘP</x:v>
      </x:c>
      <x:c r="L121" s="112" t="n">
        <x:v>16000</x:v>
      </x:c>
      <x:c r="M121" s="112" t="str">
        <x:v>g</x:v>
      </x:c>
      <x:c r="N121" s="112" t="str">
        <x:v>THÙNG</x:v>
      </x:c>
      <x:c r="O121" s="112" t="n">
        <x:v>6</x:v>
      </x:c>
      <x:c r="P121" s="112" t="str">
        <x:v>26 g / HỘP</x:v>
      </x:c>
      <x:c r="Q121" s="112" t="str">
        <x:v>6 HỘP / THÙNG</x:v>
      </x:c>
      <x:c r="R121" s="112" t="n">
        <x:v>270</x:v>
      </x:c>
      <x:c r="S121" s="113" t="n">
        <x:v>271</x:v>
      </x:c>
    </x:row>
    <x:row r="122">
      <x:c r="A122" s="111" t="n">
        <x:v>122</x:v>
      </x:c>
      <x:c r="B122" s="112" t="str">
        <x:v>THẠCH MATCHA NHUYỄN</x:v>
      </x:c>
      <x:c r="C122" s="112" t="str">
        <x:v>TMCHAN</x:v>
      </x:c>
      <x:c r="D122" s="112" t="str">
        <x:v>TMCHANT</x:v>
      </x:c>
      <x:c r="E122" s="120"/>
      <x:c r="F122" s="120" t="n">
        <x:v>70000</x:v>
      </x:c>
      <x:c r="G122" s="120" t="n">
        <x:v>70000</x:v>
      </x:c>
      <x:c r="H122" s="112" t="str">
        <x:v>BỔ SUNG GIÁ</x:v>
      </x:c>
      <x:c r="I122" s="112" t="n">
        <x:v>0</x:v>
      </x:c>
      <x:c r="J122" s="112" t="str">
        <x:v>g</x:v>
      </x:c>
      <x:c r="K122" s="112" t="str">
        <x:v>HỘP</x:v>
      </x:c>
      <x:c r="L122" s="112" t="n">
        <x:v>16000</x:v>
      </x:c>
      <x:c r="M122" s="112" t="str">
        <x:v>g</x:v>
      </x:c>
      <x:c r="N122" s="112" t="str">
        <x:v>THÙNG</x:v>
      </x:c>
      <x:c r="O122" s="112" t="n">
        <x:v>6</x:v>
      </x:c>
      <x:c r="P122" s="112" t="str">
        <x:v>0 g / HỘP</x:v>
      </x:c>
      <x:c r="Q122" s="112" t="str">
        <x:v>6 HỘP / THÙNG</x:v>
      </x:c>
      <x:c r="R122" s="112" t="n">
        <x:v>272</x:v>
      </x:c>
      <x:c r="S122" s="113" t="n">
        <x:v>273</x:v>
      </x:c>
    </x:row>
    <x:row r="123">
      <x:c r="A123" s="111" t="n">
        <x:v>123</x:v>
      </x:c>
      <x:c r="B123" s="112" t="str">
        <x:v>THẠCH KIM CƯƠNG ĐÀO</x:v>
      </x:c>
      <x:c r="C123" s="112" t="str">
        <x:v>TKCDAO</x:v>
      </x:c>
      <x:c r="D123" s="112" t="str">
        <x:v>TKCDAOT</x:v>
      </x:c>
      <x:c r="E123" s="120"/>
      <x:c r="F123" s="120" t="n">
        <x:v>70000</x:v>
      </x:c>
      <x:c r="G123" s="120" t="n">
        <x:v>70000</x:v>
      </x:c>
      <x:c r="H123" s="112" t="str">
        <x:v>BỔ SUNG GIÁ</x:v>
      </x:c>
      <x:c r="I123" s="112" t="n">
        <x:v>2600</x:v>
      </x:c>
      <x:c r="J123" s="112" t="str">
        <x:v>g</x:v>
      </x:c>
      <x:c r="K123" s="112" t="str">
        <x:v>HỘP</x:v>
      </x:c>
      <x:c r="L123" s="112" t="n">
        <x:v>16000</x:v>
      </x:c>
      <x:c r="M123" s="112" t="str">
        <x:v>g</x:v>
      </x:c>
      <x:c r="N123" s="112" t="str">
        <x:v>THÙNG</x:v>
      </x:c>
      <x:c r="O123" s="112" t="n">
        <x:v>6</x:v>
      </x:c>
      <x:c r="P123" s="112" t="str">
        <x:v>2600 g / HỘP</x:v>
      </x:c>
      <x:c r="Q123" s="112" t="str">
        <x:v>6 HỘP / THÙNG</x:v>
      </x:c>
      <x:c r="R123" s="112" t="n">
        <x:v>274</x:v>
      </x:c>
      <x:c r="S123" s="113" t="n">
        <x:v>275</x:v>
      </x:c>
    </x:row>
    <x:row r="124">
      <x:c r="A124" s="111" t="n">
        <x:v>124</x:v>
      </x:c>
      <x:c r="B124" s="112" t="str">
        <x:v>THẠCH KIM CƯƠNG</x:v>
      </x:c>
      <x:c r="C124" s="112" t="str">
        <x:v>THKC4M</x:v>
      </x:c>
      <x:c r="D124" s="112" t="str">
        <x:v>THKC4MT</x:v>
      </x:c>
      <x:c r="E124" s="120"/>
      <x:c r="F124" s="120" t="n">
        <x:v>70000</x:v>
      </x:c>
      <x:c r="G124" s="120" t="n">
        <x:v>70000</x:v>
      </x:c>
      <x:c r="H124" s="112" t="str">
        <x:v>BỔ SUNG GIÁ</x:v>
      </x:c>
      <x:c r="I124" s="112" t="n">
        <x:v>2600</x:v>
      </x:c>
      <x:c r="J124" s="112" t="str">
        <x:v>g</x:v>
      </x:c>
      <x:c r="K124" s="112" t="str">
        <x:v>HỘP</x:v>
      </x:c>
      <x:c r="L124" s="112" t="n">
        <x:v>16000</x:v>
      </x:c>
      <x:c r="M124" s="112" t="str">
        <x:v>g</x:v>
      </x:c>
      <x:c r="N124" s="112" t="str">
        <x:v>THÙNG</x:v>
      </x:c>
      <x:c r="O124" s="112" t="n">
        <x:v>6</x:v>
      </x:c>
      <x:c r="P124" s="112" t="str">
        <x:v>2600 g / HỘP</x:v>
      </x:c>
      <x:c r="Q124" s="112" t="str">
        <x:v>6 HỘP / THÙNG</x:v>
      </x:c>
      <x:c r="R124" s="112" t="n">
        <x:v>276</x:v>
      </x:c>
      <x:c r="S124" s="113" t="n">
        <x:v>277</x:v>
      </x:c>
    </x:row>
    <x:row r="125">
      <x:c r="A125" s="111" t="n">
        <x:v>125</x:v>
      </x:c>
      <x:c r="B125" s="112" t="str">
        <x:v>THẠCH DX DỪA VẢI</x:v>
      </x:c>
      <x:c r="C125" s="112" t="str">
        <x:v>TDUVAI</x:v>
      </x:c>
      <x:c r="D125" s="112" t="str">
        <x:v>TDUVAIT</x:v>
      </x:c>
      <x:c r="E125" s="120"/>
      <x:c r="F125" s="120" t="n">
        <x:v>70000</x:v>
      </x:c>
      <x:c r="G125" s="120" t="n">
        <x:v>70000</x:v>
      </x:c>
      <x:c r="H125" s="112" t="str">
        <x:v>BỔ SUNG GIÁ</x:v>
      </x:c>
      <x:c r="I125" s="112" t="n">
        <x:v>2600</x:v>
      </x:c>
      <x:c r="J125" s="112" t="str">
        <x:v>g</x:v>
      </x:c>
      <x:c r="K125" s="112" t="str">
        <x:v>HỘP</x:v>
      </x:c>
      <x:c r="L125" s="112" t="n">
        <x:v>16000</x:v>
      </x:c>
      <x:c r="M125" s="112" t="str">
        <x:v>g</x:v>
      </x:c>
      <x:c r="N125" s="112" t="str">
        <x:v>THÙNG</x:v>
      </x:c>
      <x:c r="O125" s="112" t="n">
        <x:v>6</x:v>
      </x:c>
      <x:c r="P125" s="112" t="str">
        <x:v>2600 g / HỘP</x:v>
      </x:c>
      <x:c r="Q125" s="112" t="str">
        <x:v>6 HỘP / THÙNG</x:v>
      </x:c>
      <x:c r="R125" s="112" t="n">
        <x:v>278</x:v>
      </x:c>
      <x:c r="S125" s="113" t="n">
        <x:v>279</x:v>
      </x:c>
    </x:row>
    <x:row r="126">
      <x:c r="A126" s="111" t="n">
        <x:v>126</x:v>
      </x:c>
      <x:c r="B126" s="112" t="str">
        <x:v>THẠCH MH DỪA TÁO</x:v>
      </x:c>
      <x:c r="C126" s="112" t="str">
        <x:v>TDTAMH</x:v>
      </x:c>
      <x:c r="D126" s="112" t="str">
        <x:v>TDTAMHT</x:v>
      </x:c>
      <x:c r="E126" s="120"/>
      <x:c r="F126" s="120" t="n">
        <x:v>38000</x:v>
      </x:c>
      <x:c r="G126" s="120" t="n">
        <x:v>38000</x:v>
      </x:c>
      <x:c r="H126" s="112" t="str">
        <x:v>BỔ SUNG GIÁ</x:v>
      </x:c>
      <x:c r="I126" s="112" t="n">
        <x:v>2.5</x:v>
      </x:c>
      <x:c r="J126" s="112" t="str">
        <x:v>kg</x:v>
      </x:c>
      <x:c r="K126" s="112" t="str">
        <x:v>HỦ</x:v>
      </x:c>
      <x:c r="L126" s="112" t="n">
        <x:v>21000</x:v>
      </x:c>
      <x:c r="M126" s="112" t="str">
        <x:v>g</x:v>
      </x:c>
      <x:c r="N126" s="112" t="str">
        <x:v>THÙNG</x:v>
      </x:c>
      <x:c r="O126" s="112" t="n">
        <x:v>8</x:v>
      </x:c>
      <x:c r="P126" s="112" t="str">
        <x:v>2.5 kg / HỦ</x:v>
      </x:c>
      <x:c r="Q126" s="112" t="str">
        <x:v>8 HỦ / THÙNG</x:v>
      </x:c>
      <x:c r="R126" s="112" t="n">
        <x:v>280</x:v>
      </x:c>
      <x:c r="S126" s="113" t="n">
        <x:v>281</x:v>
      </x:c>
    </x:row>
    <x:row r="127">
      <x:c r="A127" s="111" t="n">
        <x:v>127</x:v>
      </x:c>
      <x:c r="B127" s="112" t="str">
        <x:v>THẠCH DX DỪA TÁO</x:v>
      </x:c>
      <x:c r="C127" s="112" t="str">
        <x:v>TDUTAO</x:v>
      </x:c>
      <x:c r="D127" s="112" t="str">
        <x:v>TDUTAOT</x:v>
      </x:c>
      <x:c r="E127" s="120"/>
      <x:c r="F127" s="120" t="n">
        <x:v>70000</x:v>
      </x:c>
      <x:c r="G127" s="120" t="n">
        <x:v>70000</x:v>
      </x:c>
      <x:c r="H127" s="112" t="str">
        <x:v>BỔ SUNG GIÁ</x:v>
      </x:c>
      <x:c r="I127" s="112" t="n">
        <x:v>26</x:v>
      </x:c>
      <x:c r="J127" s="112" t="str">
        <x:v>g</x:v>
      </x:c>
      <x:c r="K127" s="112" t="str">
        <x:v>HỘP</x:v>
      </x:c>
      <x:c r="L127" s="112" t="n">
        <x:v>16000</x:v>
      </x:c>
      <x:c r="M127" s="112" t="str">
        <x:v>g</x:v>
      </x:c>
      <x:c r="N127" s="112" t="str">
        <x:v>THÙNG</x:v>
      </x:c>
      <x:c r="O127" s="112" t="n">
        <x:v>6</x:v>
      </x:c>
      <x:c r="P127" s="112" t="str">
        <x:v>26 g / HỘP</x:v>
      </x:c>
      <x:c r="Q127" s="112" t="str">
        <x:v>6 HỘP / THÙNG</x:v>
      </x:c>
      <x:c r="R127" s="112" t="n">
        <x:v>282</x:v>
      </x:c>
      <x:c r="S127" s="113" t="n">
        <x:v>283</x:v>
      </x:c>
    </x:row>
    <x:row r="128">
      <x:c r="A128" s="111" t="n">
        <x:v>128</x:v>
      </x:c>
      <x:c r="B128" s="112" t="str">
        <x:v>THẠCH DỪA SỢI LOTUS</x:v>
      </x:c>
      <x:c r="C128" s="112" t="str">
        <x:v>TDSLOT</x:v>
      </x:c>
      <x:c r="D128" s="112" t="str">
        <x:v>TDSLOTT</x:v>
      </x:c>
      <x:c r="E128" s="120"/>
      <x:c r="F128" s="120" t="n">
        <x:v>27000</x:v>
      </x:c>
      <x:c r="G128" s="120" t="n">
        <x:v>27000</x:v>
      </x:c>
      <x:c r="H128" s="112" t="str">
        <x:v>BỔ SUNG GIÁ</x:v>
      </x:c>
      <x:c r="I128" s="112" t="n">
        <x:v>0</x:v>
      </x:c>
      <x:c r="J128" s="112" t="str">
        <x:v>g</x:v>
      </x:c>
      <x:c r="K128" s="112" t="str">
        <x:v>GÓI</x:v>
      </x:c>
      <x:c r="L128" s="112" t="n">
        <x:v>0</x:v>
      </x:c>
      <x:c r="M128" s="112" t="str">
        <x:v>g</x:v>
      </x:c>
      <x:c r="N128" s="112" t="str">
        <x:v>THÙNG</x:v>
      </x:c>
      <x:c r="O128" s="112" t="n">
        <x:v>10</x:v>
      </x:c>
      <x:c r="P128" s="112" t="str">
        <x:v>0 g / GÓI</x:v>
      </x:c>
      <x:c r="Q128" s="112" t="str">
        <x:v>10 GÓI / THÙNG</x:v>
      </x:c>
      <x:c r="R128" s="112" t="n">
        <x:v>284</x:v>
      </x:c>
      <x:c r="S128" s="113" t="n">
        <x:v>285</x:v>
      </x:c>
    </x:row>
    <x:row r="129">
      <x:c r="A129" s="111" t="n">
        <x:v>129</x:v>
      </x:c>
      <x:c r="B129" s="112" t="str">
        <x:v>THẠCH DỪA NGUYÊN VỊ</x:v>
      </x:c>
      <x:c r="C129" s="112" t="str">
        <x:v>TDUANV</x:v>
      </x:c>
      <x:c r="D129" s="112" t="str">
        <x:v>TDUANVT</x:v>
      </x:c>
      <x:c r="E129" s="120"/>
      <x:c r="F129" s="120" t="n">
        <x:v>70000</x:v>
      </x:c>
      <x:c r="G129" s="120" t="n">
        <x:v>70000</x:v>
      </x:c>
      <x:c r="H129" s="112" t="str">
        <x:v>BỔ SUNG GIÁ</x:v>
      </x:c>
      <x:c r="I129" s="112" t="n">
        <x:v>0</x:v>
      </x:c>
      <x:c r="J129" s="112" t="str">
        <x:v>g</x:v>
      </x:c>
      <x:c r="K129" s="112" t="str">
        <x:v>HỘP</x:v>
      </x:c>
      <x:c r="L129" s="112" t="n">
        <x:v>16000</x:v>
      </x:c>
      <x:c r="M129" s="112" t="str">
        <x:v>g</x:v>
      </x:c>
      <x:c r="N129" s="112" t="str">
        <x:v>THÙNG</x:v>
      </x:c>
      <x:c r="O129" s="112" t="n">
        <x:v>6</x:v>
      </x:c>
      <x:c r="P129" s="112" t="str">
        <x:v>0 g / HỘP</x:v>
      </x:c>
      <x:c r="Q129" s="112" t="str">
        <x:v>6 HỘP / THÙNG</x:v>
      </x:c>
      <x:c r="R129" s="112" t="n">
        <x:v>286</x:v>
      </x:c>
      <x:c r="S129" s="113" t="n">
        <x:v>287</x:v>
      </x:c>
    </x:row>
    <x:row r="130">
      <x:c r="A130" s="111" t="n">
        <x:v>130</x:v>
      </x:c>
      <x:c r="B130" s="112" t="str">
        <x:v>THẠCH MH DỪA MÔN</x:v>
      </x:c>
      <x:c r="C130" s="112" t="str">
        <x:v>TDMOMH</x:v>
      </x:c>
      <x:c r="D130" s="112" t="str">
        <x:v>TDMOMHT</x:v>
      </x:c>
      <x:c r="E130" s="120"/>
      <x:c r="F130" s="120" t="n">
        <x:v>38000</x:v>
      </x:c>
      <x:c r="G130" s="120" t="n">
        <x:v>38000</x:v>
      </x:c>
      <x:c r="H130" s="112" t="str">
        <x:v>BỔ SUNG GIÁ</x:v>
      </x:c>
      <x:c r="I130" s="112" t="n">
        <x:v>2500</x:v>
      </x:c>
      <x:c r="J130" s="112" t="str">
        <x:v>g</x:v>
      </x:c>
      <x:c r="K130" s="112" t="str">
        <x:v>HỦ</x:v>
      </x:c>
      <x:c r="L130" s="112" t="n">
        <x:v>21000</x:v>
      </x:c>
      <x:c r="M130" s="112" t="str">
        <x:v>g</x:v>
      </x:c>
      <x:c r="N130" s="112" t="str">
        <x:v>THÙNG</x:v>
      </x:c>
      <x:c r="O130" s="112" t="n">
        <x:v>8</x:v>
      </x:c>
      <x:c r="P130" s="112" t="str">
        <x:v>2500 g / HỦ</x:v>
      </x:c>
      <x:c r="Q130" s="112" t="str">
        <x:v>8 HỦ / THÙNG</x:v>
      </x:c>
      <x:c r="R130" s="112" t="n">
        <x:v>288</x:v>
      </x:c>
      <x:c r="S130" s="113" t="n">
        <x:v>289</x:v>
      </x:c>
    </x:row>
    <x:row r="131">
      <x:c r="A131" s="111" t="n">
        <x:v>131</x:v>
      </x:c>
      <x:c r="B131" s="112" t="str">
        <x:v>THẠCH DX DỪA MÔN</x:v>
      </x:c>
      <x:c r="C131" s="112" t="str">
        <x:v>TDUMON</x:v>
      </x:c>
      <x:c r="D131" s="112" t="str">
        <x:v>TDUMONT</x:v>
      </x:c>
      <x:c r="E131" s="120"/>
      <x:c r="F131" s="120" t="n">
        <x:v>70000</x:v>
      </x:c>
      <x:c r="G131" s="120" t="n">
        <x:v>70000</x:v>
      </x:c>
      <x:c r="H131" s="112" t="str">
        <x:v>BỔ SUNG GIÁ</x:v>
      </x:c>
      <x:c r="I131" s="112" t="n">
        <x:v>2600</x:v>
      </x:c>
      <x:c r="J131" s="112" t="str">
        <x:v>g</x:v>
      </x:c>
      <x:c r="K131" s="112" t="str">
        <x:v>HỘP</x:v>
      </x:c>
      <x:c r="L131" s="112" t="n">
        <x:v>16000</x:v>
      </x:c>
      <x:c r="M131" s="112" t="str">
        <x:v>g</x:v>
      </x:c>
      <x:c r="N131" s="112" t="str">
        <x:v>THÙNG</x:v>
      </x:c>
      <x:c r="O131" s="112" t="n">
        <x:v>6</x:v>
      </x:c>
      <x:c r="P131" s="112" t="str">
        <x:v>2600 g / HỘP</x:v>
      </x:c>
      <x:c r="Q131" s="112" t="str">
        <x:v>6 HỘP / THÙNG</x:v>
      </x:c>
      <x:c r="R131" s="112" t="n">
        <x:v>290</x:v>
      </x:c>
      <x:c r="S131" s="113" t="n">
        <x:v>291</x:v>
      </x:c>
    </x:row>
    <x:row r="132">
      <x:c r="A132" s="111" t="n">
        <x:v>132</x:v>
      </x:c>
      <x:c r="B132" s="112" t="str">
        <x:v>THẠCH DX DỪA ĐÀO</x:v>
      </x:c>
      <x:c r="C132" s="112" t="str">
        <x:v>TDUDAO</x:v>
      </x:c>
      <x:c r="D132" s="112" t="str">
        <x:v>TDUDAOT</x:v>
      </x:c>
      <x:c r="E132" s="120"/>
      <x:c r="F132" s="120" t="n">
        <x:v>70000</x:v>
      </x:c>
      <x:c r="G132" s="120" t="n">
        <x:v>70000</x:v>
      </x:c>
      <x:c r="H132" s="112" t="str">
        <x:v>BỔ SUNG GIÁ</x:v>
      </x:c>
      <x:c r="I132" s="112" t="n">
        <x:v>26</x:v>
      </x:c>
      <x:c r="J132" s="112" t="str">
        <x:v>g</x:v>
      </x:c>
      <x:c r="K132" s="112" t="str">
        <x:v>HỘP</x:v>
      </x:c>
      <x:c r="L132" s="112" t="n">
        <x:v>16000</x:v>
      </x:c>
      <x:c r="M132" s="112" t="str">
        <x:v>g</x:v>
      </x:c>
      <x:c r="N132" s="112" t="str">
        <x:v>THÙNG</x:v>
      </x:c>
      <x:c r="O132" s="112" t="n">
        <x:v>6</x:v>
      </x:c>
      <x:c r="P132" s="112" t="str">
        <x:v>26 g / HỘP</x:v>
      </x:c>
      <x:c r="Q132" s="112" t="str">
        <x:v>6 HỘP / THÙNG</x:v>
      </x:c>
      <x:c r="R132" s="112" t="n">
        <x:v>292</x:v>
      </x:c>
      <x:c r="S132" s="113" t="n">
        <x:v>293</x:v>
      </x:c>
    </x:row>
    <x:row r="133">
      <x:c r="A133" s="111" t="n">
        <x:v>133</x:v>
      </x:c>
      <x:c r="B133" s="112" t="str">
        <x:v>THẠCH MH DỪA DƯA VÀNG</x:v>
      </x:c>
      <x:c r="C133" s="112" t="str">
        <x:v>TDDVMH</x:v>
      </x:c>
      <x:c r="D133" s="112" t="str">
        <x:v>TDDVMHT</x:v>
      </x:c>
      <x:c r="E133" s="120"/>
      <x:c r="F133" s="120" t="n">
        <x:v>38000</x:v>
      </x:c>
      <x:c r="G133" s="120" t="n">
        <x:v>38000</x:v>
      </x:c>
      <x:c r="H133" s="112" t="str">
        <x:v>BỔ SUNG GIÁ</x:v>
      </x:c>
      <x:c r="I133" s="112" t="n">
        <x:v>25</x:v>
      </x:c>
      <x:c r="J133" s="112" t="str">
        <x:v>g</x:v>
      </x:c>
      <x:c r="K133" s="112" t="str">
        <x:v>HỦ</x:v>
      </x:c>
      <x:c r="L133" s="112" t="n">
        <x:v>21000</x:v>
      </x:c>
      <x:c r="M133" s="112" t="str">
        <x:v>g</x:v>
      </x:c>
      <x:c r="N133" s="112" t="str">
        <x:v>THÙNG</x:v>
      </x:c>
      <x:c r="O133" s="112" t="n">
        <x:v>8</x:v>
      </x:c>
      <x:c r="P133" s="112" t="str">
        <x:v>25 g / HỦ</x:v>
      </x:c>
      <x:c r="Q133" s="112" t="str">
        <x:v>8 HỦ / THÙNG</x:v>
      </x:c>
      <x:c r="R133" s="112" t="n">
        <x:v>294</x:v>
      </x:c>
      <x:c r="S133" s="113" t="n">
        <x:v>295</x:v>
      </x:c>
    </x:row>
    <x:row r="134">
      <x:c r="A134" s="111" t="n">
        <x:v>134</x:v>
      </x:c>
      <x:c r="B134" s="112" t="str">
        <x:v>THẠCH DỪA DEDU</x:v>
      </x:c>
      <x:c r="C134" s="112" t="str">
        <x:v>TDDEDU</x:v>
      </x:c>
      <x:c r="D134" s="112" t="str">
        <x:v>TDDEDUT</x:v>
      </x:c>
      <x:c r="E134" s="120"/>
      <x:c r="F134" s="120" t="n">
        <x:v>55000</x:v>
      </x:c>
      <x:c r="G134" s="120" t="n">
        <x:v>55000</x:v>
      </x:c>
      <x:c r="H134" s="112" t="str">
        <x:v>BỔ SUNG GIÁ</x:v>
      </x:c>
      <x:c r="I134" s="112" t="n">
        <x:v>1500</x:v>
      </x:c>
      <x:c r="J134" s="112" t="str">
        <x:v>g</x:v>
      </x:c>
      <x:c r="K134" s="112" t="str">
        <x:v>GÓI</x:v>
      </x:c>
      <x:c r="L134" s="112" t="n">
        <x:v>16000</x:v>
      </x:c>
      <x:c r="M134" s="112" t="str">
        <x:v>g</x:v>
      </x:c>
      <x:c r="N134" s="112" t="str">
        <x:v>THÙNG</x:v>
      </x:c>
      <x:c r="O134" s="112" t="n">
        <x:v>12</x:v>
      </x:c>
      <x:c r="P134" s="112" t="str">
        <x:v>1500 g / GÓI</x:v>
      </x:c>
      <x:c r="Q134" s="112" t="str">
        <x:v>12 GÓI / THÙNG</x:v>
      </x:c>
      <x:c r="R134" s="112" t="n">
        <x:v>296</x:v>
      </x:c>
      <x:c r="S134" s="113" t="n">
        <x:v>297</x:v>
      </x:c>
    </x:row>
    <x:row r="135">
      <x:c r="A135" s="111" t="n">
        <x:v>135</x:v>
      </x:c>
      <x:c r="B135" s="112" t="str">
        <x:v>THẠCH MH DỪA DÂU</x:v>
      </x:c>
      <x:c r="C135" s="112" t="str">
        <x:v>TDDAMH</x:v>
      </x:c>
      <x:c r="D135" s="112" t="str">
        <x:v>TDDAMHT</x:v>
      </x:c>
      <x:c r="E135" s="120"/>
      <x:c r="F135" s="120" t="n">
        <x:v>38000</x:v>
      </x:c>
      <x:c r="G135" s="120" t="n">
        <x:v>38000</x:v>
      </x:c>
      <x:c r="H135" s="112" t="str">
        <x:v>BỔ SUNG GIÁ</x:v>
      </x:c>
      <x:c r="I135" s="112" t="n">
        <x:v>2500</x:v>
      </x:c>
      <x:c r="J135" s="112" t="str">
        <x:v>g</x:v>
      </x:c>
      <x:c r="K135" s="112" t="str">
        <x:v>HỦ</x:v>
      </x:c>
      <x:c r="L135" s="112" t="n">
        <x:v>21000</x:v>
      </x:c>
      <x:c r="M135" s="112" t="str">
        <x:v>g</x:v>
      </x:c>
      <x:c r="N135" s="112" t="str">
        <x:v>THÙNG</x:v>
      </x:c>
      <x:c r="O135" s="112" t="n">
        <x:v>8</x:v>
      </x:c>
      <x:c r="P135" s="112" t="str">
        <x:v>2500 g / HỦ</x:v>
      </x:c>
      <x:c r="Q135" s="112" t="str">
        <x:v>8 HỦ / THÙNG</x:v>
      </x:c>
      <x:c r="R135" s="112" t="n">
        <x:v>298</x:v>
      </x:c>
      <x:c r="S135" s="113" t="n">
        <x:v>299</x:v>
      </x:c>
    </x:row>
    <x:row r="136">
      <x:c r="A136" s="111" t="n">
        <x:v>136</x:v>
      </x:c>
      <x:c r="B136" s="112" t="str">
        <x:v>THẠCH DX DỪA DÂU</x:v>
      </x:c>
      <x:c r="C136" s="112" t="str">
        <x:v>TDUDAU</x:v>
      </x:c>
      <x:c r="D136" s="112" t="str">
        <x:v>TDUDAUT</x:v>
      </x:c>
      <x:c r="E136" s="120"/>
      <x:c r="F136" s="120" t="n">
        <x:v>70000</x:v>
      </x:c>
      <x:c r="G136" s="120" t="n">
        <x:v>70000</x:v>
      </x:c>
      <x:c r="H136" s="112" t="str">
        <x:v>BỔ SUNG GIÁ</x:v>
      </x:c>
      <x:c r="I136" s="112" t="n">
        <x:v>2600</x:v>
      </x:c>
      <x:c r="J136" s="112" t="str">
        <x:v>g</x:v>
      </x:c>
      <x:c r="K136" s="112" t="str">
        <x:v>HỘP</x:v>
      </x:c>
      <x:c r="L136" s="112" t="n">
        <x:v>16000</x:v>
      </x:c>
      <x:c r="M136" s="112" t="str">
        <x:v>g</x:v>
      </x:c>
      <x:c r="N136" s="112" t="str">
        <x:v>THÙNG</x:v>
      </x:c>
      <x:c r="O136" s="112" t="n">
        <x:v>6</x:v>
      </x:c>
      <x:c r="P136" s="112" t="str">
        <x:v>2600 g / HỘP</x:v>
      </x:c>
      <x:c r="Q136" s="112" t="str">
        <x:v>6 HỘP / THÙNG</x:v>
      </x:c>
      <x:c r="R136" s="112" t="n">
        <x:v>300</x:v>
      </x:c>
      <x:c r="S136" s="113" t="n">
        <x:v>301</x:v>
      </x:c>
    </x:row>
    <x:row r="137">
      <x:c r="A137" s="111" t="n">
        <x:v>137</x:v>
      </x:c>
      <x:c r="B137" s="112" t="str">
        <x:v>THẠCH DỪA CHANH DÂY</x:v>
      </x:c>
      <x:c r="C137" s="112" t="str">
        <x:v>TDUCDA</x:v>
      </x:c>
      <x:c r="D137" s="112" t="str">
        <x:v>TDUCDAT</x:v>
      </x:c>
      <x:c r="E137" s="120"/>
      <x:c r="F137" s="120" t="n">
        <x:v>0</x:v>
      </x:c>
      <x:c r="G137" s="120"/>
      <x:c r="H137" s="112" t="str">
        <x:v>DS SP GIÁ 0 - VẪN THIẾU GIÁ</x:v>
      </x:c>
      <x:c r="I137" s="112" t="n">
        <x:v>0</x:v>
      </x:c>
      <x:c r="J137" s="112" t="str">
        <x:v>g</x:v>
      </x:c>
      <x:c r="K137" s="112" t="str">
        <x:v>THÙNG</x:v>
      </x:c>
      <x:c r="L137" s="112" t="n">
        <x:v>16000</x:v>
      </x:c>
      <x:c r="M137" s="112" t="str">
        <x:v>g</x:v>
      </x:c>
      <x:c r="N137" s="112" t="str">
        <x:v>THÙNG</x:v>
      </x:c>
      <x:c r="O137" s="112" t="n">
        <x:v>6</x:v>
      </x:c>
      <x:c r="P137" s="112" t="str">
        <x:v>0 g / THÙNG</x:v>
      </x:c>
      <x:c r="Q137" s="112" t="str">
        <x:v>6 THÙNG / THÙNG</x:v>
      </x:c>
      <x:c r="R137" s="112" t="n">
        <x:v>302</x:v>
      </x:c>
      <x:c r="S137" s="113" t="n">
        <x:v>303</x:v>
      </x:c>
    </x:row>
    <x:row r="138">
      <x:c r="A138" s="111" t="n">
        <x:v>138</x:v>
      </x:c>
      <x:c r="B138" s="112" t="str">
        <x:v>THẠCH CẦU VÒNG TRUNG</x:v>
      </x:c>
      <x:c r="C138" s="112" t="str">
        <x:v>TTC5MT</x:v>
      </x:c>
      <x:c r="D138" s="112" t="str">
        <x:v>TTC5MTT</x:v>
      </x:c>
      <x:c r="E138" s="120"/>
      <x:c r="F138" s="120" t="n">
        <x:v>70000</x:v>
      </x:c>
      <x:c r="G138" s="120" t="n">
        <x:v>70000</x:v>
      </x:c>
      <x:c r="H138" s="112" t="str">
        <x:v>BỔ SUNG GIÁ</x:v>
      </x:c>
      <x:c r="I138" s="112" t="n">
        <x:v>2600</x:v>
      </x:c>
      <x:c r="J138" s="112" t="str">
        <x:v>g</x:v>
      </x:c>
      <x:c r="K138" s="112" t="str">
        <x:v>HỘP</x:v>
      </x:c>
      <x:c r="L138" s="112" t="n">
        <x:v>16000</x:v>
      </x:c>
      <x:c r="M138" s="112" t="str">
        <x:v>g</x:v>
      </x:c>
      <x:c r="N138" s="112" t="str">
        <x:v>THÙNG</x:v>
      </x:c>
      <x:c r="O138" s="112" t="n">
        <x:v>6</x:v>
      </x:c>
      <x:c r="P138" s="112" t="str">
        <x:v>2600 g / HỘP</x:v>
      </x:c>
      <x:c r="Q138" s="112" t="str">
        <x:v>6 HỘP / THÙNG</x:v>
      </x:c>
      <x:c r="R138" s="112" t="n">
        <x:v>304</x:v>
      </x:c>
      <x:c r="S138" s="113" t="n">
        <x:v>305</x:v>
      </x:c>
    </x:row>
    <x:row r="139">
      <x:c r="A139" s="111" t="n">
        <x:v>139</x:v>
      </x:c>
      <x:c r="B139" s="112" t="str">
        <x:v>THẠCH CAFE HÙNG CHƯƠNG</x:v>
      </x:c>
      <x:c r="C139" s="112" t="str">
        <x:v>THCFHC</x:v>
      </x:c>
      <x:c r="D139" s="112" t="str">
        <x:v>THCFHCT</x:v>
      </x:c>
      <x:c r="E139" s="120"/>
      <x:c r="F139" s="120" t="n">
        <x:v>110000</x:v>
      </x:c>
      <x:c r="G139" s="120" t="n">
        <x:v>110000</x:v>
      </x:c>
      <x:c r="H139" s="112" t="str">
        <x:v>BỔ SUNG GIÁ</x:v>
      </x:c>
      <x:c r="I139" s="112" t="n">
        <x:v>2600</x:v>
      </x:c>
      <x:c r="J139" s="112" t="str">
        <x:v>g</x:v>
      </x:c>
      <x:c r="K139" s="112" t="str">
        <x:v>HỦ</x:v>
      </x:c>
      <x:c r="L139" s="112" t="n">
        <x:v>16000</x:v>
      </x:c>
      <x:c r="M139" s="112" t="str">
        <x:v>g</x:v>
      </x:c>
      <x:c r="N139" s="112" t="str">
        <x:v>THÙNG</x:v>
      </x:c>
      <x:c r="O139" s="112" t="n">
        <x:v>6</x:v>
      </x:c>
      <x:c r="P139" s="112" t="str">
        <x:v>2600 g / HỦ</x:v>
      </x:c>
      <x:c r="Q139" s="112" t="str">
        <x:v>6 HỦ / THÙNG</x:v>
      </x:c>
      <x:c r="R139" s="112" t="n">
        <x:v>306</x:v>
      </x:c>
      <x:c r="S139" s="113" t="n">
        <x:v>307</x:v>
      </x:c>
    </x:row>
    <x:row r="140">
      <x:c r="A140" s="111" t="n">
        <x:v>140</x:v>
      </x:c>
      <x:c r="B140" s="112" t="str">
        <x:v>THẠCH CÁ SÂM DỨA</x:v>
      </x:c>
      <x:c r="C140" s="112" t="str">
        <x:v>TCASDU</x:v>
      </x:c>
      <x:c r="D140" s="112" t="str">
        <x:v>TCASDUT</x:v>
      </x:c>
      <x:c r="E140" s="120"/>
      <x:c r="F140" s="120" t="n">
        <x:v>70000</x:v>
      </x:c>
      <x:c r="G140" s="120" t="n">
        <x:v>70000</x:v>
      </x:c>
      <x:c r="H140" s="112" t="str">
        <x:v>BỔ SUNG GIÁ</x:v>
      </x:c>
      <x:c r="I140" s="112" t="n">
        <x:v>2600</x:v>
      </x:c>
      <x:c r="J140" s="112" t="str">
        <x:v>g</x:v>
      </x:c>
      <x:c r="K140" s="112" t="str">
        <x:v>HỘP</x:v>
      </x:c>
      <x:c r="L140" s="112" t="n">
        <x:v>16000</x:v>
      </x:c>
      <x:c r="M140" s="112" t="str">
        <x:v>g</x:v>
      </x:c>
      <x:c r="N140" s="112" t="str">
        <x:v>THÙNG</x:v>
      </x:c>
      <x:c r="O140" s="112" t="n">
        <x:v>6</x:v>
      </x:c>
      <x:c r="P140" s="112" t="str">
        <x:v>2600 g / HỘP</x:v>
      </x:c>
      <x:c r="Q140" s="112" t="str">
        <x:v>6 HỘP / THÙNG</x:v>
      </x:c>
      <x:c r="R140" s="112" t="n">
        <x:v>308</x:v>
      </x:c>
      <x:c r="S140" s="113" t="n">
        <x:v>309</x:v>
      </x:c>
    </x:row>
    <x:row r="141">
      <x:c r="A141" s="111" t="n">
        <x:v>141</x:v>
      </x:c>
      <x:c r="B141" s="112" t="str">
        <x:v>THẠCH CÁ 4 MÀU</x:v>
      </x:c>
      <x:c r="C141" s="112" t="str">
        <x:v>TCA4MA</x:v>
      </x:c>
      <x:c r="D141" s="112" t="str">
        <x:v>TCA4MAT</x:v>
      </x:c>
      <x:c r="E141" s="120"/>
      <x:c r="F141" s="120" t="n">
        <x:v>70000</x:v>
      </x:c>
      <x:c r="G141" s="120" t="n">
        <x:v>70000</x:v>
      </x:c>
      <x:c r="H141" s="112" t="str">
        <x:v>BỔ SUNG GIÁ</x:v>
      </x:c>
      <x:c r="I141" s="112" t="n">
        <x:v>2600</x:v>
      </x:c>
      <x:c r="J141" s="112" t="str">
        <x:v>g</x:v>
      </x:c>
      <x:c r="K141" s="112" t="str">
        <x:v>HỘP</x:v>
      </x:c>
      <x:c r="L141" s="112" t="n">
        <x:v>16000</x:v>
      </x:c>
      <x:c r="M141" s="112" t="str">
        <x:v>g</x:v>
      </x:c>
      <x:c r="N141" s="112" t="str">
        <x:v>THÙNG</x:v>
      </x:c>
      <x:c r="O141" s="112" t="n">
        <x:v>6</x:v>
      </x:c>
      <x:c r="P141" s="112" t="str">
        <x:v>2600 g / HỘP</x:v>
      </x:c>
      <x:c r="Q141" s="112" t="str">
        <x:v>6 HỘP / THÙNG</x:v>
      </x:c>
      <x:c r="R141" s="112" t="n">
        <x:v>310</x:v>
      </x:c>
      <x:c r="S141" s="113" t="n">
        <x:v>311</x:v>
      </x:c>
    </x:row>
    <x:row r="142">
      <x:c r="A142" s="111" t="n">
        <x:v>142</x:v>
      </x:c>
      <x:c r="B142" s="112" t="str">
        <x:v>THẠCH BI SỮA</x:v>
      </x:c>
      <x:c r="C142" s="112" t="str">
        <x:v>THBISU</x:v>
      </x:c>
      <x:c r="D142" s="112" t="str">
        <x:v>THBISUT</x:v>
      </x:c>
      <x:c r="E142" s="120"/>
      <x:c r="F142" s="120" t="n">
        <x:v>70000</x:v>
      </x:c>
      <x:c r="G142" s="120" t="n">
        <x:v>70000</x:v>
      </x:c>
      <x:c r="H142" s="112" t="str">
        <x:v>BỔ SUNG GIÁ</x:v>
      </x:c>
      <x:c r="I142" s="112" t="n">
        <x:v>2600</x:v>
      </x:c>
      <x:c r="J142" s="112" t="str">
        <x:v>g</x:v>
      </x:c>
      <x:c r="K142" s="112" t="str">
        <x:v>HỘP</x:v>
      </x:c>
      <x:c r="L142" s="112" t="n">
        <x:v>16000</x:v>
      </x:c>
      <x:c r="M142" s="112" t="str">
        <x:v>g</x:v>
      </x:c>
      <x:c r="N142" s="112" t="str">
        <x:v>THÙNG</x:v>
      </x:c>
      <x:c r="O142" s="112" t="n">
        <x:v>6</x:v>
      </x:c>
      <x:c r="P142" s="112" t="str">
        <x:v>2600 g / HỘP</x:v>
      </x:c>
      <x:c r="Q142" s="112" t="str">
        <x:v>6 HỘP / THÙNG</x:v>
      </x:c>
      <x:c r="R142" s="112" t="n">
        <x:v>312</x:v>
      </x:c>
      <x:c r="S142" s="113" t="n">
        <x:v>313</x:v>
      </x:c>
    </x:row>
    <x:row r="143">
      <x:c r="A143" s="111" t="n">
        <x:v>143</x:v>
      </x:c>
      <x:c r="B143" s="112" t="str">
        <x:v>THẠCH BI ĐÀO</x:v>
      </x:c>
      <x:c r="C143" s="112" t="str">
        <x:v>THBIDO</x:v>
      </x:c>
      <x:c r="D143" s="112" t="str">
        <x:v>THBIDOT</x:v>
      </x:c>
      <x:c r="E143" s="120"/>
      <x:c r="F143" s="120" t="n">
        <x:v>70000</x:v>
      </x:c>
      <x:c r="G143" s="120" t="n">
        <x:v>70000</x:v>
      </x:c>
      <x:c r="H143" s="112" t="str">
        <x:v>BỔ SUNG GIÁ</x:v>
      </x:c>
      <x:c r="I143" s="112" t="n">
        <x:v>26</x:v>
      </x:c>
      <x:c r="J143" s="112" t="str">
        <x:v>g</x:v>
      </x:c>
      <x:c r="K143" s="112" t="str">
        <x:v>HỘP</x:v>
      </x:c>
      <x:c r="L143" s="112" t="n">
        <x:v>16000</x:v>
      </x:c>
      <x:c r="M143" s="112" t="str">
        <x:v>g</x:v>
      </x:c>
      <x:c r="N143" s="112" t="str">
        <x:v>THÙNG</x:v>
      </x:c>
      <x:c r="O143" s="112" t="n">
        <x:v>6</x:v>
      </x:c>
      <x:c r="P143" s="112" t="str">
        <x:v>26 g / HỘP</x:v>
      </x:c>
      <x:c r="Q143" s="112" t="str">
        <x:v>6 HỘP / THÙNG</x:v>
      </x:c>
      <x:c r="R143" s="112" t="n">
        <x:v>314</x:v>
      </x:c>
      <x:c r="S143" s="113" t="n">
        <x:v>315</x:v>
      </x:c>
    </x:row>
    <x:row r="144">
      <x:c r="A144" s="111" t="n">
        <x:v>144</x:v>
      </x:c>
      <x:c r="B144" s="112" t="str">
        <x:v>THẠCH BI CAFE</x:v>
      </x:c>
      <x:c r="C144" s="112" t="str">
        <x:v>THBICF</x:v>
      </x:c>
      <x:c r="D144" s="112" t="str">
        <x:v>THBICFT</x:v>
      </x:c>
      <x:c r="E144" s="120"/>
      <x:c r="F144" s="120" t="n">
        <x:v>70000</x:v>
      </x:c>
      <x:c r="G144" s="120" t="n">
        <x:v>70000</x:v>
      </x:c>
      <x:c r="H144" s="112" t="str">
        <x:v>BỔ SUNG GIÁ</x:v>
      </x:c>
      <x:c r="I144" s="112" t="n">
        <x:v>26</x:v>
      </x:c>
      <x:c r="J144" s="112" t="str">
        <x:v>g</x:v>
      </x:c>
      <x:c r="K144" s="112" t="str">
        <x:v>HỘP</x:v>
      </x:c>
      <x:c r="L144" s="112" t="n">
        <x:v>16000</x:v>
      </x:c>
      <x:c r="M144" s="112" t="str">
        <x:v>g</x:v>
      </x:c>
      <x:c r="N144" s="112" t="str">
        <x:v>THÙNG</x:v>
      </x:c>
      <x:c r="O144" s="112" t="n">
        <x:v>6</x:v>
      </x:c>
      <x:c r="P144" s="112" t="str">
        <x:v>26 g / HỘP</x:v>
      </x:c>
      <x:c r="Q144" s="112" t="str">
        <x:v>6 HỘP / THÙNG</x:v>
      </x:c>
      <x:c r="R144" s="112" t="n">
        <x:v>316</x:v>
      </x:c>
      <x:c r="S144" s="113" t="n">
        <x:v>317</x:v>
      </x:c>
    </x:row>
    <x:row r="145">
      <x:c r="A145" s="111" t="n">
        <x:v>145</x:v>
      </x:c>
      <x:c r="B145" s="112" t="str">
        <x:v>THẠCH BI 5 MÀU</x:v>
      </x:c>
      <x:c r="C145" s="112" t="str">
        <x:v>THBI5M</x:v>
      </x:c>
      <x:c r="D145" s="112" t="str">
        <x:v>THBI5MT</x:v>
      </x:c>
      <x:c r="E145" s="120"/>
      <x:c r="F145" s="120" t="n">
        <x:v>70000</x:v>
      </x:c>
      <x:c r="G145" s="120" t="n">
        <x:v>70000</x:v>
      </x:c>
      <x:c r="H145" s="112" t="str">
        <x:v>BỔ SUNG GIÁ</x:v>
      </x:c>
      <x:c r="I145" s="112" t="n">
        <x:v>26</x:v>
      </x:c>
      <x:c r="J145" s="112" t="str">
        <x:v>g</x:v>
      </x:c>
      <x:c r="K145" s="112" t="str">
        <x:v>HỘP</x:v>
      </x:c>
      <x:c r="L145" s="112" t="n">
        <x:v>16000</x:v>
      </x:c>
      <x:c r="M145" s="112" t="str">
        <x:v>g</x:v>
      </x:c>
      <x:c r="N145" s="112" t="str">
        <x:v>THÙNG</x:v>
      </x:c>
      <x:c r="O145" s="112" t="n">
        <x:v>6</x:v>
      </x:c>
      <x:c r="P145" s="112" t="str">
        <x:v>26 g / HỘP</x:v>
      </x:c>
      <x:c r="Q145" s="112" t="str">
        <x:v>6 HỘP / THÙNG</x:v>
      </x:c>
      <x:c r="R145" s="112" t="n">
        <x:v>318</x:v>
      </x:c>
      <x:c r="S145" s="113" t="n">
        <x:v>319</x:v>
      </x:c>
    </x:row>
    <x:row r="146">
      <x:c r="A146" s="111" t="n">
        <x:v>146</x:v>
      </x:c>
      <x:c r="B146" s="112" t="str">
        <x:v>THẠCH 3Q HỦ</x:v>
      </x:c>
      <x:c r="C146" s="112" t="str">
        <x:v>3QHUDX</x:v>
      </x:c>
      <x:c r="D146" s="112" t="str">
        <x:v>3QHUDXT</x:v>
      </x:c>
      <x:c r="E146" s="120" t="n">
        <x:v>70000</x:v>
      </x:c>
      <x:c r="F146" s="120" t="n">
        <x:v>70000</x:v>
      </x:c>
      <x:c r="G146" s="120" t="n">
        <x:v>70000</x:v>
      </x:c>
      <x:c r="H146" s="112" t="str">
        <x:v>GIỮ NGUYÊN - ĐÃ KHỚP</x:v>
      </x:c>
      <x:c r="I146" s="112" t="n">
        <x:v>2600</x:v>
      </x:c>
      <x:c r="J146" s="112" t="str">
        <x:v>g</x:v>
      </x:c>
      <x:c r="K146" s="112" t="str">
        <x:v>HỘP</x:v>
      </x:c>
      <x:c r="L146" s="112" t="n">
        <x:v>16000</x:v>
      </x:c>
      <x:c r="M146" s="112" t="str">
        <x:v>g</x:v>
      </x:c>
      <x:c r="N146" s="112" t="str">
        <x:v>THÙNG</x:v>
      </x:c>
      <x:c r="O146" s="112" t="n">
        <x:v>6</x:v>
      </x:c>
      <x:c r="P146" s="112" t="str">
        <x:v>2600 g / HỘP</x:v>
      </x:c>
      <x:c r="Q146" s="112" t="str">
        <x:v>6 HỘP / THÙNG</x:v>
      </x:c>
      <x:c r="R146" s="112" t="n">
        <x:v>321</x:v>
      </x:c>
      <x:c r="S146" s="113" t="n">
        <x:v>322</x:v>
      </x:c>
    </x:row>
    <x:row r="147">
      <x:c r="A147" s="111" t="n">
        <x:v>147</x:v>
      </x:c>
      <x:c r="B147" s="112" t="str">
        <x:v>THẠCH 3D XOÀI LỚN</x:v>
      </x:c>
      <x:c r="C147" s="112" t="str">
        <x:v>3DXOAL</x:v>
      </x:c>
      <x:c r="D147" s="112" t="str">
        <x:v>3DXOALT</x:v>
      </x:c>
      <x:c r="E147" s="120"/>
      <x:c r="F147" s="120" t="n">
        <x:v>70000</x:v>
      </x:c>
      <x:c r="G147" s="120" t="n">
        <x:v>70000</x:v>
      </x:c>
      <x:c r="H147" s="112" t="str">
        <x:v>BỔ SUNG GIÁ</x:v>
      </x:c>
      <x:c r="I147" s="112" t="n">
        <x:v>2600</x:v>
      </x:c>
      <x:c r="J147" s="112" t="str">
        <x:v>g</x:v>
      </x:c>
      <x:c r="K147" s="112" t="str">
        <x:v>HỘP</x:v>
      </x:c>
      <x:c r="L147" s="112" t="n">
        <x:v>16000</x:v>
      </x:c>
      <x:c r="M147" s="112" t="str">
        <x:v>g</x:v>
      </x:c>
      <x:c r="N147" s="112" t="str">
        <x:v>THÙNG</x:v>
      </x:c>
      <x:c r="O147" s="112" t="n">
        <x:v>6</x:v>
      </x:c>
      <x:c r="P147" s="112" t="str">
        <x:v>2600 g / HỘP</x:v>
      </x:c>
      <x:c r="Q147" s="112" t="str">
        <x:v>6 HỘP / THÙNG</x:v>
      </x:c>
      <x:c r="R147" s="112" t="n">
        <x:v>323</x:v>
      </x:c>
      <x:c r="S147" s="113" t="n">
        <x:v>324</x:v>
      </x:c>
    </x:row>
    <x:row r="148">
      <x:c r="A148" s="111" t="n">
        <x:v>148</x:v>
      </x:c>
      <x:c r="B148" s="112" t="str">
        <x:v>THẠCH 3D TRÁI CÂY NHỎ</x:v>
      </x:c>
      <x:c r="C148" s="112" t="str">
        <x:v>3DTCNH</x:v>
      </x:c>
      <x:c r="D148" s="112" t="str">
        <x:v>3DTCNHT</x:v>
      </x:c>
      <x:c r="E148" s="120"/>
      <x:c r="F148" s="120" t="n">
        <x:v>70000</x:v>
      </x:c>
      <x:c r="G148" s="120" t="n">
        <x:v>70000</x:v>
      </x:c>
      <x:c r="H148" s="112" t="str">
        <x:v>BỔ SUNG GIÁ</x:v>
      </x:c>
      <x:c r="I148" s="112" t="n">
        <x:v>2600</x:v>
      </x:c>
      <x:c r="J148" s="112" t="str">
        <x:v>g</x:v>
      </x:c>
      <x:c r="K148" s="112" t="str">
        <x:v>HỘP</x:v>
      </x:c>
      <x:c r="L148" s="112" t="n">
        <x:v>16000</x:v>
      </x:c>
      <x:c r="M148" s="112" t="str">
        <x:v>g</x:v>
      </x:c>
      <x:c r="N148" s="112" t="str">
        <x:v>THÙNG</x:v>
      </x:c>
      <x:c r="O148" s="112" t="n">
        <x:v>6</x:v>
      </x:c>
      <x:c r="P148" s="112" t="str">
        <x:v>2600 g / HỘP</x:v>
      </x:c>
      <x:c r="Q148" s="112" t="str">
        <x:v>6 HỘP / THÙNG</x:v>
      </x:c>
      <x:c r="R148" s="112" t="n">
        <x:v>325</x:v>
      </x:c>
      <x:c r="S148" s="113" t="n">
        <x:v>326</x:v>
      </x:c>
    </x:row>
    <x:row r="149">
      <x:c r="A149" s="111" t="n">
        <x:v>149</x:v>
      </x:c>
      <x:c r="B149" s="112" t="str">
        <x:v>THẠCH 3D TRÁI CÂY LỚN</x:v>
      </x:c>
      <x:c r="C149" s="112" t="str">
        <x:v>3DTCLN</x:v>
      </x:c>
      <x:c r="D149" s="112" t="str">
        <x:v>3DTCLNT</x:v>
      </x:c>
      <x:c r="E149" s="120"/>
      <x:c r="F149" s="120" t="n">
        <x:v>70000</x:v>
      </x:c>
      <x:c r="G149" s="120" t="n">
        <x:v>70000</x:v>
      </x:c>
      <x:c r="H149" s="112" t="str">
        <x:v>BỔ SUNG GIÁ</x:v>
      </x:c>
      <x:c r="I149" s="112" t="n">
        <x:v>26</x:v>
      </x:c>
      <x:c r="J149" s="112" t="str">
        <x:v>g</x:v>
      </x:c>
      <x:c r="K149" s="112" t="str">
        <x:v>HỘP</x:v>
      </x:c>
      <x:c r="L149" s="112" t="n">
        <x:v>16000</x:v>
      </x:c>
      <x:c r="M149" s="112" t="str">
        <x:v>g</x:v>
      </x:c>
      <x:c r="N149" s="112" t="str">
        <x:v>THÙNG</x:v>
      </x:c>
      <x:c r="O149" s="112" t="n">
        <x:v>6</x:v>
      </x:c>
      <x:c r="P149" s="112" t="str">
        <x:v>26 g / HỘP</x:v>
      </x:c>
      <x:c r="Q149" s="112" t="str">
        <x:v>6 HỘP / THÙNG</x:v>
      </x:c>
      <x:c r="R149" s="112" t="n">
        <x:v>327</x:v>
      </x:c>
      <x:c r="S149" s="113" t="n">
        <x:v>328</x:v>
      </x:c>
    </x:row>
    <x:row r="150">
      <x:c r="A150" s="111" t="n">
        <x:v>150</x:v>
      </x:c>
      <x:c r="B150" s="112" t="str">
        <x:v>THẠCH 3D SOCOLA LỚN</x:v>
      </x:c>
      <x:c r="C150" s="112" t="str">
        <x:v>3DSCLL</x:v>
      </x:c>
      <x:c r="D150" s="112" t="str">
        <x:v>3DSCLLT</x:v>
      </x:c>
      <x:c r="E150" s="120"/>
      <x:c r="F150" s="120" t="n">
        <x:v>70000</x:v>
      </x:c>
      <x:c r="G150" s="120" t="n">
        <x:v>70000</x:v>
      </x:c>
      <x:c r="H150" s="112" t="str">
        <x:v>BỔ SUNG GIÁ</x:v>
      </x:c>
      <x:c r="I150" s="112" t="n">
        <x:v>2600</x:v>
      </x:c>
      <x:c r="J150" s="112" t="str">
        <x:v>g</x:v>
      </x:c>
      <x:c r="K150" s="112" t="str">
        <x:v>HỘP</x:v>
      </x:c>
      <x:c r="L150" s="112" t="n">
        <x:v>16000</x:v>
      </x:c>
      <x:c r="M150" s="112" t="str">
        <x:v>g</x:v>
      </x:c>
      <x:c r="N150" s="112" t="str">
        <x:v>THÙNG</x:v>
      </x:c>
      <x:c r="O150" s="112" t="n">
        <x:v>6</x:v>
      </x:c>
      <x:c r="P150" s="112" t="str">
        <x:v>2600 g / HỘP</x:v>
      </x:c>
      <x:c r="Q150" s="112" t="str">
        <x:v>6 HỘP / THÙNG</x:v>
      </x:c>
      <x:c r="R150" s="112" t="n">
        <x:v>329</x:v>
      </x:c>
      <x:c r="S150" s="113" t="n">
        <x:v>330</x:v>
      </x:c>
    </x:row>
    <x:row r="151">
      <x:c r="A151" s="111" t="n">
        <x:v>151</x:v>
      </x:c>
      <x:c r="B151" s="112" t="str">
        <x:v>THẠCH 3D MATCHA NHỎ</x:v>
      </x:c>
      <x:c r="C151" s="112" t="str">
        <x:v>3DMATN</x:v>
      </x:c>
      <x:c r="D151" s="112" t="str">
        <x:v>3DMATNT</x:v>
      </x:c>
      <x:c r="E151" s="120"/>
      <x:c r="F151" s="120" t="n">
        <x:v>70000</x:v>
      </x:c>
      <x:c r="G151" s="120" t="n">
        <x:v>70000</x:v>
      </x:c>
      <x:c r="H151" s="112" t="str">
        <x:v>BỔ SUNG GIÁ</x:v>
      </x:c>
      <x:c r="I151" s="112" t="n">
        <x:v>2600</x:v>
      </x:c>
      <x:c r="J151" s="112" t="str">
        <x:v>g</x:v>
      </x:c>
      <x:c r="K151" s="112" t="str">
        <x:v>HỘP</x:v>
      </x:c>
      <x:c r="L151" s="112" t="n">
        <x:v>16000</x:v>
      </x:c>
      <x:c r="M151" s="112" t="str">
        <x:v>g</x:v>
      </x:c>
      <x:c r="N151" s="112" t="str">
        <x:v>THÙNG</x:v>
      </x:c>
      <x:c r="O151" s="112" t="n">
        <x:v>6</x:v>
      </x:c>
      <x:c r="P151" s="112" t="str">
        <x:v>2600 g / HỘP</x:v>
      </x:c>
      <x:c r="Q151" s="112" t="str">
        <x:v>6 HỘP / THÙNG</x:v>
      </x:c>
      <x:c r="R151" s="112" t="n">
        <x:v>331</x:v>
      </x:c>
      <x:c r="S151" s="113" t="n">
        <x:v>332</x:v>
      </x:c>
    </x:row>
    <x:row r="152">
      <x:c r="A152" s="111" t="n">
        <x:v>152</x:v>
      </x:c>
      <x:c r="B152" s="112" t="str">
        <x:v>THẠCH 3D MATCHA LỚN</x:v>
      </x:c>
      <x:c r="C152" s="112" t="str">
        <x:v>3DMATL</x:v>
      </x:c>
      <x:c r="D152" s="112" t="str">
        <x:v>3DMATLT</x:v>
      </x:c>
      <x:c r="E152" s="120"/>
      <x:c r="F152" s="120" t="n">
        <x:v>70000</x:v>
      </x:c>
      <x:c r="G152" s="120" t="n">
        <x:v>70000</x:v>
      </x:c>
      <x:c r="H152" s="112" t="str">
        <x:v>BỔ SUNG GIÁ</x:v>
      </x:c>
      <x:c r="I152" s="112" t="n">
        <x:v>2600</x:v>
      </x:c>
      <x:c r="J152" s="112" t="str">
        <x:v>g</x:v>
      </x:c>
      <x:c r="K152" s="112" t="str">
        <x:v>HỘP</x:v>
      </x:c>
      <x:c r="L152" s="112" t="n">
        <x:v>16000</x:v>
      </x:c>
      <x:c r="M152" s="112" t="str">
        <x:v>g</x:v>
      </x:c>
      <x:c r="N152" s="112" t="str">
        <x:v>THÙNG</x:v>
      </x:c>
      <x:c r="O152" s="112" t="n">
        <x:v>6</x:v>
      </x:c>
      <x:c r="P152" s="112" t="str">
        <x:v>2600 g / HỘP</x:v>
      </x:c>
      <x:c r="Q152" s="112" t="str">
        <x:v>6 HỘP / THÙNG</x:v>
      </x:c>
      <x:c r="R152" s="112" t="n">
        <x:v>333</x:v>
      </x:c>
      <x:c r="S152" s="113" t="n">
        <x:v>334</x:v>
      </x:c>
    </x:row>
    <x:row r="153">
      <x:c r="A153" s="111" t="n">
        <x:v>153</x:v>
      </x:c>
      <x:c r="B153" s="112" t="str">
        <x:v>THẠCH MH 3D DƯA XANH</x:v>
      </x:c>
      <x:c r="C153" s="112" t="str">
        <x:v>3DMHDX</x:v>
      </x:c>
      <x:c r="D153" s="112" t="str">
        <x:v>3DMHDXT</x:v>
      </x:c>
      <x:c r="E153" s="120"/>
      <x:c r="F153" s="120" t="n">
        <x:v>46000</x:v>
      </x:c>
      <x:c r="G153" s="120" t="n">
        <x:v>46000</x:v>
      </x:c>
      <x:c r="H153" s="112" t="str">
        <x:v>BỔ SUNG GIÁ</x:v>
      </x:c>
      <x:c r="I153" s="112" t="n">
        <x:v>2500</x:v>
      </x:c>
      <x:c r="J153" s="112" t="str">
        <x:v>g</x:v>
      </x:c>
      <x:c r="K153" s="112" t="str">
        <x:v>HỦ</x:v>
      </x:c>
      <x:c r="L153" s="112" t="n">
        <x:v>21000</x:v>
      </x:c>
      <x:c r="M153" s="112" t="str">
        <x:v>g</x:v>
      </x:c>
      <x:c r="N153" s="112" t="str">
        <x:v>THÙNG</x:v>
      </x:c>
      <x:c r="O153" s="112" t="n">
        <x:v>8</x:v>
      </x:c>
      <x:c r="P153" s="112" t="str">
        <x:v>2500 g / HỦ</x:v>
      </x:c>
      <x:c r="Q153" s="112" t="str">
        <x:v>8 HỦ / THÙNG</x:v>
      </x:c>
      <x:c r="R153" s="112" t="n">
        <x:v>335</x:v>
      </x:c>
      <x:c r="S153" s="113" t="n">
        <x:v>336</x:v>
      </x:c>
    </x:row>
    <x:row r="154">
      <x:c r="A154" s="111" t="n">
        <x:v>154</x:v>
      </x:c>
      <x:c r="B154" s="112" t="str">
        <x:v>THẠCH MH 3D DƯA VÀNG</x:v>
      </x:c>
      <x:c r="C154" s="112" t="str">
        <x:v>3DMHDV</x:v>
      </x:c>
      <x:c r="D154" s="112" t="str">
        <x:v>3DMHDVT</x:v>
      </x:c>
      <x:c r="E154" s="120"/>
      <x:c r="F154" s="120" t="n">
        <x:v>46000</x:v>
      </x:c>
      <x:c r="G154" s="120" t="n">
        <x:v>46000</x:v>
      </x:c>
      <x:c r="H154" s="112" t="str">
        <x:v>BỔ SUNG GIÁ</x:v>
      </x:c>
      <x:c r="I154" s="112" t="n">
        <x:v>25000</x:v>
      </x:c>
      <x:c r="J154" s="112" t="str">
        <x:v>g</x:v>
      </x:c>
      <x:c r="K154" s="112" t="str">
        <x:v>HỦ</x:v>
      </x:c>
      <x:c r="L154" s="112" t="n">
        <x:v>21000</x:v>
      </x:c>
      <x:c r="M154" s="112" t="str">
        <x:v>g</x:v>
      </x:c>
      <x:c r="N154" s="112" t="str">
        <x:v>THÙNG</x:v>
      </x:c>
      <x:c r="O154" s="112" t="n">
        <x:v>8</x:v>
      </x:c>
      <x:c r="P154" s="112" t="str">
        <x:v>25000 g / HỦ</x:v>
      </x:c>
      <x:c r="Q154" s="112" t="str">
        <x:v>8 HỦ / THÙNG</x:v>
      </x:c>
      <x:c r="R154" s="112" t="n">
        <x:v>337</x:v>
      </x:c>
      <x:c r="S154" s="113" t="n">
        <x:v>338</x:v>
      </x:c>
    </x:row>
    <x:row r="155">
      <x:c r="A155" s="111" t="n">
        <x:v>155</x:v>
      </x:c>
      <x:c r="B155" s="112" t="str">
        <x:v>THẠCH 3D DỪA NHỎ</x:v>
      </x:c>
      <x:c r="C155" s="112" t="str">
        <x:v>3DDUAN</x:v>
      </x:c>
      <x:c r="D155" s="112" t="str">
        <x:v>3DDUANT</x:v>
      </x:c>
      <x:c r="E155" s="120"/>
      <x:c r="F155" s="120" t="n">
        <x:v>70000</x:v>
      </x:c>
      <x:c r="G155" s="120" t="n">
        <x:v>70000</x:v>
      </x:c>
      <x:c r="H155" s="112" t="str">
        <x:v>BỔ SUNG GIÁ</x:v>
      </x:c>
      <x:c r="I155" s="112" t="n">
        <x:v>26</x:v>
      </x:c>
      <x:c r="J155" s="112" t="str">
        <x:v>g</x:v>
      </x:c>
      <x:c r="K155" s="112" t="str">
        <x:v>HỘP</x:v>
      </x:c>
      <x:c r="L155" s="112" t="n">
        <x:v>16000</x:v>
      </x:c>
      <x:c r="M155" s="112" t="str">
        <x:v>g</x:v>
      </x:c>
      <x:c r="N155" s="112" t="str">
        <x:v>THÙNG</x:v>
      </x:c>
      <x:c r="O155" s="112" t="n">
        <x:v>6</x:v>
      </x:c>
      <x:c r="P155" s="112" t="str">
        <x:v>26 g / HỘP</x:v>
      </x:c>
      <x:c r="Q155" s="112" t="str">
        <x:v>6 HỘP / THÙNG</x:v>
      </x:c>
      <x:c r="R155" s="112" t="n">
        <x:v>339</x:v>
      </x:c>
      <x:c r="S155" s="113" t="n">
        <x:v>340</x:v>
      </x:c>
    </x:row>
    <x:row r="156">
      <x:c r="A156" s="111" t="n">
        <x:v>156</x:v>
      </x:c>
      <x:c r="B156" s="112" t="str">
        <x:v>THẠCH MH 3D DỪA</x:v>
      </x:c>
      <x:c r="C156" s="112" t="str">
        <x:v>3DMHDU</x:v>
      </x:c>
      <x:c r="D156" s="112" t="str">
        <x:v>3DMHDUT</x:v>
      </x:c>
      <x:c r="E156" s="120"/>
      <x:c r="F156" s="120" t="n">
        <x:v>46000</x:v>
      </x:c>
      <x:c r="G156" s="120" t="n">
        <x:v>46000</x:v>
      </x:c>
      <x:c r="H156" s="112" t="str">
        <x:v>BỔ SUNG GIÁ</x:v>
      </x:c>
      <x:c r="I156" s="112" t="n">
        <x:v>2500</x:v>
      </x:c>
      <x:c r="J156" s="112" t="str">
        <x:v>g</x:v>
      </x:c>
      <x:c r="K156" s="112" t="str">
        <x:v>HỦ</x:v>
      </x:c>
      <x:c r="L156" s="112" t="n">
        <x:v>21000</x:v>
      </x:c>
      <x:c r="M156" s="112" t="str">
        <x:v>g</x:v>
      </x:c>
      <x:c r="N156" s="112" t="str">
        <x:v>THÙNG</x:v>
      </x:c>
      <x:c r="O156" s="112" t="n">
        <x:v>8</x:v>
      </x:c>
      <x:c r="P156" s="112" t="str">
        <x:v>2500 g / HỦ</x:v>
      </x:c>
      <x:c r="Q156" s="112" t="str">
        <x:v>8 HỦ / THÙNG</x:v>
      </x:c>
      <x:c r="R156" s="112" t="n">
        <x:v>341</x:v>
      </x:c>
      <x:c r="S156" s="113" t="n">
        <x:v>342</x:v>
      </x:c>
    </x:row>
    <x:row r="157">
      <x:c r="A157" s="111" t="n">
        <x:v>157</x:v>
      </x:c>
      <x:c r="B157" s="112" t="str">
        <x:v>THẠCH 3D DỪA LỚN</x:v>
      </x:c>
      <x:c r="C157" s="112" t="str">
        <x:v>3DDUAL</x:v>
      </x:c>
      <x:c r="D157" s="112" t="str">
        <x:v>3DDUALT</x:v>
      </x:c>
      <x:c r="E157" s="120"/>
      <x:c r="F157" s="120" t="n">
        <x:v>70000</x:v>
      </x:c>
      <x:c r="G157" s="120" t="n">
        <x:v>70000</x:v>
      </x:c>
      <x:c r="H157" s="112" t="str">
        <x:v>BỔ SUNG GIÁ</x:v>
      </x:c>
      <x:c r="I157" s="112" t="n">
        <x:v>2600</x:v>
      </x:c>
      <x:c r="J157" s="112" t="str">
        <x:v>g</x:v>
      </x:c>
      <x:c r="K157" s="112" t="str">
        <x:v>HỘP</x:v>
      </x:c>
      <x:c r="L157" s="112" t="n">
        <x:v>16000</x:v>
      </x:c>
      <x:c r="M157" s="112" t="str">
        <x:v>g</x:v>
      </x:c>
      <x:c r="N157" s="112" t="str">
        <x:v>THÙNG</x:v>
      </x:c>
      <x:c r="O157" s="112" t="n">
        <x:v>6</x:v>
      </x:c>
      <x:c r="P157" s="112" t="str">
        <x:v>2600 g / HỘP</x:v>
      </x:c>
      <x:c r="Q157" s="112" t="str">
        <x:v>6 HỘP / THÙNG</x:v>
      </x:c>
      <x:c r="R157" s="112" t="n">
        <x:v>343</x:v>
      </x:c>
      <x:c r="S157" s="113" t="n">
        <x:v>344</x:v>
      </x:c>
    </x:row>
    <x:row r="158">
      <x:c r="A158" s="111" t="n">
        <x:v>158</x:v>
      </x:c>
      <x:c r="B158" s="112" t="str">
        <x:v>THẠCH MH 3D DÂU</x:v>
      </x:c>
      <x:c r="C158" s="112" t="str">
        <x:v>3DMHDA</x:v>
      </x:c>
      <x:c r="D158" s="112" t="str">
        <x:v>3DMHDAT</x:v>
      </x:c>
      <x:c r="E158" s="120"/>
      <x:c r="F158" s="120" t="n">
        <x:v>46000</x:v>
      </x:c>
      <x:c r="G158" s="120" t="n">
        <x:v>46000</x:v>
      </x:c>
      <x:c r="H158" s="112" t="str">
        <x:v>BỔ SUNG GIÁ</x:v>
      </x:c>
      <x:c r="I158" s="112" t="n">
        <x:v>25</x:v>
      </x:c>
      <x:c r="J158" s="112" t="str">
        <x:v>g</x:v>
      </x:c>
      <x:c r="K158" s="112" t="str">
        <x:v>HỦ</x:v>
      </x:c>
      <x:c r="L158" s="112" t="n">
        <x:v>21000</x:v>
      </x:c>
      <x:c r="M158" s="112" t="str">
        <x:v>g</x:v>
      </x:c>
      <x:c r="N158" s="112" t="str">
        <x:v>THÙNG</x:v>
      </x:c>
      <x:c r="O158" s="112" t="n">
        <x:v>8</x:v>
      </x:c>
      <x:c r="P158" s="112" t="str">
        <x:v>25 g / HỦ</x:v>
      </x:c>
      <x:c r="Q158" s="112" t="str">
        <x:v>8 HỦ / THÙNG</x:v>
      </x:c>
      <x:c r="R158" s="112" t="n">
        <x:v>345</x:v>
      </x:c>
      <x:c r="S158" s="113" t="n">
        <x:v>346</x:v>
      </x:c>
    </x:row>
    <x:row r="159">
      <x:c r="A159" s="111" t="n">
        <x:v>159</x:v>
      </x:c>
      <x:c r="B159" s="112" t="str">
        <x:v>THẠCH 3D DÂU LỚN</x:v>
      </x:c>
      <x:c r="C159" s="112" t="str">
        <x:v>3DDAUL</x:v>
      </x:c>
      <x:c r="D159" s="112" t="str">
        <x:v>3DDAULT</x:v>
      </x:c>
      <x:c r="E159" s="120"/>
      <x:c r="F159" s="120" t="n">
        <x:v>70000</x:v>
      </x:c>
      <x:c r="G159" s="120" t="n">
        <x:v>70000</x:v>
      </x:c>
      <x:c r="H159" s="112" t="str">
        <x:v>BỔ SUNG GIÁ</x:v>
      </x:c>
      <x:c r="I159" s="112" t="n">
        <x:v>2600</x:v>
      </x:c>
      <x:c r="J159" s="112" t="str">
        <x:v>g</x:v>
      </x:c>
      <x:c r="K159" s="112" t="str">
        <x:v>HỘP</x:v>
      </x:c>
      <x:c r="L159" s="112" t="n">
        <x:v>16000</x:v>
      </x:c>
      <x:c r="M159" s="112" t="str">
        <x:v>g</x:v>
      </x:c>
      <x:c r="N159" s="112" t="str">
        <x:v>THÙNG</x:v>
      </x:c>
      <x:c r="O159" s="112" t="n">
        <x:v>6</x:v>
      </x:c>
      <x:c r="P159" s="112" t="str">
        <x:v>2600 g / HỘP</x:v>
      </x:c>
      <x:c r="Q159" s="112" t="str">
        <x:v>6 HỘP / THÙNG</x:v>
      </x:c>
      <x:c r="R159" s="112" t="n">
        <x:v>347</x:v>
      </x:c>
      <x:c r="S159" s="113" t="n">
        <x:v>348</x:v>
      </x:c>
    </x:row>
    <x:row r="160">
      <x:c r="A160" s="111" t="n">
        <x:v>160</x:v>
      </x:c>
      <x:c r="B160" s="112" t="str">
        <x:v>THẠCH MH 3D CỐM</x:v>
      </x:c>
      <x:c r="C160" s="112" t="str">
        <x:v>3DMHCO</x:v>
      </x:c>
      <x:c r="D160" s="112" t="str">
        <x:v>3DMHCOT</x:v>
      </x:c>
      <x:c r="E160" s="120"/>
      <x:c r="F160" s="120" t="n">
        <x:v>46000</x:v>
      </x:c>
      <x:c r="G160" s="120" t="n">
        <x:v>46000</x:v>
      </x:c>
      <x:c r="H160" s="112" t="str">
        <x:v>BỔ SUNG GIÁ</x:v>
      </x:c>
      <x:c r="I160" s="112" t="n">
        <x:v>2500</x:v>
      </x:c>
      <x:c r="J160" s="112" t="str">
        <x:v>g</x:v>
      </x:c>
      <x:c r="K160" s="112" t="str">
        <x:v>HỦ</x:v>
      </x:c>
      <x:c r="L160" s="112" t="n">
        <x:v>21000</x:v>
      </x:c>
      <x:c r="M160" s="112" t="str">
        <x:v>g</x:v>
      </x:c>
      <x:c r="N160" s="112" t="str">
        <x:v>THÙNG</x:v>
      </x:c>
      <x:c r="O160" s="112" t="n">
        <x:v>8</x:v>
      </x:c>
      <x:c r="P160" s="112" t="str">
        <x:v>2500 g / HỦ</x:v>
      </x:c>
      <x:c r="Q160" s="112" t="str">
        <x:v>8 HỦ / THÙNG</x:v>
      </x:c>
      <x:c r="R160" s="112" t="n">
        <x:v>349</x:v>
      </x:c>
      <x:c r="S160" s="113" t="n">
        <x:v>350</x:v>
      </x:c>
    </x:row>
    <x:row r="161">
      <x:c r="A161" s="111" t="n">
        <x:v>161</x:v>
      </x:c>
      <x:c r="B161" s="112" t="str">
        <x:v>THẠCH 3D CAFE LỚN</x:v>
      </x:c>
      <x:c r="C161" s="112" t="str">
        <x:v>3DCFEL</x:v>
      </x:c>
      <x:c r="D161" s="112" t="str">
        <x:v>3DCFELT</x:v>
      </x:c>
      <x:c r="E161" s="120"/>
      <x:c r="F161" s="120" t="n">
        <x:v>70000</x:v>
      </x:c>
      <x:c r="G161" s="120" t="n">
        <x:v>70000</x:v>
      </x:c>
      <x:c r="H161" s="112" t="str">
        <x:v>BỔ SUNG GIÁ</x:v>
      </x:c>
      <x:c r="I161" s="112" t="n">
        <x:v>26</x:v>
      </x:c>
      <x:c r="J161" s="112" t="str">
        <x:v>g</x:v>
      </x:c>
      <x:c r="K161" s="112" t="str">
        <x:v>HỘP</x:v>
      </x:c>
      <x:c r="L161" s="112" t="n">
        <x:v>16000</x:v>
      </x:c>
      <x:c r="M161" s="112" t="str">
        <x:v>g</x:v>
      </x:c>
      <x:c r="N161" s="112" t="str">
        <x:v>THÙNG</x:v>
      </x:c>
      <x:c r="O161" s="112" t="n">
        <x:v>6</x:v>
      </x:c>
      <x:c r="P161" s="112" t="str">
        <x:v>26 g / HỘP</x:v>
      </x:c>
      <x:c r="Q161" s="112" t="str">
        <x:v>6 HỘP / THÙNG</x:v>
      </x:c>
      <x:c r="R161" s="112" t="n">
        <x:v>351</x:v>
      </x:c>
      <x:c r="S161" s="113" t="n">
        <x:v>352</x:v>
      </x:c>
    </x:row>
    <x:row r="162">
      <x:c r="A162" s="111" t="n">
        <x:v>162</x:v>
      </x:c>
      <x:c r="B162" s="112" t="str">
        <x:v>TƯƠNG HÀN</x:v>
      </x:c>
      <x:c r="C162" s="112" t="str">
        <x:v>TGHANN</x:v>
      </x:c>
      <x:c r="D162" s="112" t="str">
        <x:v>TGHANNT</x:v>
      </x:c>
      <x:c r="E162" s="120"/>
      <x:c r="F162" s="120" t="n">
        <x:v>65000</x:v>
      </x:c>
      <x:c r="G162" s="120" t="n">
        <x:v>65000</x:v>
      </x:c>
      <x:c r="H162" s="112" t="str">
        <x:v>BỔ SUNG GIÁ</x:v>
      </x:c>
      <x:c r="I162" s="112" t="n">
        <x:v>1000</x:v>
      </x:c>
      <x:c r="J162" s="112" t="str">
        <x:v>g</x:v>
      </x:c>
      <x:c r="K162" s="112" t="str">
        <x:v>KG</x:v>
      </x:c>
      <x:c r="L162" s="112" t="n">
        <x:v>14000</x:v>
      </x:c>
      <x:c r="M162" s="112" t="str">
        <x:v>g</x:v>
      </x:c>
      <x:c r="N162" s="112" t="str">
        <x:v>THÙNG</x:v>
      </x:c>
      <x:c r="O162" s="112" t="n">
        <x:v>14</x:v>
      </x:c>
      <x:c r="P162" s="112" t="str">
        <x:v>1000 g / KG</x:v>
      </x:c>
      <x:c r="Q162" s="112" t="str">
        <x:v>14 KG / THÙNG</x:v>
      </x:c>
      <x:c r="R162" s="112" t="n">
        <x:v>355</x:v>
      </x:c>
      <x:c r="S162" s="113" t="n">
        <x:v>356</x:v>
      </x:c>
    </x:row>
    <x:row r="163">
      <x:c r="A163" s="111" t="n">
        <x:v>163</x:v>
      </x:c>
      <x:c r="B163" s="112" t="str">
        <x:v>TORANI VIỆT QUỐC</x:v>
      </x:c>
      <x:c r="C163" s="112" t="str">
        <x:v>TORVQU</x:v>
      </x:c>
      <x:c r="D163" s="112" t="str">
        <x:v>TORVQUT</x:v>
      </x:c>
      <x:c r="E163" s="120" t="n">
        <x:v>180000</x:v>
      </x:c>
      <x:c r="F163" s="120" t="n">
        <x:v>180000</x:v>
      </x:c>
      <x:c r="G163" s="120" t="n">
        <x:v>180000</x:v>
      </x:c>
      <x:c r="H163" s="112" t="str">
        <x:v>GIỮ NGUYÊN - ĐÃ KHỚP</x:v>
      </x:c>
      <x:c r="I163" s="112" t="n">
        <x:v>1500</x:v>
      </x:c>
      <x:c r="J163" s="112" t="str">
        <x:v>g</x:v>
      </x:c>
      <x:c r="K163" s="112" t="str">
        <x:v>CHAI</x:v>
      </x:c>
      <x:c r="L163" s="112" t="n">
        <x:v>16000</x:v>
      </x:c>
      <x:c r="M163" s="112" t="str">
        <x:v>g</x:v>
      </x:c>
      <x:c r="N163" s="112" t="str">
        <x:v>THÙNG</x:v>
      </x:c>
      <x:c r="O163" s="112" t="n">
        <x:v>12</x:v>
      </x:c>
      <x:c r="P163" s="112" t="str">
        <x:v>1500 g / CHAI</x:v>
      </x:c>
      <x:c r="Q163" s="112" t="str">
        <x:v>12 CHAI / THÙNG</x:v>
      </x:c>
      <x:c r="R163" s="112" t="n">
        <x:v>360</x:v>
      </x:c>
      <x:c r="S163" s="113" t="n">
        <x:v>361</x:v>
      </x:c>
    </x:row>
    <x:row r="164">
      <x:c r="A164" s="111" t="n">
        <x:v>164</x:v>
      </x:c>
      <x:c r="B164" s="112" t="str">
        <x:v>TORANI VẢI</x:v>
      </x:c>
      <x:c r="C164" s="112" t="str">
        <x:v>TORVAI</x:v>
      </x:c>
      <x:c r="D164" s="112" t="str">
        <x:v>TORVAIT</x:v>
      </x:c>
      <x:c r="E164" s="120" t="n">
        <x:v>180000</x:v>
      </x:c>
      <x:c r="F164" s="120" t="n">
        <x:v>180000</x:v>
      </x:c>
      <x:c r="G164" s="120" t="n">
        <x:v>180000</x:v>
      </x:c>
      <x:c r="H164" s="112" t="str">
        <x:v>GIỮ NGUYÊN - ĐÃ KHỚP</x:v>
      </x:c>
      <x:c r="I164" s="112" t="n">
        <x:v>1500</x:v>
      </x:c>
      <x:c r="J164" s="112" t="str">
        <x:v>g</x:v>
      </x:c>
      <x:c r="K164" s="112" t="str">
        <x:v>CHAI</x:v>
      </x:c>
      <x:c r="L164" s="112" t="n">
        <x:v>16000</x:v>
      </x:c>
      <x:c r="M164" s="112" t="str">
        <x:v>g</x:v>
      </x:c>
      <x:c r="N164" s="112" t="str">
        <x:v>THÙNG</x:v>
      </x:c>
      <x:c r="O164" s="112" t="n">
        <x:v>12</x:v>
      </x:c>
      <x:c r="P164" s="112" t="str">
        <x:v>1500 g / CHAI</x:v>
      </x:c>
      <x:c r="Q164" s="112" t="str">
        <x:v>12 CHAI / THÙNG</x:v>
      </x:c>
      <x:c r="R164" s="112" t="n">
        <x:v>362</x:v>
      </x:c>
      <x:c r="S164" s="113" t="n">
        <x:v>363</x:v>
      </x:c>
    </x:row>
    <x:row r="165">
      <x:c r="A165" s="111" t="n">
        <x:v>165</x:v>
      </x:c>
      <x:c r="B165" s="112" t="str">
        <x:v>TORANI TÁO</x:v>
      </x:c>
      <x:c r="C165" s="112" t="str">
        <x:v>TORTAO</x:v>
      </x:c>
      <x:c r="D165" s="112" t="str">
        <x:v>TORTAOT</x:v>
      </x:c>
      <x:c r="E165" s="120" t="n">
        <x:v>180000</x:v>
      </x:c>
      <x:c r="F165" s="120" t="n">
        <x:v>180000</x:v>
      </x:c>
      <x:c r="G165" s="120" t="n">
        <x:v>180000</x:v>
      </x:c>
      <x:c r="H165" s="112" t="str">
        <x:v>GIỮ NGUYÊN - ĐÃ KHỚP</x:v>
      </x:c>
      <x:c r="I165" s="112" t="n">
        <x:v>1500</x:v>
      </x:c>
      <x:c r="J165" s="112" t="str">
        <x:v>g</x:v>
      </x:c>
      <x:c r="K165" s="112" t="str">
        <x:v>CHAI</x:v>
      </x:c>
      <x:c r="L165" s="112" t="n">
        <x:v>16000</x:v>
      </x:c>
      <x:c r="M165" s="112" t="str">
        <x:v>g</x:v>
      </x:c>
      <x:c r="N165" s="112" t="str">
        <x:v>THÙNG</x:v>
      </x:c>
      <x:c r="O165" s="112" t="n">
        <x:v>12</x:v>
      </x:c>
      <x:c r="P165" s="112" t="str">
        <x:v>1500 g / CHAI</x:v>
      </x:c>
      <x:c r="Q165" s="112" t="str">
        <x:v>12 CHAI / THÙNG</x:v>
      </x:c>
      <x:c r="R165" s="112" t="n">
        <x:v>364</x:v>
      </x:c>
      <x:c r="S165" s="113" t="n">
        <x:v>365</x:v>
      </x:c>
    </x:row>
    <x:row r="166">
      <x:c r="A166" s="111" t="n">
        <x:v>166</x:v>
      </x:c>
      <x:c r="B166" s="112" t="str">
        <x:v>TORANI ỔI</x:v>
      </x:c>
      <x:c r="C166" s="112" t="str">
        <x:v>TOROIH</x:v>
      </x:c>
      <x:c r="D166" s="112" t="str">
        <x:v>TOROIHT</x:v>
      </x:c>
      <x:c r="E166" s="120" t="n">
        <x:v>180000</x:v>
      </x:c>
      <x:c r="F166" s="120" t="n">
        <x:v>180000</x:v>
      </x:c>
      <x:c r="G166" s="120" t="n">
        <x:v>180000</x:v>
      </x:c>
      <x:c r="H166" s="112" t="str">
        <x:v>GIỮ NGUYÊN - ĐÃ KHỚP</x:v>
      </x:c>
      <x:c r="I166" s="112" t="n">
        <x:v>1500</x:v>
      </x:c>
      <x:c r="J166" s="112" t="str">
        <x:v>g</x:v>
      </x:c>
      <x:c r="K166" s="112" t="str">
        <x:v>CHAI</x:v>
      </x:c>
      <x:c r="L166" s="112" t="n">
        <x:v>16000</x:v>
      </x:c>
      <x:c r="M166" s="112" t="str">
        <x:v>g</x:v>
      </x:c>
      <x:c r="N166" s="112" t="str">
        <x:v>THÙNG</x:v>
      </x:c>
      <x:c r="O166" s="112" t="n">
        <x:v>12</x:v>
      </x:c>
      <x:c r="P166" s="112" t="str">
        <x:v>1500 g / CHAI</x:v>
      </x:c>
      <x:c r="Q166" s="112" t="str">
        <x:v>12 CHAI / THÙNG</x:v>
      </x:c>
      <x:c r="R166" s="112" t="n">
        <x:v>366</x:v>
      </x:c>
      <x:c r="S166" s="113" t="n">
        <x:v>367</x:v>
      </x:c>
    </x:row>
    <x:row r="167">
      <x:c r="A167" s="111" t="n">
        <x:v>167</x:v>
      </x:c>
      <x:c r="B167" s="112" t="str">
        <x:v>TORANI NHÃN</x:v>
      </x:c>
      <x:c r="C167" s="112" t="str">
        <x:v>TORNHA</x:v>
      </x:c>
      <x:c r="D167" s="112" t="str">
        <x:v>TORNHAT</x:v>
      </x:c>
      <x:c r="E167" s="120" t="n">
        <x:v>180000</x:v>
      </x:c>
      <x:c r="F167" s="120" t="n">
        <x:v>180000</x:v>
      </x:c>
      <x:c r="G167" s="120" t="n">
        <x:v>180000</x:v>
      </x:c>
      <x:c r="H167" s="112" t="str">
        <x:v>GIỮ NGUYÊN - ĐÃ KHỚP</x:v>
      </x:c>
      <x:c r="I167" s="112" t="n">
        <x:v>1500</x:v>
      </x:c>
      <x:c r="J167" s="112" t="str">
        <x:v>g</x:v>
      </x:c>
      <x:c r="K167" s="112" t="str">
        <x:v>CHAI</x:v>
      </x:c>
      <x:c r="L167" s="112" t="n">
        <x:v>16000</x:v>
      </x:c>
      <x:c r="M167" s="112" t="str">
        <x:v>g</x:v>
      </x:c>
      <x:c r="N167" s="112" t="str">
        <x:v>THÙNG</x:v>
      </x:c>
      <x:c r="O167" s="112" t="n">
        <x:v>12</x:v>
      </x:c>
      <x:c r="P167" s="112" t="str">
        <x:v>1500 g / CHAI</x:v>
      </x:c>
      <x:c r="Q167" s="112" t="str">
        <x:v>12 CHAI / THÙNG</x:v>
      </x:c>
      <x:c r="R167" s="112" t="n">
        <x:v>368</x:v>
      </x:c>
      <x:c r="S167" s="113" t="n">
        <x:v>369</x:v>
      </x:c>
    </x:row>
    <x:row r="168">
      <x:c r="A168" s="111" t="n">
        <x:v>168</x:v>
      </x:c>
      <x:c r="B168" s="112" t="str">
        <x:v>TORANI MOJITO</x:v>
      </x:c>
      <x:c r="C168" s="112" t="str">
        <x:v>TORMJT</x:v>
      </x:c>
      <x:c r="D168" s="112" t="str">
        <x:v>TORMJTT</x:v>
      </x:c>
      <x:c r="E168" s="120" t="n">
        <x:v>180000</x:v>
      </x:c>
      <x:c r="F168" s="120" t="n">
        <x:v>180000</x:v>
      </x:c>
      <x:c r="G168" s="120" t="n">
        <x:v>180000</x:v>
      </x:c>
      <x:c r="H168" s="112" t="str">
        <x:v>GIỮ NGUYÊN - ĐÃ KHỚP</x:v>
      </x:c>
      <x:c r="I168" s="112" t="n">
        <x:v>1500</x:v>
      </x:c>
      <x:c r="J168" s="112" t="str">
        <x:v>g</x:v>
      </x:c>
      <x:c r="K168" s="112" t="str">
        <x:v>CHAI</x:v>
      </x:c>
      <x:c r="L168" s="112" t="n">
        <x:v>16000</x:v>
      </x:c>
      <x:c r="M168" s="112" t="str">
        <x:v>g</x:v>
      </x:c>
      <x:c r="N168" s="112" t="str">
        <x:v>THÙNG</x:v>
      </x:c>
      <x:c r="O168" s="112" t="n">
        <x:v>12</x:v>
      </x:c>
      <x:c r="P168" s="112" t="str">
        <x:v>1500 g / CHAI</x:v>
      </x:c>
      <x:c r="Q168" s="112" t="str">
        <x:v>12 CHAI / THÙNG</x:v>
      </x:c>
      <x:c r="R168" s="112" t="n">
        <x:v>370</x:v>
      </x:c>
      <x:c r="S168" s="113" t="n">
        <x:v>371</x:v>
      </x:c>
    </x:row>
    <x:row r="169">
      <x:c r="A169" s="111" t="n">
        <x:v>169</x:v>
      </x:c>
      <x:c r="B169" s="112" t="str">
        <x:v>TORANI LỰU</x:v>
      </x:c>
      <x:c r="C169" s="112" t="str">
        <x:v>TORLUU</x:v>
      </x:c>
      <x:c r="D169" s="112" t="str">
        <x:v>TORLUUT</x:v>
      </x:c>
      <x:c r="E169" s="120" t="n">
        <x:v>180000</x:v>
      </x:c>
      <x:c r="F169" s="120" t="n">
        <x:v>180000</x:v>
      </x:c>
      <x:c r="G169" s="120" t="n">
        <x:v>180000</x:v>
      </x:c>
      <x:c r="H169" s="112" t="str">
        <x:v>GIỮ NGUYÊN - ĐÃ KHỚP</x:v>
      </x:c>
      <x:c r="I169" s="112" t="n">
        <x:v>1500</x:v>
      </x:c>
      <x:c r="J169" s="112" t="str">
        <x:v>g</x:v>
      </x:c>
      <x:c r="K169" s="112" t="str">
        <x:v>CHAI</x:v>
      </x:c>
      <x:c r="L169" s="112" t="n">
        <x:v>16000</x:v>
      </x:c>
      <x:c r="M169" s="112" t="str">
        <x:v>g</x:v>
      </x:c>
      <x:c r="N169" s="112" t="str">
        <x:v>THÙNG</x:v>
      </x:c>
      <x:c r="O169" s="112" t="n">
        <x:v>12</x:v>
      </x:c>
      <x:c r="P169" s="112" t="str">
        <x:v>1500 g / CHAI</x:v>
      </x:c>
      <x:c r="Q169" s="112" t="str">
        <x:v>12 CHAI / THÙNG</x:v>
      </x:c>
      <x:c r="R169" s="112" t="n">
        <x:v>372</x:v>
      </x:c>
      <x:c r="S169" s="113" t="n">
        <x:v>373</x:v>
      </x:c>
    </x:row>
    <x:row r="170">
      <x:c r="A170" s="111" t="n">
        <x:v>170</x:v>
      </x:c>
      <x:c r="B170" s="112" t="str">
        <x:v>TORANI HẠT DẺ</x:v>
      </x:c>
      <x:c r="C170" s="112" t="str">
        <x:v>TORHDE</x:v>
      </x:c>
      <x:c r="D170" s="112" t="str">
        <x:v>TORHDET</x:v>
      </x:c>
      <x:c r="E170" s="120" t="n">
        <x:v>180000</x:v>
      </x:c>
      <x:c r="F170" s="120" t="n">
        <x:v>180000</x:v>
      </x:c>
      <x:c r="G170" s="120" t="n">
        <x:v>180000</x:v>
      </x:c>
      <x:c r="H170" s="112" t="str">
        <x:v>GIỮ NGUYÊN - ĐÃ KHỚP</x:v>
      </x:c>
      <x:c r="I170" s="112" t="n">
        <x:v>1500</x:v>
      </x:c>
      <x:c r="J170" s="112" t="str">
        <x:v>g</x:v>
      </x:c>
      <x:c r="K170" s="112" t="str">
        <x:v>CHAI</x:v>
      </x:c>
      <x:c r="L170" s="112" t="n">
        <x:v>16000</x:v>
      </x:c>
      <x:c r="M170" s="112" t="str">
        <x:v>g</x:v>
      </x:c>
      <x:c r="N170" s="112" t="str">
        <x:v>THÙNG</x:v>
      </x:c>
      <x:c r="O170" s="112" t="n">
        <x:v>12</x:v>
      </x:c>
      <x:c r="P170" s="112" t="str">
        <x:v>1500 g / CHAI</x:v>
      </x:c>
      <x:c r="Q170" s="112" t="str">
        <x:v>12 CHAI / THÙNG</x:v>
      </x:c>
      <x:c r="R170" s="112" t="n">
        <x:v>374</x:v>
      </x:c>
      <x:c r="S170" s="113" t="n">
        <x:v>375</x:v>
      </x:c>
    </x:row>
    <x:row r="171">
      <x:c r="A171" s="111" t="n">
        <x:v>171</x:v>
      </x:c>
      <x:c r="B171" s="112" t="str">
        <x:v>TORANI ĐÀO</x:v>
      </x:c>
      <x:c r="C171" s="112" t="str">
        <x:v>TORDAO</x:v>
      </x:c>
      <x:c r="D171" s="112" t="str">
        <x:v>TORDAOT</x:v>
      </x:c>
      <x:c r="E171" s="120" t="n">
        <x:v>180000</x:v>
      </x:c>
      <x:c r="F171" s="120" t="n">
        <x:v>180000</x:v>
      </x:c>
      <x:c r="G171" s="120" t="n">
        <x:v>180000</x:v>
      </x:c>
      <x:c r="H171" s="112" t="str">
        <x:v>GIỮ NGUYÊN - ĐÃ KHỚP</x:v>
      </x:c>
      <x:c r="I171" s="112" t="n">
        <x:v>1500</x:v>
      </x:c>
      <x:c r="J171" s="112" t="str">
        <x:v>g</x:v>
      </x:c>
      <x:c r="K171" s="112" t="str">
        <x:v>CHAI</x:v>
      </x:c>
      <x:c r="L171" s="112" t="n">
        <x:v>16000</x:v>
      </x:c>
      <x:c r="M171" s="112" t="str">
        <x:v>g</x:v>
      </x:c>
      <x:c r="N171" s="112" t="str">
        <x:v>THÙNG</x:v>
      </x:c>
      <x:c r="O171" s="112" t="n">
        <x:v>12</x:v>
      </x:c>
      <x:c r="P171" s="112" t="str">
        <x:v>1500 g / CHAI</x:v>
      </x:c>
      <x:c r="Q171" s="112" t="str">
        <x:v>12 CHAI / THÙNG</x:v>
      </x:c>
      <x:c r="R171" s="112" t="n">
        <x:v>376</x:v>
      </x:c>
      <x:c r="S171" s="113" t="n">
        <x:v>377</x:v>
      </x:c>
    </x:row>
    <x:row r="172">
      <x:c r="A172" s="111" t="n">
        <x:v>172</x:v>
      </x:c>
      <x:c r="B172" s="112" t="str">
        <x:v>TORANI DÂU</x:v>
      </x:c>
      <x:c r="C172" s="112" t="str">
        <x:v>TORDAU</x:v>
      </x:c>
      <x:c r="D172" s="112" t="str">
        <x:v>TORDAUT</x:v>
      </x:c>
      <x:c r="E172" s="120" t="n">
        <x:v>180000</x:v>
      </x:c>
      <x:c r="F172" s="120" t="n">
        <x:v>180000</x:v>
      </x:c>
      <x:c r="G172" s="120" t="n">
        <x:v>180000</x:v>
      </x:c>
      <x:c r="H172" s="112" t="str">
        <x:v>GIỮ NGUYÊN - ĐÃ KHỚP</x:v>
      </x:c>
      <x:c r="I172" s="112" t="n">
        <x:v>1500</x:v>
      </x:c>
      <x:c r="J172" s="112" t="str">
        <x:v>g</x:v>
      </x:c>
      <x:c r="K172" s="112" t="str">
        <x:v>CHAI</x:v>
      </x:c>
      <x:c r="L172" s="112" t="n">
        <x:v>16000</x:v>
      </x:c>
      <x:c r="M172" s="112" t="str">
        <x:v>g</x:v>
      </x:c>
      <x:c r="N172" s="112" t="str">
        <x:v>THÙNG</x:v>
      </x:c>
      <x:c r="O172" s="112" t="n">
        <x:v>12</x:v>
      </x:c>
      <x:c r="P172" s="112" t="str">
        <x:v>1500 g / CHAI</x:v>
      </x:c>
      <x:c r="Q172" s="112" t="str">
        <x:v>12 CHAI / THÙNG</x:v>
      </x:c>
      <x:c r="R172" s="112" t="n">
        <x:v>378</x:v>
      </x:c>
      <x:c r="S172" s="113" t="n">
        <x:v>379</x:v>
      </x:c>
    </x:row>
    <x:row r="173">
      <x:c r="A173" s="111" t="n">
        <x:v>173</x:v>
      </x:c>
      <x:c r="B173" s="112" t="str">
        <x:v>TORANI CHANH DÂY</x:v>
      </x:c>
      <x:c r="C173" s="112" t="str">
        <x:v>TORCDA</x:v>
      </x:c>
      <x:c r="D173" s="112" t="str">
        <x:v>TORCDAT</x:v>
      </x:c>
      <x:c r="E173" s="120" t="n">
        <x:v>180000</x:v>
      </x:c>
      <x:c r="F173" s="120" t="n">
        <x:v>180000</x:v>
      </x:c>
      <x:c r="G173" s="120" t="n">
        <x:v>180000</x:v>
      </x:c>
      <x:c r="H173" s="112" t="str">
        <x:v>GIỮ NGUYÊN - ĐÃ KHỚP</x:v>
      </x:c>
      <x:c r="I173" s="112" t="n">
        <x:v>1500</x:v>
      </x:c>
      <x:c r="J173" s="112" t="str">
        <x:v>g</x:v>
      </x:c>
      <x:c r="K173" s="112" t="str">
        <x:v>CHAI</x:v>
      </x:c>
      <x:c r="L173" s="112" t="n">
        <x:v>16000</x:v>
      </x:c>
      <x:c r="M173" s="112" t="str">
        <x:v>g</x:v>
      </x:c>
      <x:c r="N173" s="112" t="str">
        <x:v>THÙNG</x:v>
      </x:c>
      <x:c r="O173" s="112" t="n">
        <x:v>12</x:v>
      </x:c>
      <x:c r="P173" s="112" t="str">
        <x:v>1500 g / CHAI</x:v>
      </x:c>
      <x:c r="Q173" s="112" t="str">
        <x:v>12 CHAI / THÙNG</x:v>
      </x:c>
      <x:c r="R173" s="112" t="n">
        <x:v>380</x:v>
      </x:c>
      <x:c r="S173" s="113" t="n">
        <x:v>381</x:v>
      </x:c>
    </x:row>
    <x:row r="174">
      <x:c r="A174" s="111" t="n">
        <x:v>174</x:v>
      </x:c>
      <x:c r="B174" s="112" t="str">
        <x:v>TORANI BLUE CURACAO</x:v>
      </x:c>
      <x:c r="C174" s="112" t="str">
        <x:v>TORBLC</x:v>
      </x:c>
      <x:c r="D174" s="112" t="str">
        <x:v>TORBLCT</x:v>
      </x:c>
      <x:c r="E174" s="120" t="n">
        <x:v>180000</x:v>
      </x:c>
      <x:c r="F174" s="120" t="n">
        <x:v>180000</x:v>
      </x:c>
      <x:c r="G174" s="120" t="n">
        <x:v>180000</x:v>
      </x:c>
      <x:c r="H174" s="112" t="str">
        <x:v>GIỮ NGUYÊN - ĐÃ KHỚP</x:v>
      </x:c>
      <x:c r="I174" s="112" t="n">
        <x:v>1500</x:v>
      </x:c>
      <x:c r="J174" s="112" t="str">
        <x:v>g</x:v>
      </x:c>
      <x:c r="K174" s="112" t="str">
        <x:v>CHAI</x:v>
      </x:c>
      <x:c r="L174" s="112" t="n">
        <x:v>16000</x:v>
      </x:c>
      <x:c r="M174" s="112" t="str">
        <x:v>g</x:v>
      </x:c>
      <x:c r="N174" s="112" t="str">
        <x:v>THÙNG</x:v>
      </x:c>
      <x:c r="O174" s="112" t="n">
        <x:v>12</x:v>
      </x:c>
      <x:c r="P174" s="112" t="str">
        <x:v>1500 g / CHAI</x:v>
      </x:c>
      <x:c r="Q174" s="112" t="str">
        <x:v>12 CHAI / THÙNG</x:v>
      </x:c>
      <x:c r="R174" s="112" t="n">
        <x:v>382</x:v>
      </x:c>
      <x:c r="S174" s="113" t="n">
        <x:v>383</x:v>
      </x:c>
    </x:row>
    <x:row r="175">
      <x:c r="A175" s="111" t="n">
        <x:v>175</x:v>
      </x:c>
      <x:c r="B175" s="112" t="str">
        <x:v>TORANI BẠC HÀ XANH</x:v>
      </x:c>
      <x:c r="C175" s="112" t="str">
        <x:v>TORBHX</x:v>
      </x:c>
      <x:c r="D175" s="112" t="str">
        <x:v>TORBHXT</x:v>
      </x:c>
      <x:c r="E175" s="120" t="n">
        <x:v>180000</x:v>
      </x:c>
      <x:c r="F175" s="120" t="n">
        <x:v>180000</x:v>
      </x:c>
      <x:c r="G175" s="120" t="n">
        <x:v>180000</x:v>
      </x:c>
      <x:c r="H175" s="112" t="str">
        <x:v>GIỮ NGUYÊN - ĐÃ KHỚP</x:v>
      </x:c>
      <x:c r="I175" s="112" t="n">
        <x:v>1500</x:v>
      </x:c>
      <x:c r="J175" s="112" t="str">
        <x:v>g</x:v>
      </x:c>
      <x:c r="K175" s="112" t="str">
        <x:v>CHAI</x:v>
      </x:c>
      <x:c r="L175" s="112" t="n">
        <x:v>16000</x:v>
      </x:c>
      <x:c r="M175" s="112" t="str">
        <x:v>g</x:v>
      </x:c>
      <x:c r="N175" s="112" t="str">
        <x:v>THÙNG</x:v>
      </x:c>
      <x:c r="O175" s="112" t="n">
        <x:v>12</x:v>
      </x:c>
      <x:c r="P175" s="112" t="str">
        <x:v>1500 g / CHAI</x:v>
      </x:c>
      <x:c r="Q175" s="112" t="str">
        <x:v>12 CHAI / THÙNG</x:v>
      </x:c>
      <x:c r="R175" s="112" t="n">
        <x:v>384</x:v>
      </x:c>
      <x:c r="S175" s="113" t="n">
        <x:v>385</x:v>
      </x:c>
    </x:row>
    <x:row r="176">
      <x:c r="A176" s="111" t="n">
        <x:v>176</x:v>
      </x:c>
      <x:c r="B176" s="112" t="str">
        <x:v>TCHK 3KG 2.5</x:v>
      </x:c>
      <x:c r="C176" s="112" t="str">
        <x:v>TCHK35</x:v>
      </x:c>
      <x:c r="D176" s="112" t="str">
        <x:v>TCHK35T</x:v>
      </x:c>
      <x:c r="E176" s="120"/>
      <x:c r="F176" s="120" t="n">
        <x:v>94000</x:v>
      </x:c>
      <x:c r="G176" s="120" t="n">
        <x:v>94000</x:v>
      </x:c>
      <x:c r="H176" s="112" t="str">
        <x:v>BỔ SUNG GIÁ</x:v>
      </x:c>
      <x:c r="I176" s="112" t="n">
        <x:v>3</x:v>
      </x:c>
      <x:c r="J176" s="112" t="str">
        <x:v>kg</x:v>
      </x:c>
      <x:c r="K176" s="112" t="str">
        <x:v>GÓI</x:v>
      </x:c>
      <x:c r="L176" s="112" t="n">
        <x:v>19000</x:v>
      </x:c>
      <x:c r="M176" s="112" t="str">
        <x:v>g</x:v>
      </x:c>
      <x:c r="N176" s="112" t="str">
        <x:v>THÙNG</x:v>
      </x:c>
      <x:c r="O176" s="112" t="n">
        <x:v>6</x:v>
      </x:c>
      <x:c r="P176" s="112" t="str">
        <x:v>3 kg / GÓI</x:v>
      </x:c>
      <x:c r="Q176" s="112" t="str">
        <x:v>6 GÓI / THÙNG</x:v>
      </x:c>
      <x:c r="R176" s="112" t="n">
        <x:v>388</x:v>
      </x:c>
      <x:c r="S176" s="113" t="n">
        <x:v>389</x:v>
      </x:c>
    </x:row>
    <x:row r="177">
      <x:c r="A177" s="111" t="n">
        <x:v>177</x:v>
      </x:c>
      <x:c r="B177" s="112" t="str">
        <x:v>TCHK 3KG 2.2</x:v>
      </x:c>
      <x:c r="C177" s="112" t="str">
        <x:v>TCHK32</x:v>
      </x:c>
      <x:c r="D177" s="112" t="str">
        <x:v>TCHK32T</x:v>
      </x:c>
      <x:c r="E177" s="120"/>
      <x:c r="F177" s="120" t="n">
        <x:v>94000</x:v>
      </x:c>
      <x:c r="G177" s="120" t="n">
        <x:v>94000</x:v>
      </x:c>
      <x:c r="H177" s="112" t="str">
        <x:v>BỔ SUNG GIÁ</x:v>
      </x:c>
      <x:c r="I177" s="112" t="n">
        <x:v>3</x:v>
      </x:c>
      <x:c r="J177" s="112" t="str">
        <x:v>kg</x:v>
      </x:c>
      <x:c r="K177" s="112" t="str">
        <x:v>GÓI</x:v>
      </x:c>
      <x:c r="L177" s="112" t="n">
        <x:v>19000</x:v>
      </x:c>
      <x:c r="M177" s="112" t="str">
        <x:v>g</x:v>
      </x:c>
      <x:c r="N177" s="112" t="str">
        <x:v>THÙNG</x:v>
      </x:c>
      <x:c r="O177" s="112" t="n">
        <x:v>6</x:v>
      </x:c>
      <x:c r="P177" s="112" t="str">
        <x:v>3 kg / GÓI</x:v>
      </x:c>
      <x:c r="Q177" s="112" t="str">
        <x:v>6 GÓI / THÙNG</x:v>
      </x:c>
      <x:c r="R177" s="112" t="n">
        <x:v>390</x:v>
      </x:c>
      <x:c r="S177" s="113" t="n">
        <x:v>391</x:v>
      </x:c>
    </x:row>
    <x:row r="178">
      <x:c r="A178" s="111" t="n">
        <x:v>178</x:v>
      </x:c>
      <x:c r="B178" s="112" t="str">
        <x:v>TCHK 1KG 2.5</x:v>
      </x:c>
      <x:c r="C178" s="112" t="str">
        <x:v>TCHK15</x:v>
      </x:c>
      <x:c r="D178" s="112" t="str">
        <x:v>TCHK15T</x:v>
      </x:c>
      <x:c r="E178" s="120"/>
      <x:c r="F178" s="120" t="n">
        <x:v>30000</x:v>
      </x:c>
      <x:c r="G178" s="120" t="n">
        <x:v>30000</x:v>
      </x:c>
      <x:c r="H178" s="112" t="str">
        <x:v>BỔ SUNG GIÁ</x:v>
      </x:c>
      <x:c r="I178" s="112" t="n">
        <x:v>1</x:v>
      </x:c>
      <x:c r="J178" s="112" t="str">
        <x:v>kg</x:v>
      </x:c>
      <x:c r="K178" s="112" t="str">
        <x:v>GÓI</x:v>
      </x:c>
      <x:c r="L178" s="112" t="n">
        <x:v>19000</x:v>
      </x:c>
      <x:c r="M178" s="112" t="str">
        <x:v>g</x:v>
      </x:c>
      <x:c r="N178" s="112" t="str">
        <x:v>THÙNG</x:v>
      </x:c>
      <x:c r="O178" s="112" t="n">
        <x:v>18</x:v>
      </x:c>
      <x:c r="P178" s="112" t="str">
        <x:v>1 kg / GÓI</x:v>
      </x:c>
      <x:c r="Q178" s="112" t="str">
        <x:v>18 GÓI / THÙNG</x:v>
      </x:c>
      <x:c r="R178" s="112" t="n">
        <x:v>392</x:v>
      </x:c>
      <x:c r="S178" s="113" t="n">
        <x:v>393</x:v>
      </x:c>
    </x:row>
    <x:row r="179">
      <x:c r="A179" s="111" t="n">
        <x:v>179</x:v>
      </x:c>
      <x:c r="B179" s="112" t="str">
        <x:v>TCHK 1KG 2.2</x:v>
      </x:c>
      <x:c r="C179" s="112" t="str">
        <x:v>TCHK12</x:v>
      </x:c>
      <x:c r="D179" s="112" t="str">
        <x:v>TCHK12T</x:v>
      </x:c>
      <x:c r="E179" s="120"/>
      <x:c r="F179" s="120" t="n">
        <x:v>30000</x:v>
      </x:c>
      <x:c r="G179" s="120" t="n">
        <x:v>30000</x:v>
      </x:c>
      <x:c r="H179" s="112" t="str">
        <x:v>BỔ SUNG GIÁ</x:v>
      </x:c>
      <x:c r="I179" s="112" t="n">
        <x:v>0</x:v>
      </x:c>
      <x:c r="J179" s="112" t="str">
        <x:v>g</x:v>
      </x:c>
      <x:c r="K179" s="112" t="str">
        <x:v>GÓI</x:v>
      </x:c>
      <x:c r="L179" s="112" t="n">
        <x:v>19000</x:v>
      </x:c>
      <x:c r="M179" s="112" t="str">
        <x:v>g</x:v>
      </x:c>
      <x:c r="N179" s="112" t="str">
        <x:v>THÙNG</x:v>
      </x:c>
      <x:c r="O179" s="112" t="n">
        <x:v>18</x:v>
      </x:c>
      <x:c r="P179" s="112" t="str">
        <x:v>0 g / GÓI</x:v>
      </x:c>
      <x:c r="Q179" s="112" t="str">
        <x:v>18 GÓI / THÙNG</x:v>
      </x:c>
      <x:c r="R179" s="112" t="n">
        <x:v>394</x:v>
      </x:c>
      <x:c r="S179" s="113" t="n">
        <x:v>395</x:v>
      </x:c>
    </x:row>
    <x:row r="180">
      <x:c r="A180" s="111" t="n">
        <x:v>180</x:v>
      </x:c>
      <x:c r="B180" s="112" t="str">
        <x:v>TCĐĐ KUNHAN 3KG</x:v>
      </x:c>
      <x:c r="C180" s="112" t="str">
        <x:v>KH3KDD</x:v>
      </x:c>
      <x:c r="D180" s="112" t="str">
        <x:v>KH3KDDT</x:v>
      </x:c>
      <x:c r="E180" s="120"/>
      <x:c r="F180" s="120" t="n">
        <x:v>78000</x:v>
      </x:c>
      <x:c r="G180" s="120" t="n">
        <x:v>78000</x:v>
      </x:c>
      <x:c r="H180" s="112" t="str">
        <x:v>BỔ SUNG GIÁ</x:v>
      </x:c>
      <x:c r="I180" s="112" t="n">
        <x:v>3000</x:v>
      </x:c>
      <x:c r="J180" s="112" t="str">
        <x:v>g</x:v>
      </x:c>
      <x:c r="K180" s="112" t="str">
        <x:v>HỘP</x:v>
      </x:c>
      <x:c r="L180" s="112" t="n">
        <x:v>19000</x:v>
      </x:c>
      <x:c r="M180" s="112" t="str">
        <x:v>g</x:v>
      </x:c>
      <x:c r="N180" s="112" t="str">
        <x:v>THÙNG</x:v>
      </x:c>
      <x:c r="O180" s="112" t="n">
        <x:v>6</x:v>
      </x:c>
      <x:c r="P180" s="112" t="str">
        <x:v>3000 g / HỘP</x:v>
      </x:c>
      <x:c r="Q180" s="112" t="str">
        <x:v>6 HỘP / THÙNG</x:v>
      </x:c>
      <x:c r="R180" s="112" t="n">
        <x:v>396</x:v>
      </x:c>
      <x:c r="S180" s="113" t="n">
        <x:v>397</x:v>
      </x:c>
    </x:row>
    <x:row r="181">
      <x:c r="A181" s="111" t="n">
        <x:v>181</x:v>
      </x:c>
      <x:c r="B181" s="112" t="str">
        <x:v>TCĐĐ KUNHAN 2KG</x:v>
      </x:c>
      <x:c r="C181" s="112" t="str">
        <x:v>KH2KDD</x:v>
      </x:c>
      <x:c r="D181" s="112" t="str">
        <x:v>KH2KDDT</x:v>
      </x:c>
      <x:c r="E181" s="120"/>
      <x:c r="F181" s="120" t="n">
        <x:v>52000</x:v>
      </x:c>
      <x:c r="G181" s="120" t="n">
        <x:v>52000</x:v>
      </x:c>
      <x:c r="H181" s="112" t="str">
        <x:v>BỔ SUNG GIÁ</x:v>
      </x:c>
      <x:c r="I181" s="112" t="n">
        <x:v>2000</x:v>
      </x:c>
      <x:c r="J181" s="112" t="str">
        <x:v>g</x:v>
      </x:c>
      <x:c r="K181" s="112" t="str">
        <x:v>HỘP</x:v>
      </x:c>
      <x:c r="L181" s="112" t="n">
        <x:v>20</x:v>
      </x:c>
      <x:c r="M181" s="112" t="str">
        <x:v>kg</x:v>
      </x:c>
      <x:c r="N181" s="112" t="str">
        <x:v>THÙNG</x:v>
      </x:c>
      <x:c r="O181" s="112" t="n">
        <x:v>10</x:v>
      </x:c>
      <x:c r="P181" s="112" t="str">
        <x:v>2000 g / HỘP</x:v>
      </x:c>
      <x:c r="Q181" s="112" t="str">
        <x:v>10 HỘP / THÙNG</x:v>
      </x:c>
      <x:c r="R181" s="112" t="n">
        <x:v>398</x:v>
      </x:c>
      <x:c r="S181" s="113" t="n">
        <x:v>399</x:v>
      </x:c>
    </x:row>
    <x:row r="182">
      <x:c r="A182" s="111" t="n">
        <x:v>182</x:v>
      </x:c>
      <x:c r="B182" s="112" t="str">
        <x:v>TCĐĐ KUNHAN 1KG</x:v>
      </x:c>
      <x:c r="C182" s="112" t="str">
        <x:v>KH1KDD</x:v>
      </x:c>
      <x:c r="D182" s="112" t="str">
        <x:v>KH1KDDT</x:v>
      </x:c>
      <x:c r="E182" s="120"/>
      <x:c r="F182" s="120" t="n">
        <x:v>25000</x:v>
      </x:c>
      <x:c r="G182" s="120" t="n">
        <x:v>25000</x:v>
      </x:c>
      <x:c r="H182" s="112" t="str">
        <x:v>BỔ SUNG GIÁ</x:v>
      </x:c>
      <x:c r="I182" s="112" t="n">
        <x:v>0</x:v>
      </x:c>
      <x:c r="J182" s="112" t="str">
        <x:v>g</x:v>
      </x:c>
      <x:c r="K182" s="112" t="str">
        <x:v>BỊCH</x:v>
      </x:c>
      <x:c r="L182" s="112" t="n">
        <x:v>21000</x:v>
      </x:c>
      <x:c r="M182" s="112" t="str">
        <x:v>g</x:v>
      </x:c>
      <x:c r="N182" s="112" t="str">
        <x:v>THÙNG</x:v>
      </x:c>
      <x:c r="O182" s="112" t="n">
        <x:v>20</x:v>
      </x:c>
      <x:c r="P182" s="112" t="str">
        <x:v>0 g / BỊCH</x:v>
      </x:c>
      <x:c r="Q182" s="112" t="str">
        <x:v>20 BỊCH / THÙNG</x:v>
      </x:c>
      <x:c r="R182" s="112" t="n">
        <x:v>400</x:v>
      </x:c>
      <x:c r="S182" s="113" t="n">
        <x:v>401</x:v>
      </x:c>
    </x:row>
    <x:row r="183">
      <x:c r="A183" s="111" t="n">
        <x:v>183</x:v>
      </x:c>
      <x:c r="B183" s="112" t="str">
        <x:v>TC GIA UY ĐƯỜNG ĐEN</x:v>
      </x:c>
      <x:c r="C183" s="112" t="str">
        <x:v>TCDDGU</x:v>
      </x:c>
      <x:c r="D183" s="112" t="str">
        <x:v>TCDDGUT</x:v>
      </x:c>
      <x:c r="E183" s="120"/>
      <x:c r="F183" s="120" t="n">
        <x:v>57000</x:v>
      </x:c>
      <x:c r="G183" s="120" t="n">
        <x:v>57000</x:v>
      </x:c>
      <x:c r="H183" s="112" t="str">
        <x:v>BỔ SUNG GIÁ</x:v>
      </x:c>
      <x:c r="I183" s="112" t="n">
        <x:v>2000</x:v>
      </x:c>
      <x:c r="J183" s="112" t="str">
        <x:v>g</x:v>
      </x:c>
      <x:c r="K183" s="112" t="str">
        <x:v>BỊCH</x:v>
      </x:c>
      <x:c r="L183" s="112" t="n">
        <x:v>21000</x:v>
      </x:c>
      <x:c r="M183" s="112" t="str">
        <x:v>g</x:v>
      </x:c>
      <x:c r="N183" s="112" t="str">
        <x:v>THÙNG</x:v>
      </x:c>
      <x:c r="O183" s="112" t="n">
        <x:v>10</x:v>
      </x:c>
      <x:c r="P183" s="112" t="str">
        <x:v>2000 g / BỊCH</x:v>
      </x:c>
      <x:c r="Q183" s="112" t="str">
        <x:v>10 BỊCH / THÙNG</x:v>
      </x:c>
      <x:c r="R183" s="112" t="n">
        <x:v>402</x:v>
      </x:c>
      <x:c r="S183" s="113" t="n">
        <x:v>403</x:v>
      </x:c>
    </x:row>
    <x:row r="184">
      <x:c r="A184" s="111" t="n">
        <x:v>184</x:v>
      </x:c>
      <x:c r="B184" s="112" t="str">
        <x:v>TCĐĐ 3KG 2.5</x:v>
      </x:c>
      <x:c r="C184" s="112" t="str">
        <x:v>TCDD35</x:v>
      </x:c>
      <x:c r="D184" s="112" t="str">
        <x:v>TCDD35T</x:v>
      </x:c>
      <x:c r="E184" s="120"/>
      <x:c r="F184" s="120" t="n">
        <x:v>94000</x:v>
      </x:c>
      <x:c r="G184" s="120" t="n">
        <x:v>94000</x:v>
      </x:c>
      <x:c r="H184" s="112" t="str">
        <x:v>BỔ SUNG GIÁ</x:v>
      </x:c>
      <x:c r="I184" s="112" t="n">
        <x:v>3</x:v>
      </x:c>
      <x:c r="J184" s="112" t="str">
        <x:v>kg</x:v>
      </x:c>
      <x:c r="K184" s="112" t="str">
        <x:v>GÓI</x:v>
      </x:c>
      <x:c r="L184" s="112" t="n">
        <x:v>19000</x:v>
      </x:c>
      <x:c r="M184" s="112" t="str">
        <x:v>g</x:v>
      </x:c>
      <x:c r="N184" s="112" t="str">
        <x:v>THÙNG</x:v>
      </x:c>
      <x:c r="O184" s="112" t="n">
        <x:v>6</x:v>
      </x:c>
      <x:c r="P184" s="112" t="str">
        <x:v>3 kg / GÓI</x:v>
      </x:c>
      <x:c r="Q184" s="112" t="str">
        <x:v>6 GÓI / THÙNG</x:v>
      </x:c>
      <x:c r="R184" s="112" t="n">
        <x:v>404</x:v>
      </x:c>
      <x:c r="S184" s="113" t="n">
        <x:v>405</x:v>
      </x:c>
    </x:row>
    <x:row r="185">
      <x:c r="A185" s="111" t="n">
        <x:v>185</x:v>
      </x:c>
      <x:c r="B185" s="112" t="str">
        <x:v>TCĐĐ 3KG 2.2</x:v>
      </x:c>
      <x:c r="C185" s="112" t="str">
        <x:v>TCDD32</x:v>
      </x:c>
      <x:c r="D185" s="112" t="str">
        <x:v>TCDD32T</x:v>
      </x:c>
      <x:c r="E185" s="120"/>
      <x:c r="F185" s="120" t="n">
        <x:v>94000</x:v>
      </x:c>
      <x:c r="G185" s="120" t="n">
        <x:v>94000</x:v>
      </x:c>
      <x:c r="H185" s="112" t="str">
        <x:v>BỔ SUNG GIÁ</x:v>
      </x:c>
      <x:c r="I185" s="112" t="n">
        <x:v>3</x:v>
      </x:c>
      <x:c r="J185" s="112" t="str">
        <x:v>kg</x:v>
      </x:c>
      <x:c r="K185" s="112" t="str">
        <x:v>GÓI</x:v>
      </x:c>
      <x:c r="L185" s="112" t="n">
        <x:v>19000</x:v>
      </x:c>
      <x:c r="M185" s="112" t="str">
        <x:v>g</x:v>
      </x:c>
      <x:c r="N185" s="112" t="str">
        <x:v>THÙNG</x:v>
      </x:c>
      <x:c r="O185" s="112" t="n">
        <x:v>6</x:v>
      </x:c>
      <x:c r="P185" s="112" t="str">
        <x:v>3 kg / GÓI</x:v>
      </x:c>
      <x:c r="Q185" s="112" t="str">
        <x:v>6 GÓI / THÙNG</x:v>
      </x:c>
      <x:c r="R185" s="112" t="n">
        <x:v>406</x:v>
      </x:c>
      <x:c r="S185" s="113" t="n">
        <x:v>407</x:v>
      </x:c>
    </x:row>
    <x:row r="186">
      <x:c r="A186" s="111" t="n">
        <x:v>186</x:v>
      </x:c>
      <x:c r="B186" s="112" t="str">
        <x:v>TCĐĐ 2KG 2.5</x:v>
      </x:c>
      <x:c r="C186" s="112" t="str">
        <x:v>TCDD25</x:v>
      </x:c>
      <x:c r="D186" s="112" t="str">
        <x:v>TCDD25T</x:v>
      </x:c>
      <x:c r="E186" s="120"/>
      <x:c r="F186" s="120" t="n">
        <x:v>54000</x:v>
      </x:c>
      <x:c r="G186" s="120" t="n">
        <x:v>54000</x:v>
      </x:c>
      <x:c r="H186" s="112" t="str">
        <x:v>BỔ SUNG GIÁ</x:v>
      </x:c>
      <x:c r="I186" s="112" t="n">
        <x:v>3</x:v>
      </x:c>
      <x:c r="J186" s="112" t="str">
        <x:v>kg</x:v>
      </x:c>
      <x:c r="K186" s="112" t="str">
        <x:v>GÓI</x:v>
      </x:c>
      <x:c r="L186" s="112" t="n">
        <x:v>19000</x:v>
      </x:c>
      <x:c r="M186" s="112" t="str">
        <x:v>g</x:v>
      </x:c>
      <x:c r="N186" s="112" t="str">
        <x:v>THÙNG</x:v>
      </x:c>
      <x:c r="O186" s="112" t="n">
        <x:v>10</x:v>
      </x:c>
      <x:c r="P186" s="112" t="str">
        <x:v>3 kg / GÓI</x:v>
      </x:c>
      <x:c r="Q186" s="112" t="str">
        <x:v>10 GÓI / THÙNG</x:v>
      </x:c>
      <x:c r="R186" s="112" t="n">
        <x:v>408</x:v>
      </x:c>
      <x:c r="S186" s="113" t="n">
        <x:v>409</x:v>
      </x:c>
    </x:row>
    <x:row r="187">
      <x:c r="A187" s="111" t="n">
        <x:v>187</x:v>
      </x:c>
      <x:c r="B187" s="112" t="str">
        <x:v>TCĐĐ 2KG 2.2</x:v>
      </x:c>
      <x:c r="C187" s="112" t="str">
        <x:v>TCDD22</x:v>
      </x:c>
      <x:c r="D187" s="112" t="str">
        <x:v>TCDD22T</x:v>
      </x:c>
      <x:c r="E187" s="120"/>
      <x:c r="F187" s="120" t="n">
        <x:v>54000</x:v>
      </x:c>
      <x:c r="G187" s="120" t="n">
        <x:v>54000</x:v>
      </x:c>
      <x:c r="H187" s="112" t="str">
        <x:v>BỔ SUNG GIÁ</x:v>
      </x:c>
      <x:c r="I187" s="112" t="n">
        <x:v>2</x:v>
      </x:c>
      <x:c r="J187" s="112" t="str">
        <x:v>kg</x:v>
      </x:c>
      <x:c r="K187" s="112" t="str">
        <x:v>GÓI</x:v>
      </x:c>
      <x:c r="L187" s="112" t="n">
        <x:v>19000</x:v>
      </x:c>
      <x:c r="M187" s="112" t="str">
        <x:v>g</x:v>
      </x:c>
      <x:c r="N187" s="112" t="str">
        <x:v>THÙNG</x:v>
      </x:c>
      <x:c r="O187" s="112" t="n">
        <x:v>10</x:v>
      </x:c>
      <x:c r="P187" s="112" t="str">
        <x:v>2 kg / GÓI</x:v>
      </x:c>
      <x:c r="Q187" s="112" t="str">
        <x:v>10 GÓI / THÙNG</x:v>
      </x:c>
      <x:c r="R187" s="112" t="n">
        <x:v>410</x:v>
      </x:c>
      <x:c r="S187" s="113" t="n">
        <x:v>411</x:v>
      </x:c>
    </x:row>
    <x:row r="188">
      <x:c r="A188" s="111" t="n">
        <x:v>188</x:v>
      </x:c>
      <x:c r="B188" s="112" t="str">
        <x:v>TCĐĐ 1KG 2.5</x:v>
      </x:c>
      <x:c r="C188" s="112" t="str">
        <x:v>TCDD15</x:v>
      </x:c>
      <x:c r="D188" s="112" t="str">
        <x:v>TCDD15T</x:v>
      </x:c>
      <x:c r="E188" s="120"/>
      <x:c r="F188" s="120" t="n">
        <x:v>30000</x:v>
      </x:c>
      <x:c r="G188" s="120" t="n">
        <x:v>30000</x:v>
      </x:c>
      <x:c r="H188" s="112" t="str">
        <x:v>BỔ SUNG GIÁ</x:v>
      </x:c>
      <x:c r="I188" s="112" t="n">
        <x:v>1</x:v>
      </x:c>
      <x:c r="J188" s="112" t="str">
        <x:v>kg</x:v>
      </x:c>
      <x:c r="K188" s="112" t="str">
        <x:v>GÓI</x:v>
      </x:c>
      <x:c r="L188" s="112" t="n">
        <x:v>19000</x:v>
      </x:c>
      <x:c r="M188" s="112" t="str">
        <x:v>g</x:v>
      </x:c>
      <x:c r="N188" s="112" t="str">
        <x:v>THÙNG</x:v>
      </x:c>
      <x:c r="O188" s="112" t="n">
        <x:v>18</x:v>
      </x:c>
      <x:c r="P188" s="112" t="str">
        <x:v>1 kg / GÓI</x:v>
      </x:c>
      <x:c r="Q188" s="112" t="str">
        <x:v>18 GÓI / THÙNG</x:v>
      </x:c>
      <x:c r="R188" s="112" t="n">
        <x:v>412</x:v>
      </x:c>
      <x:c r="S188" s="113" t="n">
        <x:v>413</x:v>
      </x:c>
    </x:row>
    <x:row r="189">
      <x:c r="A189" s="111" t="n">
        <x:v>189</x:v>
      </x:c>
      <x:c r="B189" s="112" t="str">
        <x:v>TCĐĐ 1KG 2.2</x:v>
      </x:c>
      <x:c r="C189" s="112" t="str">
        <x:v>TCDD12</x:v>
      </x:c>
      <x:c r="D189" s="112" t="str">
        <x:v>TCDD12T</x:v>
      </x:c>
      <x:c r="E189" s="120"/>
      <x:c r="F189" s="120" t="n">
        <x:v>30000</x:v>
      </x:c>
      <x:c r="G189" s="120" t="n">
        <x:v>30000</x:v>
      </x:c>
      <x:c r="H189" s="112" t="str">
        <x:v>BỔ SUNG GIÁ</x:v>
      </x:c>
      <x:c r="I189" s="112" t="n">
        <x:v>1000</x:v>
      </x:c>
      <x:c r="J189" s="112" t="str">
        <x:v>g</x:v>
      </x:c>
      <x:c r="K189" s="112" t="str">
        <x:v>GÓI</x:v>
      </x:c>
      <x:c r="L189" s="112" t="n">
        <x:v>19000</x:v>
      </x:c>
      <x:c r="M189" s="112" t="str">
        <x:v>g</x:v>
      </x:c>
      <x:c r="N189" s="112" t="str">
        <x:v>THÙNG</x:v>
      </x:c>
      <x:c r="O189" s="112" t="n">
        <x:v>18</x:v>
      </x:c>
      <x:c r="P189" s="112" t="str">
        <x:v>1000 g / GÓI</x:v>
      </x:c>
      <x:c r="Q189" s="112" t="str">
        <x:v>18 GÓI / THÙNG</x:v>
      </x:c>
      <x:c r="R189" s="112" t="n">
        <x:v>414</x:v>
      </x:c>
      <x:c r="S189" s="113" t="n">
        <x:v>415</x:v>
      </x:c>
    </x:row>
    <x:row r="190">
      <x:c r="A190" s="111" t="n">
        <x:v>190</x:v>
      </x:c>
      <x:c r="B190" s="112" t="str">
        <x:v>TCĐĐ 1KG 1.0</x:v>
      </x:c>
      <x:c r="C190" s="112" t="str">
        <x:v>TCDD10</x:v>
      </x:c>
      <x:c r="D190" s="112" t="str">
        <x:v>TCDD10T</x:v>
      </x:c>
      <x:c r="E190" s="120"/>
      <x:c r="F190" s="120" t="n">
        <x:v>0</x:v>
      </x:c>
      <x:c r="G190" s="120"/>
      <x:c r="H190" s="112" t="str">
        <x:v>DS SP GIÁ 0 - VẪN THIẾU GIÁ</x:v>
      </x:c>
      <x:c r="I190" s="112" t="n">
        <x:v>0</x:v>
      </x:c>
      <x:c r="J190" s="112" t="str">
        <x:v>g</x:v>
      </x:c>
      <x:c r="K190" s="112" t="str">
        <x:v>BỊCH</x:v>
      </x:c>
      <x:c r="L190" s="112" t="n">
        <x:v>19000</x:v>
      </x:c>
      <x:c r="M190" s="112" t="str">
        <x:v>g</x:v>
      </x:c>
      <x:c r="N190" s="112" t="str">
        <x:v>THÙNG</x:v>
      </x:c>
      <x:c r="O190" s="112" t="n">
        <x:v>18</x:v>
      </x:c>
      <x:c r="P190" s="112" t="str">
        <x:v>0 g / BỊCH</x:v>
      </x:c>
      <x:c r="Q190" s="112" t="str">
        <x:v>18 BỊCH / THÙNG</x:v>
      </x:c>
      <x:c r="R190" s="112" t="n">
        <x:v>416</x:v>
      </x:c>
      <x:c r="S190" s="113" t="n">
        <x:v>417</x:v>
      </x:c>
    </x:row>
    <x:row r="191">
      <x:c r="A191" s="111" t="n">
        <x:v>191</x:v>
      </x:c>
      <x:c r="B191" s="112" t="str">
        <x:v>TCBN 3KG 2.2</x:v>
      </x:c>
      <x:c r="C191" s="112" t="str">
        <x:v>TCBN32</x:v>
      </x:c>
      <x:c r="D191" s="112" t="str">
        <x:v>TCBN32T</x:v>
      </x:c>
      <x:c r="E191" s="120"/>
      <x:c r="F191" s="120" t="n">
        <x:v>0</x:v>
      </x:c>
      <x:c r="G191" s="120"/>
      <x:c r="H191" s="112" t="str">
        <x:v>DS SP GIÁ 0 - VẪN THIẾU GIÁ</x:v>
      </x:c>
      <x:c r="I191" s="112" t="n">
        <x:v>3</x:v>
      </x:c>
      <x:c r="J191" s="112" t="str">
        <x:v>kg</x:v>
      </x:c>
      <x:c r="K191" s="112" t="str">
        <x:v>GÓI</x:v>
      </x:c>
      <x:c r="L191" s="112" t="n">
        <x:v>1</x:v>
      </x:c>
      <x:c r="M191" s="112" t="str">
        <x:v>kg</x:v>
      </x:c>
      <x:c r="N191" s="112" t="str">
        <x:v>THÙNG</x:v>
      </x:c>
      <x:c r="O191" s="112" t="n">
        <x:v>6</x:v>
      </x:c>
      <x:c r="P191" s="112" t="str">
        <x:v>3 kg / GÓI</x:v>
      </x:c>
      <x:c r="Q191" s="112" t="str">
        <x:v>6 GÓI / THÙNG</x:v>
      </x:c>
      <x:c r="R191" s="112" t="n">
        <x:v>418</x:v>
      </x:c>
      <x:c r="S191" s="113" t="n">
        <x:v>419</x:v>
      </x:c>
    </x:row>
    <x:row r="192">
      <x:c r="A192" s="111" t="n">
        <x:v>192</x:v>
      </x:c>
      <x:c r="B192" s="112" t="str">
        <x:v>TCBN 1KG 2.5</x:v>
      </x:c>
      <x:c r="C192" s="112" t="str">
        <x:v>TCBN15</x:v>
      </x:c>
      <x:c r="D192" s="112" t="str">
        <x:v>TCBN15T</x:v>
      </x:c>
      <x:c r="E192" s="120"/>
      <x:c r="F192" s="120" t="n">
        <x:v>30000</x:v>
      </x:c>
      <x:c r="G192" s="120" t="n">
        <x:v>30000</x:v>
      </x:c>
      <x:c r="H192" s="112" t="str">
        <x:v>BỔ SUNG GIÁ</x:v>
      </x:c>
      <x:c r="I192" s="112" t="n">
        <x:v>0</x:v>
      </x:c>
      <x:c r="J192" s="112" t="str">
        <x:v>g</x:v>
      </x:c>
      <x:c r="K192" s="112" t="str">
        <x:v>GÓI</x:v>
      </x:c>
      <x:c r="L192" s="112" t="n">
        <x:v>0</x:v>
      </x:c>
      <x:c r="M192" s="112" t="str">
        <x:v>g</x:v>
      </x:c>
      <x:c r="N192" s="112" t="str">
        <x:v>THÙNG</x:v>
      </x:c>
      <x:c r="O192" s="112" t="n">
        <x:v>18</x:v>
      </x:c>
      <x:c r="P192" s="112" t="str">
        <x:v>0 g / GÓI</x:v>
      </x:c>
      <x:c r="Q192" s="112" t="str">
        <x:v>18 GÓI / THÙNG</x:v>
      </x:c>
      <x:c r="R192" s="112" t="n">
        <x:v>420</x:v>
      </x:c>
      <x:c r="S192" s="113" t="n">
        <x:v>421</x:v>
      </x:c>
    </x:row>
    <x:row r="193">
      <x:c r="A193" s="111" t="n">
        <x:v>193</x:v>
      </x:c>
      <x:c r="B193" s="112" t="str">
        <x:v>TC GIA UY TRẮNG</x:v>
      </x:c>
      <x:c r="C193" s="112" t="str">
        <x:v>TCTRGU</x:v>
      </x:c>
      <x:c r="D193" s="112" t="str">
        <x:v>TCTRGUT</x:v>
      </x:c>
      <x:c r="E193" s="120" t="n">
        <x:v>59000</x:v>
      </x:c>
      <x:c r="F193" s="120" t="n">
        <x:v>59000</x:v>
      </x:c>
      <x:c r="G193" s="120" t="n">
        <x:v>59000</x:v>
      </x:c>
      <x:c r="H193" s="112" t="str">
        <x:v>GIỮ NGUYÊN - ĐÃ KHỚP</x:v>
      </x:c>
      <x:c r="I193" s="112" t="n">
        <x:v>2</x:v>
      </x:c>
      <x:c r="J193" s="112" t="str">
        <x:v>kg</x:v>
      </x:c>
      <x:c r="K193" s="112" t="str">
        <x:v>BỊCH</x:v>
      </x:c>
      <x:c r="L193" s="112" t="n">
        <x:v>21000</x:v>
      </x:c>
      <x:c r="M193" s="112" t="str">
        <x:v>g</x:v>
      </x:c>
      <x:c r="N193" s="112" t="str">
        <x:v>THÙNG</x:v>
      </x:c>
      <x:c r="O193" s="112" t="n">
        <x:v>10</x:v>
      </x:c>
      <x:c r="P193" s="112" t="str">
        <x:v>2 kg / BỊCH</x:v>
      </x:c>
      <x:c r="Q193" s="112" t="str">
        <x:v>10 BỊCH / THÙNG</x:v>
      </x:c>
      <x:c r="R193" s="112" t="n">
        <x:v>423</x:v>
      </x:c>
      <x:c r="S193" s="113" t="n">
        <x:v>424</x:v>
      </x:c>
    </x:row>
    <x:row r="194">
      <x:c r="A194" s="111" t="n">
        <x:v>194</x:v>
      </x:c>
      <x:c r="B194" s="112" t="str">
        <x:v>TC GIA UY MINI</x:v>
      </x:c>
      <x:c r="C194" s="112" t="str">
        <x:v>TCMNGU</x:v>
      </x:c>
      <x:c r="D194" s="112" t="str">
        <x:v>TCMNGUT</x:v>
      </x:c>
      <x:c r="E194" s="120" t="n">
        <x:v>55000</x:v>
      </x:c>
      <x:c r="F194" s="120" t="n">
        <x:v>55000</x:v>
      </x:c>
      <x:c r="G194" s="120" t="n">
        <x:v>55000</x:v>
      </x:c>
      <x:c r="H194" s="112" t="str">
        <x:v>GIỮ NGUYÊN - ĐÃ KHỚP</x:v>
      </x:c>
      <x:c r="I194" s="112" t="n">
        <x:v>2</x:v>
      </x:c>
      <x:c r="J194" s="112" t="str">
        <x:v>kg</x:v>
      </x:c>
      <x:c r="K194" s="112" t="str">
        <x:v>BỊCH</x:v>
      </x:c>
      <x:c r="L194" s="112" t="n">
        <x:v>21000</x:v>
      </x:c>
      <x:c r="M194" s="112" t="str">
        <x:v>g</x:v>
      </x:c>
      <x:c r="N194" s="112" t="str">
        <x:v>THÙNG</x:v>
      </x:c>
      <x:c r="O194" s="112" t="n">
        <x:v>10</x:v>
      </x:c>
      <x:c r="P194" s="112" t="str">
        <x:v>2 kg / BỊCH</x:v>
      </x:c>
      <x:c r="Q194" s="112" t="str">
        <x:v>10 BỊCH / THÙNG</x:v>
      </x:c>
      <x:c r="R194" s="112" t="n">
        <x:v>425</x:v>
      </x:c>
      <x:c r="S194" s="113" t="n">
        <x:v>426</x:v>
      </x:c>
    </x:row>
    <x:row r="195">
      <x:c r="A195" s="111" t="n">
        <x:v>195</x:v>
      </x:c>
      <x:c r="B195" s="112" t="str">
        <x:v>TC GIA UY CAFE</x:v>
      </x:c>
      <x:c r="C195" s="112" t="str">
        <x:v>TCCFGU</x:v>
      </x:c>
      <x:c r="D195" s="112" t="str">
        <x:v>TCCFGUT</x:v>
      </x:c>
      <x:c r="E195" s="120" t="n">
        <x:v>55000</x:v>
      </x:c>
      <x:c r="F195" s="120" t="n">
        <x:v>55000</x:v>
      </x:c>
      <x:c r="G195" s="120" t="n">
        <x:v>55000</x:v>
      </x:c>
      <x:c r="H195" s="112" t="str">
        <x:v>GIỮ NGUYÊN - ĐÃ KHỚP</x:v>
      </x:c>
      <x:c r="I195" s="112" t="n">
        <x:v>2</x:v>
      </x:c>
      <x:c r="J195" s="112" t="str">
        <x:v>kg</x:v>
      </x:c>
      <x:c r="K195" s="112" t="str">
        <x:v>BỊCH</x:v>
      </x:c>
      <x:c r="L195" s="112" t="n">
        <x:v>21000</x:v>
      </x:c>
      <x:c r="M195" s="112" t="str">
        <x:v>g</x:v>
      </x:c>
      <x:c r="N195" s="112" t="str">
        <x:v>THÙNG</x:v>
      </x:c>
      <x:c r="O195" s="112" t="n">
        <x:v>10</x:v>
      </x:c>
      <x:c r="P195" s="112" t="str">
        <x:v>2 kg / BỊCH</x:v>
      </x:c>
      <x:c r="Q195" s="112" t="str">
        <x:v>10 BỊCH / THÙNG</x:v>
      </x:c>
      <x:c r="R195" s="112" t="n">
        <x:v>427</x:v>
      </x:c>
      <x:c r="S195" s="113" t="n">
        <x:v>428</x:v>
      </x:c>
    </x:row>
    <x:row r="196">
      <x:c r="A196" s="111" t="n">
        <x:v>196</x:v>
      </x:c>
      <x:c r="B196" s="112" t="str">
        <x:v>TẮC XÍ MUỘI</x:v>
      </x:c>
      <x:c r="C196" s="112" t="str">
        <x:v>TXMUOI</x:v>
      </x:c>
      <x:c r="D196" s="112" t="str">
        <x:v>TXMUOIT</x:v>
      </x:c>
      <x:c r="E196" s="120"/>
      <x:c r="F196" s="120" t="n">
        <x:v>45000</x:v>
      </x:c>
      <x:c r="G196" s="120" t="n">
        <x:v>45000</x:v>
      </x:c>
      <x:c r="H196" s="112" t="str">
        <x:v>BỔ SUNG GIÁ</x:v>
      </x:c>
      <x:c r="I196" s="112" t="n">
        <x:v>0</x:v>
      </x:c>
      <x:c r="J196" s="112" t="str">
        <x:v>g</x:v>
      </x:c>
      <x:c r="K196" s="112" t="str">
        <x:v>HỦ</x:v>
      </x:c>
      <x:c r="L196" s="112" t="n">
        <x:v>0</x:v>
      </x:c>
      <x:c r="M196" s="112" t="str">
        <x:v>g</x:v>
      </x:c>
      <x:c r="N196" s="112" t="str">
        <x:v>THÙNG</x:v>
      </x:c>
      <x:c r="O196" s="112" t="n">
        <x:v>12</x:v>
      </x:c>
      <x:c r="P196" s="112" t="str">
        <x:v>0 g / HỦ</x:v>
      </x:c>
      <x:c r="Q196" s="112" t="str">
        <x:v>12 HỦ / THÙNG</x:v>
      </x:c>
      <x:c r="R196" s="112" t="n">
        <x:v>431</x:v>
      </x:c>
      <x:c r="S196" s="113" t="n">
        <x:v>432</x:v>
      </x:c>
    </x:row>
    <x:row r="197">
      <x:c r="A197" s="111" t="n">
        <x:v>197</x:v>
      </x:c>
      <x:c r="B197" s="112" t="str">
        <x:v>GTP TÁO</x:v>
      </x:c>
      <x:c r="C197" s="112" t="str">
        <x:v>GTPTAO</x:v>
      </x:c>
      <x:c r="D197" s="112" t="str">
        <x:v>GTPTAOT</x:v>
      </x:c>
      <x:c r="E197" s="120" t="n">
        <x:v>140000</x:v>
      </x:c>
      <x:c r="F197" s="120" t="n">
        <x:v>142000</x:v>
      </x:c>
      <x:c r="G197" s="120" t="n">
        <x:v>142000</x:v>
      </x:c>
      <x:c r="H197" s="112" t="str">
        <x:v>CẬP NHẬT GIÁ</x:v>
      </x:c>
      <x:c r="I197" s="112" t="n">
        <x:v>2550</x:v>
      </x:c>
      <x:c r="J197" s="112" t="str">
        <x:v>g</x:v>
      </x:c>
      <x:c r="K197" s="112" t="str">
        <x:v>BÌNH</x:v>
      </x:c>
      <x:c r="L197" s="112" t="n">
        <x:v>16000</x:v>
      </x:c>
      <x:c r="M197" s="112" t="str">
        <x:v>g</x:v>
      </x:c>
      <x:c r="N197" s="112" t="str">
        <x:v>THÙNG</x:v>
      </x:c>
      <x:c r="O197" s="112" t="n">
        <x:v>6</x:v>
      </x:c>
      <x:c r="P197" s="112" t="str">
        <x:v>2550 g / BÌNH</x:v>
      </x:c>
      <x:c r="Q197" s="112" t="str">
        <x:v>6 BÌNH / THÙNG</x:v>
      </x:c>
      <x:c r="R197" s="112" t="n">
        <x:v>433</x:v>
      </x:c>
      <x:c r="S197" s="113" t="n">
        <x:v>434</x:v>
      </x:c>
    </x:row>
    <x:row r="198">
      <x:c r="A198" s="111" t="n">
        <x:v>198</x:v>
      </x:c>
      <x:c r="B198" s="112" t="str">
        <x:v>SƯƠNG SÁO TRẮNG TP</x:v>
      </x:c>
      <x:c r="C198" s="112" t="str">
        <x:v>SSTRTP</x:v>
      </x:c>
      <x:c r="D198" s="112" t="str">
        <x:v>SSTRTPT</x:v>
      </x:c>
      <x:c r="E198" s="120" t="n">
        <x:v>16000</x:v>
      </x:c>
      <x:c r="F198" s="120" t="n">
        <x:v>16000</x:v>
      </x:c>
      <x:c r="G198" s="120" t="n">
        <x:v>16000</x:v>
      </x:c>
      <x:c r="H198" s="112" t="str">
        <x:v>GIỮ NGUYÊN - ĐÃ KHỚP</x:v>
      </x:c>
      <x:c r="I198" s="112" t="n">
        <x:v>0</x:v>
      </x:c>
      <x:c r="J198" s="112" t="str">
        <x:v>g</x:v>
      </x:c>
      <x:c r="K198" s="112" t="str">
        <x:v>GÓI</x:v>
      </x:c>
      <x:c r="L198" s="112" t="n">
        <x:v>2</x:v>
      </x:c>
      <x:c r="M198" s="112" t="str">
        <x:v>kg</x:v>
      </x:c>
      <x:c r="N198" s="112" t="str">
        <x:v>THÙNG</x:v>
      </x:c>
      <x:c r="O198" s="112" t="n">
        <x:v>100</x:v>
      </x:c>
      <x:c r="P198" s="112" t="str">
        <x:v>0 g / GÓI</x:v>
      </x:c>
      <x:c r="Q198" s="112" t="str">
        <x:v>100 GÓI / THÙNG</x:v>
      </x:c>
      <x:c r="R198" s="112" t="n">
        <x:v>435</x:v>
      </x:c>
      <x:c r="S198" s="113" t="n">
        <x:v>436</x:v>
      </x:c>
    </x:row>
    <x:row r="199">
      <x:c r="A199" s="111" t="n">
        <x:v>199</x:v>
      </x:c>
      <x:c r="B199" s="112" t="str">
        <x:v>SƯƠNG SÁO MOTA</x:v>
      </x:c>
      <x:c r="C199" s="112" t="str">
        <x:v>SSMOTA</x:v>
      </x:c>
      <x:c r="D199" s="112" t="str">
        <x:v>SSMOTAT</x:v>
      </x:c>
      <x:c r="E199" s="120" t="n">
        <x:v>13000</x:v>
      </x:c>
      <x:c r="F199" s="120" t="n">
        <x:v>13000</x:v>
      </x:c>
      <x:c r="G199" s="120" t="n">
        <x:v>13000</x:v>
      </x:c>
      <x:c r="H199" s="112" t="str">
        <x:v>GIỮ NGUYÊN - ĐÃ KHỚP</x:v>
      </x:c>
      <x:c r="I199" s="112" t="n">
        <x:v>60</x:v>
      </x:c>
      <x:c r="J199" s="112" t="str">
        <x:v>g</x:v>
      </x:c>
      <x:c r="K199" s="112" t="str">
        <x:v>GÓI</x:v>
      </x:c>
      <x:c r="L199" s="112" t="n">
        <x:v>2</x:v>
      </x:c>
      <x:c r="M199" s="112" t="str">
        <x:v>kg</x:v>
      </x:c>
      <x:c r="N199" s="112" t="str">
        <x:v>THÙNG</x:v>
      </x:c>
      <x:c r="O199" s="112" t="n">
        <x:v>100</x:v>
      </x:c>
      <x:c r="P199" s="112" t="str">
        <x:v>60 g / GÓI</x:v>
      </x:c>
      <x:c r="Q199" s="112" t="str">
        <x:v>100 GÓI / THÙNG</x:v>
      </x:c>
      <x:c r="R199" s="112" t="n">
        <x:v>437</x:v>
      </x:c>
      <x:c r="S199" s="113" t="n">
        <x:v>438</x:v>
      </x:c>
    </x:row>
    <x:row r="200">
      <x:c r="A200" s="111" t="n">
        <x:v>200</x:v>
      </x:c>
      <x:c r="B200" s="112" t="str">
        <x:v>SƯƠNG SÁO ĐEN TP</x:v>
      </x:c>
      <x:c r="C200" s="112" t="str">
        <x:v>SSDETP</x:v>
      </x:c>
      <x:c r="D200" s="112" t="str">
        <x:v>SSDETPT</x:v>
      </x:c>
      <x:c r="E200" s="120" t="n">
        <x:v>16000</x:v>
      </x:c>
      <x:c r="F200" s="120" t="n">
        <x:v>16000</x:v>
      </x:c>
      <x:c r="G200" s="120" t="n">
        <x:v>16000</x:v>
      </x:c>
      <x:c r="H200" s="112" t="str">
        <x:v>GIỮ NGUYÊN - ĐÃ KHỚP</x:v>
      </x:c>
      <x:c r="I200" s="112" t="n">
        <x:v>0</x:v>
      </x:c>
      <x:c r="J200" s="112" t="str">
        <x:v>g</x:v>
      </x:c>
      <x:c r="K200" s="112" t="str">
        <x:v>GÓI</x:v>
      </x:c>
      <x:c r="L200" s="112" t="n">
        <x:v>0</x:v>
      </x:c>
      <x:c r="M200" s="112" t="str">
        <x:v>g</x:v>
      </x:c>
      <x:c r="N200" s="112" t="str">
        <x:v>THÙNG</x:v>
      </x:c>
      <x:c r="O200" s="112" t="n">
        <x:v>100</x:v>
      </x:c>
      <x:c r="P200" s="112" t="str">
        <x:v>0 g / GÓI</x:v>
      </x:c>
      <x:c r="Q200" s="112" t="str">
        <x:v>100 GÓI / THÙNG</x:v>
      </x:c>
      <x:c r="R200" s="112" t="n">
        <x:v>439</x:v>
      </x:c>
      <x:c r="S200" s="113" t="n">
        <x:v>440</x:v>
      </x:c>
    </x:row>
    <x:row r="201">
      <x:c r="A201" s="111" t="n">
        <x:v>201</x:v>
      </x:c>
      <x:c r="B201" s="112" t="str">
        <x:v>SỮA THÁI HOA HỒNG</x:v>
      </x:c>
      <x:c r="C201" s="112" t="str">
        <x:v>STHHH</x:v>
      </x:c>
      <x:c r="D201" s="112" t="str">
        <x:v>STHHHT</x:v>
      </x:c>
      <x:c r="E201" s="120"/>
      <x:c r="F201" s="120" t="n">
        <x:v>22000</x:v>
      </x:c>
      <x:c r="G201" s="120" t="n">
        <x:v>22000</x:v>
      </x:c>
      <x:c r="H201" s="112" t="str">
        <x:v>BỔ SUNG GIÁ</x:v>
      </x:c>
      <x:c r="I201" s="112" t="n">
        <x:v>0.6</x:v>
      </x:c>
      <x:c r="J201" s="112" t="str">
        <x:v>kg</x:v>
      </x:c>
      <x:c r="K201" s="112" t="str">
        <x:v>LON</x:v>
      </x:c>
      <x:c r="L201" s="112" t="n">
        <x:v>28</x:v>
      </x:c>
      <x:c r="M201" s="112" t="str">
        <x:v>kg</x:v>
      </x:c>
      <x:c r="N201" s="112" t="str">
        <x:v>THÙNG</x:v>
      </x:c>
      <x:c r="O201" s="112" t="n">
        <x:v>48</x:v>
      </x:c>
      <x:c r="P201" s="112" t="str">
        <x:v>0.6 kg / LON</x:v>
      </x:c>
      <x:c r="Q201" s="112" t="str">
        <x:v>48 LON / THÙNG</x:v>
      </x:c>
      <x:c r="R201" s="112" t="n">
        <x:v>443</x:v>
      </x:c>
      <x:c r="S201" s="113" t="n">
        <x:v>444</x:v>
      </x:c>
    </x:row>
    <x:row r="202">
      <x:c r="A202" s="111" t="n">
        <x:v>202</x:v>
      </x:c>
      <x:c r="B202" s="112" t="str">
        <x:v>SỮA TƯƠI BA LAN</x:v>
      </x:c>
      <x:c r="C202" s="112" t="str">
        <x:v>SBALAN</x:v>
      </x:c>
      <x:c r="D202" s="112" t="str">
        <x:v>SBALANT</x:v>
      </x:c>
      <x:c r="E202" s="120" t="n">
        <x:v>30000</x:v>
      </x:c>
      <x:c r="F202" s="120" t="n">
        <x:v>30000</x:v>
      </x:c>
      <x:c r="G202" s="120" t="n">
        <x:v>30000</x:v>
      </x:c>
      <x:c r="H202" s="112" t="str">
        <x:v>GIỮ NGUYÊN - ĐÃ KHỚP</x:v>
      </x:c>
      <x:c r="I202" s="112" t="n">
        <x:v>1100</x:v>
      </x:c>
      <x:c r="J202" s="112" t="str">
        <x:v>g</x:v>
      </x:c>
      <x:c r="K202" s="112" t="str">
        <x:v>HỘP</x:v>
      </x:c>
      <x:c r="L202" s="112" t="n">
        <x:v>13000</x:v>
      </x:c>
      <x:c r="M202" s="112" t="str">
        <x:v>g</x:v>
      </x:c>
      <x:c r="N202" s="112" t="str">
        <x:v>THÙNG</x:v>
      </x:c>
      <x:c r="O202" s="112" t="n">
        <x:v>12</x:v>
      </x:c>
      <x:c r="P202" s="112" t="str">
        <x:v>1100 g / HỘP</x:v>
      </x:c>
      <x:c r="Q202" s="112" t="str">
        <x:v>12 HỘP / THÙNG</x:v>
      </x:c>
      <x:c r="R202" s="112" t="n">
        <x:v>446</x:v>
      </x:c>
      <x:c r="S202" s="113" t="n">
        <x:v>447</x:v>
      </x:c>
    </x:row>
    <x:row r="203">
      <x:c r="A203" s="111" t="n">
        <x:v>203</x:v>
      </x:c>
      <x:c r="B203" s="112" t="str">
        <x:v>SỮA RICH</x:v>
      </x:c>
      <x:c r="C203" s="112" t="str">
        <x:v>RICHLN</x:v>
      </x:c>
      <x:c r="D203" s="112" t="str">
        <x:v>RICHLNT</x:v>
      </x:c>
      <x:c r="E203" s="120"/>
      <x:c r="F203" s="120" t="n">
        <x:v>32000</x:v>
      </x:c>
      <x:c r="G203" s="120" t="n">
        <x:v>32000</x:v>
      </x:c>
      <x:c r="H203" s="112" t="str">
        <x:v>BỔ SUNG GIÁ</x:v>
      </x:c>
      <x:c r="I203" s="112" t="n">
        <x:v>500</x:v>
      </x:c>
      <x:c r="J203" s="112" t="str">
        <x:v>g</x:v>
      </x:c>
      <x:c r="K203" s="112" t="str">
        <x:v>HỘP</x:v>
      </x:c>
      <x:c r="L203" s="112" t="n">
        <x:v>13000</x:v>
      </x:c>
      <x:c r="M203" s="112" t="str">
        <x:v>g</x:v>
      </x:c>
      <x:c r="N203" s="112" t="str">
        <x:v>THÙNG</x:v>
      </x:c>
      <x:c r="O203" s="112" t="n">
        <x:v>24</x:v>
      </x:c>
      <x:c r="P203" s="112" t="str">
        <x:v>500 g / HỘP</x:v>
      </x:c>
      <x:c r="Q203" s="112" t="str">
        <x:v>24 HỘP / THÙNG</x:v>
      </x:c>
      <x:c r="R203" s="112" t="n">
        <x:v>449</x:v>
      </x:c>
      <x:c r="S203" s="113" t="n">
        <x:v>450</x:v>
      </x:c>
    </x:row>
    <x:row r="204">
      <x:c r="A204" s="111" t="n">
        <x:v>204</x:v>
      </x:c>
      <x:c r="B204" s="112" t="str">
        <x:v>BỘT SỮA MOTA</x:v>
      </x:c>
      <x:c r="C204" s="112" t="str">
        <x:v>BSMOTA</x:v>
      </x:c>
      <x:c r="D204" s="112" t="str">
        <x:v>BSMOTAT</x:v>
      </x:c>
      <x:c r="E204" s="120"/>
      <x:c r="F204" s="120" t="n">
        <x:v>65000</x:v>
      </x:c>
      <x:c r="G204" s="120" t="n">
        <x:v>65000</x:v>
      </x:c>
      <x:c r="H204" s="112" t="str">
        <x:v>BỔ SUNG GIÁ</x:v>
      </x:c>
      <x:c r="I204" s="112" t="n">
        <x:v>1000</x:v>
      </x:c>
      <x:c r="J204" s="112" t="str">
        <x:v>g</x:v>
      </x:c>
      <x:c r="K204" s="112" t="str">
        <x:v>BỊCH</x:v>
      </x:c>
      <x:c r="L204" s="112" t="n">
        <x:v>13</x:v>
      </x:c>
      <x:c r="M204" s="112" t="str">
        <x:v>kg</x:v>
      </x:c>
      <x:c r="N204" s="112" t="str">
        <x:v>THÙNG</x:v>
      </x:c>
      <x:c r="O204" s="112" t="n">
        <x:v>12</x:v>
      </x:c>
      <x:c r="P204" s="112" t="str">
        <x:v>1000 g / BỊCH</x:v>
      </x:c>
      <x:c r="Q204" s="112" t="str">
        <x:v>12 BỊCH / THÙNG</x:v>
      </x:c>
      <x:c r="R204" s="112" t="n">
        <x:v>451</x:v>
      </x:c>
      <x:c r="S204" s="113" t="n">
        <x:v>452</x:v>
      </x:c>
    </x:row>
    <x:row r="205">
      <x:c r="A205" s="111" t="n">
        <x:v>205</x:v>
      </x:c>
      <x:c r="B205" s="112" t="str">
        <x:v>SỮA LACROSS NGANG</x:v>
      </x:c>
      <x:c r="C205" s="112" t="str">
        <x:v>SLACRN</x:v>
      </x:c>
      <x:c r="D205" s="112" t="str">
        <x:v>SLACRNT</x:v>
      </x:c>
      <x:c r="E205" s="120" t="n">
        <x:v>41000</x:v>
      </x:c>
      <x:c r="F205" s="120" t="n">
        <x:v>41000</x:v>
      </x:c>
      <x:c r="G205" s="120" t="n">
        <x:v>41000</x:v>
      </x:c>
      <x:c r="H205" s="112" t="str">
        <x:v>GIỮ NGUYÊN - ĐÃ KHỚP</x:v>
      </x:c>
      <x:c r="I205" s="112" t="n">
        <x:v>1000</x:v>
      </x:c>
      <x:c r="J205" s="112" t="str">
        <x:v>g</x:v>
      </x:c>
      <x:c r="K205" s="112" t="str">
        <x:v>LON</x:v>
      </x:c>
      <x:c r="L205" s="112" t="n">
        <x:v>28000</x:v>
      </x:c>
      <x:c r="M205" s="112" t="str">
        <x:v>g</x:v>
      </x:c>
      <x:c r="N205" s="112" t="str">
        <x:v>THÙNG</x:v>
      </x:c>
      <x:c r="O205" s="112" t="n">
        <x:v>24</x:v>
      </x:c>
      <x:c r="P205" s="112" t="str">
        <x:v>1000 g / LON</x:v>
      </x:c>
      <x:c r="Q205" s="112" t="str">
        <x:v>24 LON / THÙNG</x:v>
      </x:c>
      <x:c r="R205" s="112" t="n">
        <x:v>453</x:v>
      </x:c>
      <x:c r="S205" s="113" t="n">
        <x:v>454</x:v>
      </x:c>
    </x:row>
    <x:row r="206">
      <x:c r="A206" s="111" t="n">
        <x:v>206</x:v>
      </x:c>
      <x:c r="B206" s="112" t="str">
        <x:v>SỮA LACROSS GIẬT</x:v>
      </x:c>
      <x:c r="C206" s="112" t="str">
        <x:v>SLACRG</x:v>
      </x:c>
      <x:c r="D206" s="112" t="str">
        <x:v>SLACRGT</x:v>
      </x:c>
      <x:c r="E206" s="120" t="n">
        <x:v>42000</x:v>
      </x:c>
      <x:c r="F206" s="120" t="n">
        <x:v>42000</x:v>
      </x:c>
      <x:c r="G206" s="120" t="n">
        <x:v>42000</x:v>
      </x:c>
      <x:c r="H206" s="112" t="str">
        <x:v>GIỮ NGUYÊN - ĐÃ KHỚP</x:v>
      </x:c>
      <x:c r="I206" s="112" t="n">
        <x:v>1</x:v>
      </x:c>
      <x:c r="J206" s="112" t="str">
        <x:v>kg</x:v>
      </x:c>
      <x:c r="K206" s="112" t="str">
        <x:v>LON</x:v>
      </x:c>
      <x:c r="L206" s="112" t="n">
        <x:v>28000</x:v>
      </x:c>
      <x:c r="M206" s="112" t="str">
        <x:v>g</x:v>
      </x:c>
      <x:c r="N206" s="112" t="str">
        <x:v>THÙNG</x:v>
      </x:c>
      <x:c r="O206" s="112" t="n">
        <x:v>24</x:v>
      </x:c>
      <x:c r="P206" s="112" t="str">
        <x:v>1 kg / LON</x:v>
      </x:c>
      <x:c r="Q206" s="112" t="str">
        <x:v>24 LON / THÙNG</x:v>
      </x:c>
      <x:c r="R206" s="112" t="n">
        <x:v>455</x:v>
      </x:c>
      <x:c r="S206" s="113" t="n">
        <x:v>456</x:v>
      </x:c>
    </x:row>
    <x:row r="207">
      <x:c r="A207" s="111" t="n">
        <x:v>207</x:v>
      </x:c>
      <x:c r="B207" s="112" t="str">
        <x:v>ICEHOT LÙN (RICH MỚI)</x:v>
      </x:c>
      <x:c r="C207" s="112" t="str">
        <x:v>ICEHLN</x:v>
      </x:c>
      <x:c r="D207" s="112" t="str">
        <x:v>ICEHLNT</x:v>
      </x:c>
      <x:c r="E207" s="120" t="n">
        <x:v>32000</x:v>
      </x:c>
      <x:c r="F207" s="120" t="n">
        <x:v>31000</x:v>
      </x:c>
      <x:c r="G207" s="120" t="n">
        <x:v>31000</x:v>
      </x:c>
      <x:c r="H207" s="112" t="str">
        <x:v>CẬP NHẬT GIÁ</x:v>
      </x:c>
      <x:c r="I207" s="112" t="n">
        <x:v>0</x:v>
      </x:c>
      <x:c r="J207" s="112" t="str">
        <x:v>kg</x:v>
      </x:c>
      <x:c r="K207" s="112" t="str">
        <x:v>HỘP</x:v>
      </x:c>
      <x:c r="L207" s="112" t="n">
        <x:v>13</x:v>
      </x:c>
      <x:c r="M207" s="112" t="str">
        <x:v>kg</x:v>
      </x:c>
      <x:c r="N207" s="112" t="str">
        <x:v>THÙNG</x:v>
      </x:c>
      <x:c r="O207" s="112" t="n">
        <x:v>24</x:v>
      </x:c>
      <x:c r="P207" s="112" t="str">
        <x:v>0 kg / HỘP</x:v>
      </x:c>
      <x:c r="Q207" s="112" t="str">
        <x:v>24 HỘP / THÙNG</x:v>
      </x:c>
      <x:c r="R207" s="112" t="n">
        <x:v>458</x:v>
      </x:c>
      <x:c r="S207" s="113" t="n">
        <x:v>459</x:v>
      </x:c>
    </x:row>
    <x:row r="208">
      <x:c r="A208" s="111" t="n">
        <x:v>208</x:v>
      </x:c>
      <x:c r="B208" s="112" t="str">
        <x:v>SỮA ICE HOT ĐA DỤNG</x:v>
      </x:c>
      <x:c r="C208" s="112" t="str">
        <x:v>ICEHDD</x:v>
      </x:c>
      <x:c r="D208" s="112" t="str">
        <x:v>ICEHDDT</x:v>
      </x:c>
      <x:c r="E208" s="120"/>
      <x:c r="F208" s="120" t="n">
        <x:v>0</x:v>
      </x:c>
      <x:c r="G208" s="120"/>
      <x:c r="H208" s="112" t="str">
        <x:v>DS SP GIÁ 0 - VẪN THIẾU GIÁ</x:v>
      </x:c>
      <x:c r="I208" s="112" t="n">
        <x:v>0</x:v>
      </x:c>
      <x:c r="J208" s="112" t="str">
        <x:v>g</x:v>
      </x:c>
      <x:c r="K208" s="112" t="str">
        <x:v>HỘP</x:v>
      </x:c>
      <x:c r="L208" s="112" t="n">
        <x:v>0</x:v>
      </x:c>
      <x:c r="M208" s="112" t="str">
        <x:v>g</x:v>
      </x:c>
      <x:c r="N208" s="112" t="str">
        <x:v>THÙNG</x:v>
      </x:c>
      <x:c r="O208" s="112" t="n">
        <x:v>12</x:v>
      </x:c>
      <x:c r="P208" s="112" t="str">
        <x:v>0 g / HỘP</x:v>
      </x:c>
      <x:c r="Q208" s="112" t="str">
        <x:v>12 HỘP / THÙNG</x:v>
      </x:c>
      <x:c r="R208" s="112" t="n">
        <x:v>460</x:v>
      </x:c>
      <x:c r="S208" s="113" t="n">
        <x:v>461</x:v>
      </x:c>
    </x:row>
    <x:row r="209">
      <x:c r="A209" s="111" t="n">
        <x:v>209</x:v>
      </x:c>
      <x:c r="B209" s="112" t="str">
        <x:v>ICEHOT CAO</x:v>
      </x:c>
      <x:c r="C209" s="112" t="str">
        <x:v>ICEHCA</x:v>
      </x:c>
      <x:c r="D209" s="112" t="str">
        <x:v>ICEHCAT</x:v>
      </x:c>
      <x:c r="E209" s="120"/>
      <x:c r="F209" s="120" t="n">
        <x:v>72000</x:v>
      </x:c>
      <x:c r="G209" s="120" t="n">
        <x:v>72000</x:v>
      </x:c>
      <x:c r="H209" s="112" t="str">
        <x:v>BỔ SUNG GIÁ</x:v>
      </x:c>
      <x:c r="I209" s="112" t="n">
        <x:v>1</x:v>
      </x:c>
      <x:c r="J209" s="112" t="str">
        <x:v>kg</x:v>
      </x:c>
      <x:c r="K209" s="112" t="str">
        <x:v>HỘP</x:v>
      </x:c>
      <x:c r="L209" s="112" t="n">
        <x:v>1</x:v>
      </x:c>
      <x:c r="M209" s="112" t="str">
        <x:v>kg</x:v>
      </x:c>
      <x:c r="N209" s="112" t="str">
        <x:v>THÙNG</x:v>
      </x:c>
      <x:c r="O209" s="112" t="n">
        <x:v>12</x:v>
      </x:c>
      <x:c r="P209" s="112" t="str">
        <x:v>1 kg / HỘP</x:v>
      </x:c>
      <x:c r="Q209" s="112" t="str">
        <x:v>12 HỘP / THÙNG</x:v>
      </x:c>
      <x:c r="R209" s="112" t="n">
        <x:v>462</x:v>
      </x:c>
      <x:c r="S209" s="113" t="n">
        <x:v>463</x:v>
      </x:c>
    </x:row>
    <x:row r="210">
      <x:c r="A210" s="111" t="n">
        <x:v>210</x:v>
      </x:c>
      <x:c r="B210" s="112" t="str">
        <x:v>SỮA GOLD VÀNG</x:v>
      </x:c>
      <x:c r="C210" s="112" t="str">
        <x:v>GOLDVA</x:v>
      </x:c>
      <x:c r="D210" s="112" t="str">
        <x:v>GOLDVAT</x:v>
      </x:c>
      <x:c r="E210" s="120"/>
      <x:c r="F210" s="120" t="n">
        <x:v>72000</x:v>
      </x:c>
      <x:c r="G210" s="120" t="n">
        <x:v>72000</x:v>
      </x:c>
      <x:c r="H210" s="112" t="str">
        <x:v>BỔ SUNG GIÁ</x:v>
      </x:c>
      <x:c r="I210" s="112" t="n">
        <x:v>1</x:v>
      </x:c>
      <x:c r="J210" s="112" t="str">
        <x:v>kg</x:v>
      </x:c>
      <x:c r="K210" s="112" t="str">
        <x:v>HỘP</x:v>
      </x:c>
      <x:c r="L210" s="112" t="n">
        <x:v>12</x:v>
      </x:c>
      <x:c r="M210" s="112" t="str">
        <x:v>kg</x:v>
      </x:c>
      <x:c r="N210" s="112" t="str">
        <x:v>THÙNG</x:v>
      </x:c>
      <x:c r="O210" s="112" t="n">
        <x:v>12</x:v>
      </x:c>
      <x:c r="P210" s="112" t="str">
        <x:v>1 kg / HỘP</x:v>
      </x:c>
      <x:c r="Q210" s="112" t="str">
        <x:v>12 HỘP / THÙNG</x:v>
      </x:c>
      <x:c r="R210" s="112" t="n">
        <x:v>465</x:v>
      </x:c>
      <x:c r="S210" s="113" t="n">
        <x:v>466</x:v>
      </x:c>
    </x:row>
    <x:row r="211">
      <x:c r="A211" s="111" t="n">
        <x:v>211</x:v>
      </x:c>
      <x:c r="B211" s="112" t="str">
        <x:v>SỮA ĐẶC NIDO</x:v>
      </x:c>
      <x:c r="C211" s="112" t="str">
        <x:v>SDNIDO</x:v>
      </x:c>
      <x:c r="D211" s="112" t="str">
        <x:v>SDNIDOT</x:v>
      </x:c>
      <x:c r="E211" s="120"/>
      <x:c r="F211" s="120" t="n">
        <x:v>41000</x:v>
      </x:c>
      <x:c r="G211" s="120" t="n">
        <x:v>41000</x:v>
      </x:c>
      <x:c r="H211" s="112" t="str">
        <x:v>BỔ SUNG GIÁ</x:v>
      </x:c>
      <x:c r="I211" s="112" t="n">
        <x:v>1</x:v>
      </x:c>
      <x:c r="J211" s="112" t="str">
        <x:v>kg</x:v>
      </x:c>
      <x:c r="K211" s="112" t="str">
        <x:v>LON</x:v>
      </x:c>
      <x:c r="L211" s="112" t="n">
        <x:v>28000</x:v>
      </x:c>
      <x:c r="M211" s="112" t="str">
        <x:v>g</x:v>
      </x:c>
      <x:c r="N211" s="112" t="str">
        <x:v>THÙNG</x:v>
      </x:c>
      <x:c r="O211" s="112" t="n">
        <x:v>24</x:v>
      </x:c>
      <x:c r="P211" s="112" t="str">
        <x:v>1 kg / LON</x:v>
      </x:c>
      <x:c r="Q211" s="112" t="str">
        <x:v>24 LON / THÙNG</x:v>
      </x:c>
      <x:c r="R211" s="112" t="n">
        <x:v>468</x:v>
      </x:c>
      <x:c r="S211" s="113" t="n">
        <x:v>469</x:v>
      </x:c>
    </x:row>
    <x:row r="212">
      <x:c r="A212" s="111" t="n">
        <x:v>212</x:v>
      </x:c>
      <x:c r="B212" s="112" t="str">
        <x:v>SỮA ĐẶC ELLA</x:v>
      </x:c>
      <x:c r="C212" s="112" t="str">
        <x:v>SDELLA</x:v>
      </x:c>
      <x:c r="D212" s="112" t="str">
        <x:v>SDELLAT</x:v>
      </x:c>
      <x:c r="E212" s="120" t="n">
        <x:v>40000</x:v>
      </x:c>
      <x:c r="F212" s="120" t="n">
        <x:v>39000</x:v>
      </x:c>
      <x:c r="G212" s="120" t="n">
        <x:v>39000</x:v>
      </x:c>
      <x:c r="H212" s="112" t="str">
        <x:v>CẬP NHẬT GIÁ</x:v>
      </x:c>
      <x:c r="I212" s="112" t="n">
        <x:v>0</x:v>
      </x:c>
      <x:c r="J212" s="112" t="str">
        <x:v>g</x:v>
      </x:c>
      <x:c r="K212" s="112" t="str">
        <x:v>LON</x:v>
      </x:c>
      <x:c r="L212" s="112" t="n">
        <x:v>0</x:v>
      </x:c>
      <x:c r="M212" s="112" t="str">
        <x:v>g</x:v>
      </x:c>
      <x:c r="N212" s="112" t="str">
        <x:v>THÙNG</x:v>
      </x:c>
      <x:c r="O212" s="112" t="n">
        <x:v>24</x:v>
      </x:c>
      <x:c r="P212" s="112" t="str">
        <x:v>0 g / LON</x:v>
      </x:c>
      <x:c r="Q212" s="112" t="str">
        <x:v>24 LON / THÙNG</x:v>
      </x:c>
      <x:c r="R212" s="112" t="n">
        <x:v>470</x:v>
      </x:c>
      <x:c r="S212" s="113" t="n">
        <x:v>471</x:v>
      </x:c>
    </x:row>
    <x:row r="213">
      <x:c r="A213" s="111" t="n">
        <x:v>213</x:v>
      </x:c>
      <x:c r="B213" s="112" t="str">
        <x:v>SỮA CHỮ S VÀNG</x:v>
      </x:c>
      <x:c r="C213" s="112" t="str">
        <x:v>BSSVA</x:v>
      </x:c>
      <x:c r="D213" s="112" t="str">
        <x:v>BSSVAT</x:v>
      </x:c>
      <x:c r="E213" s="120"/>
      <x:c r="F213" s="120" t="n">
        <x:v>0</x:v>
      </x:c>
      <x:c r="G213" s="120"/>
      <x:c r="H213" s="112" t="str">
        <x:v>DS SP GIÁ 0 - VẪN THIẾU GIÁ</x:v>
      </x:c>
      <x:c r="I213" s="112" t="n">
        <x:v>0</x:v>
      </x:c>
      <x:c r="J213" s="112" t="str">
        <x:v>g</x:v>
      </x:c>
      <x:c r="K213" s="112" t="str">
        <x:v>BỊCH</x:v>
      </x:c>
      <x:c r="L213" s="112" t="n">
        <x:v>0</x:v>
      </x:c>
      <x:c r="M213" s="112" t="str">
        <x:v>g</x:v>
      </x:c>
      <x:c r="N213" s="112" t="str">
        <x:v>THÙNG</x:v>
      </x:c>
      <x:c r="O213" s="112" t="n">
        <x:v>12</x:v>
      </x:c>
      <x:c r="P213" s="112" t="str">
        <x:v>0 g / BỊCH</x:v>
      </x:c>
      <x:c r="Q213" s="112" t="str">
        <x:v>12 BỊCH / THÙNG</x:v>
      </x:c>
      <x:c r="R213" s="112" t="n">
        <x:v>473</x:v>
      </x:c>
      <x:c r="S213" s="113" t="n">
        <x:v>474</x:v>
      </x:c>
    </x:row>
    <x:row r="214">
      <x:c r="A214" s="111" t="n">
        <x:v>214</x:v>
      </x:c>
      <x:c r="B214" s="112" t="str">
        <x:v>SỮA TATTE 3,8</x:v>
      </x:c>
      <x:c r="C214" s="112" t="str">
        <x:v>STATTE</x:v>
      </x:c>
      <x:c r="D214" s="112" t="str">
        <x:v>STATTET</x:v>
      </x:c>
      <x:c r="E214" s="120" t="n">
        <x:v>30000</x:v>
      </x:c>
      <x:c r="F214" s="120" t="n">
        <x:v>30000</x:v>
      </x:c>
      <x:c r="G214" s="120" t="n">
        <x:v>30000</x:v>
      </x:c>
      <x:c r="H214" s="112" t="str">
        <x:v>GIỮ NGUYÊN - ĐÃ KHỚP</x:v>
      </x:c>
      <x:c r="I214" s="112" t="n">
        <x:v>1100</x:v>
      </x:c>
      <x:c r="J214" s="112" t="str">
        <x:v>g</x:v>
      </x:c>
      <x:c r="K214" s="112" t="str">
        <x:v>HỘP</x:v>
      </x:c>
      <x:c r="L214" s="112" t="n">
        <x:v>13000</x:v>
      </x:c>
      <x:c r="M214" s="112" t="str">
        <x:v>g</x:v>
      </x:c>
      <x:c r="N214" s="112" t="str">
        <x:v>THÙNG</x:v>
      </x:c>
      <x:c r="O214" s="112" t="n">
        <x:v>12</x:v>
      </x:c>
      <x:c r="P214" s="112" t="str">
        <x:v>1100 g / HỘP</x:v>
      </x:c>
      <x:c r="Q214" s="112" t="str">
        <x:v>12 HỘP / THÙNG</x:v>
      </x:c>
      <x:c r="R214" s="112" t="n">
        <x:v>478</x:v>
      </x:c>
      <x:c r="S214" s="113" t="n">
        <x:v>479</x:v>
      </x:c>
    </x:row>
    <x:row r="215">
      <x:c r="A215" s="111" t="n">
        <x:v>215</x:v>
      </x:c>
      <x:c r="B215" s="112" t="str">
        <x:v>SỐT GOLD SOCOLA</x:v>
      </x:c>
      <x:c r="C215" s="112" t="str">
        <x:v>SSCLGD</x:v>
      </x:c>
      <x:c r="D215" s="112" t="str">
        <x:v>SSCLGDT</x:v>
      </x:c>
      <x:c r="E215" s="120" t="n">
        <x:v>71000</x:v>
      </x:c>
      <x:c r="F215" s="120" t="n">
        <x:v>66000</x:v>
      </x:c>
      <x:c r="G215" s="120" t="n">
        <x:v>66000</x:v>
      </x:c>
      <x:c r="H215" s="112" t="str">
        <x:v>CẬP NHẬT GIÁ</x:v>
      </x:c>
      <x:c r="I215" s="112" t="n">
        <x:v>700</x:v>
      </x:c>
      <x:c r="J215" s="112" t="str">
        <x:v>g</x:v>
      </x:c>
      <x:c r="K215" s="112" t="str">
        <x:v>CHAI</x:v>
      </x:c>
      <x:c r="L215" s="112" t="n">
        <x:v>13000</x:v>
      </x:c>
      <x:c r="M215" s="112" t="str">
        <x:v>g</x:v>
      </x:c>
      <x:c r="N215" s="112" t="str">
        <x:v>THÙNG</x:v>
      </x:c>
      <x:c r="O215" s="112" t="n">
        <x:v>12</x:v>
      </x:c>
      <x:c r="P215" s="112" t="str">
        <x:v>700 g / CHAI</x:v>
      </x:c>
      <x:c r="Q215" s="112" t="str">
        <x:v>12 CHAI / THÙNG</x:v>
      </x:c>
      <x:c r="R215" s="112" t="n">
        <x:v>480</x:v>
      </x:c>
      <x:c r="S215" s="113" t="n">
        <x:v>481</x:v>
      </x:c>
    </x:row>
    <x:row r="216">
      <x:c r="A216" s="111" t="n">
        <x:v>216</x:v>
      </x:c>
      <x:c r="B216" s="112" t="str">
        <x:v>SỐT DOUXIAN SOCOLA</x:v>
      </x:c>
      <x:c r="C216" s="112" t="str">
        <x:v>SSCLDX</x:v>
      </x:c>
      <x:c r="D216" s="112" t="str">
        <x:v>SSCLDXT</x:v>
      </x:c>
      <x:c r="E216" s="120" t="n">
        <x:v>53000</x:v>
      </x:c>
      <x:c r="F216" s="120" t="n">
        <x:v>53000</x:v>
      </x:c>
      <x:c r="G216" s="120" t="n">
        <x:v>53000</x:v>
      </x:c>
      <x:c r="H216" s="112" t="str">
        <x:v>GIỮ NGUYÊN - ĐÃ KHỚP</x:v>
      </x:c>
      <x:c r="I216" s="112" t="n">
        <x:v>750</x:v>
      </x:c>
      <x:c r="J216" s="112" t="str">
        <x:v>g</x:v>
      </x:c>
      <x:c r="K216" s="112" t="str">
        <x:v>CHAI</x:v>
      </x:c>
      <x:c r="L216" s="112" t="n">
        <x:v>13000</x:v>
      </x:c>
      <x:c r="M216" s="112" t="str">
        <x:v>g</x:v>
      </x:c>
      <x:c r="N216" s="112" t="str">
        <x:v>THÙNG</x:v>
      </x:c>
      <x:c r="O216" s="112" t="n">
        <x:v>12</x:v>
      </x:c>
      <x:c r="P216" s="112" t="str">
        <x:v>750 g / CHAI</x:v>
      </x:c>
      <x:c r="Q216" s="112" t="str">
        <x:v>12 CHAI / THÙNG</x:v>
      </x:c>
      <x:c r="R216" s="112" t="n">
        <x:v>482</x:v>
      </x:c>
      <x:c r="S216" s="113" t="n">
        <x:v>483</x:v>
      </x:c>
    </x:row>
    <x:row r="217">
      <x:c r="A217" s="111" t="n">
        <x:v>217</x:v>
      </x:c>
      <x:c r="B217" s="112" t="str">
        <x:v>SỐT GOLD MÔN</x:v>
      </x:c>
      <x:c r="C217" s="112" t="str">
        <x:v>SMONGD</x:v>
      </x:c>
      <x:c r="D217" s="112" t="str">
        <x:v>SMONGDT</x:v>
      </x:c>
      <x:c r="E217" s="120" t="n">
        <x:v>66000</x:v>
      </x:c>
      <x:c r="F217" s="120" t="n">
        <x:v>71000</x:v>
      </x:c>
      <x:c r="G217" s="120" t="n">
        <x:v>71000</x:v>
      </x:c>
      <x:c r="H217" s="112" t="str">
        <x:v>CẬP NHẬT GIÁ</x:v>
      </x:c>
      <x:c r="I217" s="112" t="n">
        <x:v>700</x:v>
      </x:c>
      <x:c r="J217" s="112" t="str">
        <x:v>g</x:v>
      </x:c>
      <x:c r="K217" s="112" t="str">
        <x:v>CHAI</x:v>
      </x:c>
      <x:c r="L217" s="112" t="n">
        <x:v>13000</x:v>
      </x:c>
      <x:c r="M217" s="112" t="str">
        <x:v>g</x:v>
      </x:c>
      <x:c r="N217" s="112" t="str">
        <x:v>THÙNG</x:v>
      </x:c>
      <x:c r="O217" s="112" t="n">
        <x:v>12</x:v>
      </x:c>
      <x:c r="P217" s="112" t="str">
        <x:v>700 g / CHAI</x:v>
      </x:c>
      <x:c r="Q217" s="112" t="str">
        <x:v>12 CHAI / THÙNG</x:v>
      </x:c>
      <x:c r="R217" s="112" t="n">
        <x:v>486</x:v>
      </x:c>
      <x:c r="S217" s="113" t="n">
        <x:v>487</x:v>
      </x:c>
    </x:row>
    <x:row r="218">
      <x:c r="A218" s="111" t="n">
        <x:v>218</x:v>
      </x:c>
      <x:c r="B218" s="112" t="str">
        <x:v>SỐT GOLD MATCHA</x:v>
      </x:c>
      <x:c r="C218" s="112" t="str">
        <x:v>SMATGD</x:v>
      </x:c>
      <x:c r="D218" s="112" t="str">
        <x:v>SMATGDT</x:v>
      </x:c>
      <x:c r="E218" s="120" t="n">
        <x:v>74000</x:v>
      </x:c>
      <x:c r="F218" s="120" t="n">
        <x:v>74000</x:v>
      </x:c>
      <x:c r="G218" s="120" t="n">
        <x:v>74000</x:v>
      </x:c>
      <x:c r="H218" s="112" t="str">
        <x:v>GIỮ NGUYÊN - ĐÃ KHỚP</x:v>
      </x:c>
      <x:c r="I218" s="112" t="n">
        <x:v>700</x:v>
      </x:c>
      <x:c r="J218" s="112" t="str">
        <x:v>g</x:v>
      </x:c>
      <x:c r="K218" s="112" t="str">
        <x:v>CHAI</x:v>
      </x:c>
      <x:c r="L218" s="112" t="n">
        <x:v>13000</x:v>
      </x:c>
      <x:c r="M218" s="112" t="str">
        <x:v>g</x:v>
      </x:c>
      <x:c r="N218" s="112" t="str">
        <x:v>THÙNG</x:v>
      </x:c>
      <x:c r="O218" s="112" t="n">
        <x:v>12</x:v>
      </x:c>
      <x:c r="P218" s="112" t="str">
        <x:v>700 g / CHAI</x:v>
      </x:c>
      <x:c r="Q218" s="112" t="str">
        <x:v>12 CHAI / THÙNG</x:v>
      </x:c>
      <x:c r="R218" s="112" t="n">
        <x:v>488</x:v>
      </x:c>
      <x:c r="S218" s="113" t="n">
        <x:v>489</x:v>
      </x:c>
    </x:row>
    <x:row r="219">
      <x:c r="A219" s="111" t="n">
        <x:v>219</x:v>
      </x:c>
      <x:c r="B219" s="112" t="str">
        <x:v>SỐT DOUXIAN MATCHA</x:v>
      </x:c>
      <x:c r="C219" s="112" t="str">
        <x:v>SMATDX</x:v>
      </x:c>
      <x:c r="D219" s="112" t="str">
        <x:v>SMATDXT</x:v>
      </x:c>
      <x:c r="E219" s="120" t="n">
        <x:v>53000</x:v>
      </x:c>
      <x:c r="F219" s="120" t="n">
        <x:v>53000</x:v>
      </x:c>
      <x:c r="G219" s="120" t="n">
        <x:v>53000</x:v>
      </x:c>
      <x:c r="H219" s="112" t="str">
        <x:v>GIỮ NGUYÊN - ĐÃ KHỚP</x:v>
      </x:c>
      <x:c r="I219" s="112" t="n">
        <x:v>750</x:v>
      </x:c>
      <x:c r="J219" s="112" t="str">
        <x:v>g</x:v>
      </x:c>
      <x:c r="K219" s="112" t="str">
        <x:v>CHAI</x:v>
      </x:c>
      <x:c r="L219" s="112" t="n">
        <x:v>13000</x:v>
      </x:c>
      <x:c r="M219" s="112" t="str">
        <x:v>g</x:v>
      </x:c>
      <x:c r="N219" s="112" t="str">
        <x:v>THÙNG</x:v>
      </x:c>
      <x:c r="O219" s="112" t="n">
        <x:v>12</x:v>
      </x:c>
      <x:c r="P219" s="112" t="str">
        <x:v>750 g / CHAI</x:v>
      </x:c>
      <x:c r="Q219" s="112" t="str">
        <x:v>12 CHAI / THÙNG</x:v>
      </x:c>
      <x:c r="R219" s="112" t="n">
        <x:v>490</x:v>
      </x:c>
      <x:c r="S219" s="113" t="n">
        <x:v>491</x:v>
      </x:c>
    </x:row>
    <x:row r="220">
      <x:c r="A220" s="111" t="n">
        <x:v>220</x:v>
      </x:c>
      <x:c r="B220" s="112" t="str">
        <x:v>SỐT GOLD ĐƯỜNG ĐEN</x:v>
      </x:c>
      <x:c r="C220" s="112" t="str">
        <x:v>SDDEGD</x:v>
      </x:c>
      <x:c r="D220" s="112" t="str">
        <x:v>SDDEGDT</x:v>
      </x:c>
      <x:c r="E220" s="120" t="n">
        <x:v>62000</x:v>
      </x:c>
      <x:c r="F220" s="120" t="n">
        <x:v>62000</x:v>
      </x:c>
      <x:c r="G220" s="120" t="n">
        <x:v>62000</x:v>
      </x:c>
      <x:c r="H220" s="112" t="str">
        <x:v>GIỮ NGUYÊN - ĐÃ KHỚP</x:v>
      </x:c>
      <x:c r="I220" s="112" t="n">
        <x:v>700</x:v>
      </x:c>
      <x:c r="J220" s="112" t="str">
        <x:v>g</x:v>
      </x:c>
      <x:c r="K220" s="112" t="str">
        <x:v>CHAI</x:v>
      </x:c>
      <x:c r="L220" s="112" t="n">
        <x:v>13000</x:v>
      </x:c>
      <x:c r="M220" s="112" t="str">
        <x:v>g</x:v>
      </x:c>
      <x:c r="N220" s="112" t="str">
        <x:v>THÙNG</x:v>
      </x:c>
      <x:c r="O220" s="112" t="n">
        <x:v>12</x:v>
      </x:c>
      <x:c r="P220" s="112" t="str">
        <x:v>700 g / CHAI</x:v>
      </x:c>
      <x:c r="Q220" s="112" t="str">
        <x:v>12 CHAI / THÙNG</x:v>
      </x:c>
      <x:c r="R220" s="112" t="n">
        <x:v>492</x:v>
      </x:c>
      <x:c r="S220" s="113" t="n">
        <x:v>493</x:v>
      </x:c>
    </x:row>
    <x:row r="221">
      <x:c r="A221" s="111" t="n">
        <x:v>221</x:v>
      </x:c>
      <x:c r="B221" s="112" t="str">
        <x:v>SỐT GOLD DÂU</x:v>
      </x:c>
      <x:c r="C221" s="112" t="str">
        <x:v>SDAUGD</x:v>
      </x:c>
      <x:c r="D221" s="112" t="str">
        <x:v>SDAUGDT</x:v>
      </x:c>
      <x:c r="E221" s="120" t="n">
        <x:v>62000</x:v>
      </x:c>
      <x:c r="F221" s="120" t="n">
        <x:v>62000</x:v>
      </x:c>
      <x:c r="G221" s="120" t="n">
        <x:v>62000</x:v>
      </x:c>
      <x:c r="H221" s="112" t="str">
        <x:v>GIỮ NGUYÊN - ĐÃ KHỚP</x:v>
      </x:c>
      <x:c r="I221" s="112" t="n">
        <x:v>700</x:v>
      </x:c>
      <x:c r="J221" s="112" t="str">
        <x:v>g</x:v>
      </x:c>
      <x:c r="K221" s="112" t="str">
        <x:v>CHAI</x:v>
      </x:c>
      <x:c r="L221" s="112" t="n">
        <x:v>13000</x:v>
      </x:c>
      <x:c r="M221" s="112" t="str">
        <x:v>g</x:v>
      </x:c>
      <x:c r="N221" s="112" t="str">
        <x:v>THÙNG</x:v>
      </x:c>
      <x:c r="O221" s="112" t="n">
        <x:v>12</x:v>
      </x:c>
      <x:c r="P221" s="112" t="str">
        <x:v>700 g / CHAI</x:v>
      </x:c>
      <x:c r="Q221" s="112" t="str">
        <x:v>12 CHAI / THÙNG</x:v>
      </x:c>
      <x:c r="R221" s="112" t="n">
        <x:v>494</x:v>
      </x:c>
      <x:c r="S221" s="113" t="n">
        <x:v>495</x:v>
      </x:c>
    </x:row>
    <x:row r="222">
      <x:c r="A222" s="111" t="n">
        <x:v>222</x:v>
      </x:c>
      <x:c r="B222" s="112" t="str">
        <x:v>SỐT DOUXIAN DÂU</x:v>
      </x:c>
      <x:c r="C222" s="112" t="str">
        <x:v>SDAUDX</x:v>
      </x:c>
      <x:c r="D222" s="112" t="str">
        <x:v>SDAUDXT</x:v>
      </x:c>
      <x:c r="E222" s="120" t="n">
        <x:v>53000</x:v>
      </x:c>
      <x:c r="F222" s="120" t="n">
        <x:v>53000</x:v>
      </x:c>
      <x:c r="G222" s="120" t="n">
        <x:v>53000</x:v>
      </x:c>
      <x:c r="H222" s="112" t="str">
        <x:v>GIỮ NGUYÊN - ĐÃ KHỚP</x:v>
      </x:c>
      <x:c r="I222" s="112" t="n">
        <x:v>750</x:v>
      </x:c>
      <x:c r="J222" s="112" t="str">
        <x:v>g</x:v>
      </x:c>
      <x:c r="K222" s="112" t="str">
        <x:v>CHAI</x:v>
      </x:c>
      <x:c r="L222" s="112" t="n">
        <x:v>13000</x:v>
      </x:c>
      <x:c r="M222" s="112" t="str">
        <x:v>g</x:v>
      </x:c>
      <x:c r="N222" s="112" t="str">
        <x:v>THÙNG</x:v>
      </x:c>
      <x:c r="O222" s="112" t="n">
        <x:v>12</x:v>
      </x:c>
      <x:c r="P222" s="112" t="str">
        <x:v>750 g / CHAI</x:v>
      </x:c>
      <x:c r="Q222" s="112" t="str">
        <x:v>12 CHAI / THÙNG</x:v>
      </x:c>
      <x:c r="R222" s="112" t="n">
        <x:v>496</x:v>
      </x:c>
      <x:c r="S222" s="113" t="n">
        <x:v>497</x:v>
      </x:c>
    </x:row>
    <x:row r="223">
      <x:c r="A223" s="111" t="n">
        <x:v>223</x:v>
      </x:c>
      <x:c r="B223" s="112" t="str">
        <x:v>SỐT GOLD CARAMEN</x:v>
      </x:c>
      <x:c r="C223" s="112" t="str">
        <x:v>SCARGD</x:v>
      </x:c>
      <x:c r="D223" s="112" t="str">
        <x:v>SCARGDT</x:v>
      </x:c>
      <x:c r="E223" s="120" t="n">
        <x:v>62000</x:v>
      </x:c>
      <x:c r="F223" s="120" t="n">
        <x:v>62000</x:v>
      </x:c>
      <x:c r="G223" s="120" t="n">
        <x:v>62000</x:v>
      </x:c>
      <x:c r="H223" s="112" t="str">
        <x:v>GIỮ NGUYÊN - ĐÃ KHỚP</x:v>
      </x:c>
      <x:c r="I223" s="112" t="n">
        <x:v>700</x:v>
      </x:c>
      <x:c r="J223" s="112" t="str">
        <x:v>g</x:v>
      </x:c>
      <x:c r="K223" s="112" t="str">
        <x:v>CHAI</x:v>
      </x:c>
      <x:c r="L223" s="112" t="n">
        <x:v>13000</x:v>
      </x:c>
      <x:c r="M223" s="112" t="str">
        <x:v>g</x:v>
      </x:c>
      <x:c r="N223" s="112" t="str">
        <x:v>THÙNG</x:v>
      </x:c>
      <x:c r="O223" s="112" t="n">
        <x:v>12</x:v>
      </x:c>
      <x:c r="P223" s="112" t="str">
        <x:v>700 g / CHAI</x:v>
      </x:c>
      <x:c r="Q223" s="112" t="str">
        <x:v>12 CHAI / THÙNG</x:v>
      </x:c>
      <x:c r="R223" s="112" t="n">
        <x:v>498</x:v>
      </x:c>
      <x:c r="S223" s="113" t="n">
        <x:v>499</x:v>
      </x:c>
    </x:row>
    <x:row r="224">
      <x:c r="A224" s="111" t="n">
        <x:v>224</x:v>
      </x:c>
      <x:c r="B224" s="112" t="str">
        <x:v>SOCOLA HESHEY</x:v>
      </x:c>
      <x:c r="C224" s="112" t="str">
        <x:v>SCLHES</x:v>
      </x:c>
      <x:c r="D224" s="112" t="str">
        <x:v>SCLHEST</x:v>
      </x:c>
      <x:c r="E224" s="120"/>
      <x:c r="F224" s="120" t="n">
        <x:v>155000</x:v>
      </x:c>
      <x:c r="G224" s="120" t="n">
        <x:v>155000</x:v>
      </x:c>
      <x:c r="H224" s="112" t="str">
        <x:v>BỔ SUNG GIÁ</x:v>
      </x:c>
      <x:c r="I224" s="112" t="n">
        <x:v>1450</x:v>
      </x:c>
      <x:c r="J224" s="112" t="str">
        <x:v>g</x:v>
      </x:c>
      <x:c r="K224" s="112" t="str">
        <x:v>CHAI</x:v>
      </x:c>
      <x:c r="L224" s="112" t="n">
        <x:v>16</x:v>
      </x:c>
      <x:c r="M224" s="112" t="str">
        <x:v>kg</x:v>
      </x:c>
      <x:c r="N224" s="112" t="str">
        <x:v>THÙNG</x:v>
      </x:c>
      <x:c r="O224" s="112" t="n">
        <x:v>12</x:v>
      </x:c>
      <x:c r="P224" s="112" t="str">
        <x:v>1450 g / CHAI</x:v>
      </x:c>
      <x:c r="Q224" s="112" t="str">
        <x:v>12 CHAI / THÙNG</x:v>
      </x:c>
      <x:c r="R224" s="112" t="n">
        <x:v>500</x:v>
      </x:c>
      <x:c r="S224" s="113" t="n">
        <x:v>501</x:v>
      </x:c>
    </x:row>
    <x:row r="225">
      <x:c r="A225" s="111" t="n">
        <x:v>225</x:v>
      </x:c>
      <x:c r="B225" s="112" t="str">
        <x:v>SIRO VINA XOÀI</x:v>
      </x:c>
      <x:c r="C225" s="112" t="str">
        <x:v>SRVNXO</x:v>
      </x:c>
      <x:c r="D225" s="112" t="str">
        <x:v>SRVNXOT</x:v>
      </x:c>
      <x:c r="E225" s="120" t="n">
        <x:v>40000</x:v>
      </x:c>
      <x:c r="F225" s="120" t="n">
        <x:v>40000</x:v>
      </x:c>
      <x:c r="G225" s="120" t="n">
        <x:v>40000</x:v>
      </x:c>
      <x:c r="H225" s="112" t="str">
        <x:v>GIỮ NGUYÊN - ĐÃ KHỚP</x:v>
      </x:c>
      <x:c r="I225" s="112" t="n">
        <x:v>1000</x:v>
      </x:c>
      <x:c r="J225" s="112" t="str">
        <x:v>g</x:v>
      </x:c>
      <x:c r="K225" s="112" t="str">
        <x:v>CHAI</x:v>
      </x:c>
      <x:c r="L225" s="112" t="n">
        <x:v>13000</x:v>
      </x:c>
      <x:c r="M225" s="112" t="str">
        <x:v>g</x:v>
      </x:c>
      <x:c r="N225" s="112" t="str">
        <x:v>THÙNG</x:v>
      </x:c>
      <x:c r="O225" s="112" t="n">
        <x:v>12</x:v>
      </x:c>
      <x:c r="P225" s="112" t="str">
        <x:v>1000 g / CHAI</x:v>
      </x:c>
      <x:c r="Q225" s="112" t="str">
        <x:v>12 CHAI / THÙNG</x:v>
      </x:c>
      <x:c r="R225" s="112" t="n">
        <x:v>503</x:v>
      </x:c>
      <x:c r="S225" s="113" t="n">
        <x:v>504</x:v>
      </x:c>
    </x:row>
    <x:row r="226">
      <x:c r="A226" s="111" t="n">
        <x:v>226</x:v>
      </x:c>
      <x:c r="B226" s="112" t="str">
        <x:v>SIRO VINA VIỆT QUỐC</x:v>
      </x:c>
      <x:c r="C226" s="112" t="str">
        <x:v>SRVNVQ</x:v>
      </x:c>
      <x:c r="D226" s="112" t="str">
        <x:v>SRVNVQT</x:v>
      </x:c>
      <x:c r="E226" s="120" t="n">
        <x:v>40000</x:v>
      </x:c>
      <x:c r="F226" s="120" t="n">
        <x:v>40000</x:v>
      </x:c>
      <x:c r="G226" s="120" t="n">
        <x:v>40000</x:v>
      </x:c>
      <x:c r="H226" s="112" t="str">
        <x:v>GIỮ NGUYÊN - ĐÃ KHỚP</x:v>
      </x:c>
      <x:c r="I226" s="112" t="n">
        <x:v>1000</x:v>
      </x:c>
      <x:c r="J226" s="112" t="str">
        <x:v>g</x:v>
      </x:c>
      <x:c r="K226" s="112" t="str">
        <x:v>CHAI</x:v>
      </x:c>
      <x:c r="L226" s="112" t="n">
        <x:v>13000</x:v>
      </x:c>
      <x:c r="M226" s="112" t="str">
        <x:v>g</x:v>
      </x:c>
      <x:c r="N226" s="112" t="str">
        <x:v>THÙNG</x:v>
      </x:c>
      <x:c r="O226" s="112" t="n">
        <x:v>12</x:v>
      </x:c>
      <x:c r="P226" s="112" t="str">
        <x:v>1000 g / CHAI</x:v>
      </x:c>
      <x:c r="Q226" s="112" t="str">
        <x:v>12 CHAI / THÙNG</x:v>
      </x:c>
      <x:c r="R226" s="112" t="n">
        <x:v>505</x:v>
      </x:c>
      <x:c r="S226" s="113" t="n">
        <x:v>506</x:v>
      </x:c>
    </x:row>
    <x:row r="227">
      <x:c r="A227" s="111" t="n">
        <x:v>227</x:v>
      </x:c>
      <x:c r="B227" s="112" t="str">
        <x:v>SIRO VINA VẢI</x:v>
      </x:c>
      <x:c r="C227" s="112" t="str">
        <x:v>SRVNVA</x:v>
      </x:c>
      <x:c r="D227" s="112" t="str">
        <x:v>SRVNVAT</x:v>
      </x:c>
      <x:c r="E227" s="120" t="n">
        <x:v>40000</x:v>
      </x:c>
      <x:c r="F227" s="120" t="n">
        <x:v>40000</x:v>
      </x:c>
      <x:c r="G227" s="120" t="n">
        <x:v>40000</x:v>
      </x:c>
      <x:c r="H227" s="112" t="str">
        <x:v>GIỮ NGUYÊN - ĐÃ KHỚP</x:v>
      </x:c>
      <x:c r="I227" s="112" t="n">
        <x:v>1000</x:v>
      </x:c>
      <x:c r="J227" s="112" t="str">
        <x:v>g</x:v>
      </x:c>
      <x:c r="K227" s="112" t="str">
        <x:v>CHAI</x:v>
      </x:c>
      <x:c r="L227" s="112" t="n">
        <x:v>13000</x:v>
      </x:c>
      <x:c r="M227" s="112" t="str">
        <x:v>g</x:v>
      </x:c>
      <x:c r="N227" s="112" t="str">
        <x:v>THÙNG</x:v>
      </x:c>
      <x:c r="O227" s="112" t="n">
        <x:v>12</x:v>
      </x:c>
      <x:c r="P227" s="112" t="str">
        <x:v>1000 g / CHAI</x:v>
      </x:c>
      <x:c r="Q227" s="112" t="str">
        <x:v>12 CHAI / THÙNG</x:v>
      </x:c>
      <x:c r="R227" s="112" t="n">
        <x:v>507</x:v>
      </x:c>
      <x:c r="S227" s="113" t="n">
        <x:v>508</x:v>
      </x:c>
    </x:row>
    <x:row r="228">
      <x:c r="A228" s="111" t="n">
        <x:v>228</x:v>
      </x:c>
      <x:c r="B228" s="112" t="str">
        <x:v>SIRO VINA SOCOLA</x:v>
      </x:c>
      <x:c r="C228" s="112" t="str">
        <x:v>SRVNSO</x:v>
      </x:c>
      <x:c r="D228" s="112" t="str">
        <x:v>SRVNSOT</x:v>
      </x:c>
      <x:c r="E228" s="120" t="n">
        <x:v>40000</x:v>
      </x:c>
      <x:c r="F228" s="120" t="n">
        <x:v>40000</x:v>
      </x:c>
      <x:c r="G228" s="120" t="n">
        <x:v>40000</x:v>
      </x:c>
      <x:c r="H228" s="112" t="str">
        <x:v>GIỮ NGUYÊN - ĐÃ KHỚP</x:v>
      </x:c>
      <x:c r="I228" s="112" t="n">
        <x:v>1000</x:v>
      </x:c>
      <x:c r="J228" s="112" t="str">
        <x:v>g</x:v>
      </x:c>
      <x:c r="K228" s="112" t="str">
        <x:v>CHAI</x:v>
      </x:c>
      <x:c r="L228" s="112" t="n">
        <x:v>13000</x:v>
      </x:c>
      <x:c r="M228" s="112" t="str">
        <x:v>g</x:v>
      </x:c>
      <x:c r="N228" s="112" t="str">
        <x:v>THÙNG</x:v>
      </x:c>
      <x:c r="O228" s="112" t="n">
        <x:v>12</x:v>
      </x:c>
      <x:c r="P228" s="112" t="str">
        <x:v>1000 g / CHAI</x:v>
      </x:c>
      <x:c r="Q228" s="112" t="str">
        <x:v>12 CHAI / THÙNG</x:v>
      </x:c>
      <x:c r="R228" s="112" t="n">
        <x:v>509</x:v>
      </x:c>
      <x:c r="S228" s="113" t="n">
        <x:v>510</x:v>
      </x:c>
    </x:row>
    <x:row r="229">
      <x:c r="A229" s="111" t="n">
        <x:v>229</x:v>
      </x:c>
      <x:c r="B229" s="112" t="str">
        <x:v>SIRO VINA SÂM DỨA</x:v>
      </x:c>
      <x:c r="C229" s="112" t="str">
        <x:v>SRVNSD</x:v>
      </x:c>
      <x:c r="D229" s="112" t="str">
        <x:v>SRVNSDT</x:v>
      </x:c>
      <x:c r="E229" s="120" t="n">
        <x:v>25000</x:v>
      </x:c>
      <x:c r="F229" s="120" t="n">
        <x:v>25000</x:v>
      </x:c>
      <x:c r="G229" s="120" t="n">
        <x:v>25000</x:v>
      </x:c>
      <x:c r="H229" s="112" t="str">
        <x:v>GIỮ NGUYÊN - ĐÃ KHỚP</x:v>
      </x:c>
      <x:c r="I229" s="112" t="n">
        <x:v>1000</x:v>
      </x:c>
      <x:c r="J229" s="112" t="str">
        <x:v>g</x:v>
      </x:c>
      <x:c r="K229" s="112" t="str">
        <x:v>CHAI</x:v>
      </x:c>
      <x:c r="L229" s="112" t="n">
        <x:v>13000</x:v>
      </x:c>
      <x:c r="M229" s="112" t="str">
        <x:v>g</x:v>
      </x:c>
      <x:c r="N229" s="112" t="str">
        <x:v>THÙNG</x:v>
      </x:c>
      <x:c r="O229" s="112" t="n">
        <x:v>12</x:v>
      </x:c>
      <x:c r="P229" s="112" t="str">
        <x:v>1000 g / CHAI</x:v>
      </x:c>
      <x:c r="Q229" s="112" t="str">
        <x:v>12 CHAI / THÙNG</x:v>
      </x:c>
      <x:c r="R229" s="112" t="n">
        <x:v>511</x:v>
      </x:c>
      <x:c r="S229" s="113" t="n">
        <x:v>512</x:v>
      </x:c>
    </x:row>
    <x:row r="230">
      <x:c r="A230" s="111" t="n">
        <x:v>230</x:v>
      </x:c>
      <x:c r="B230" s="112" t="str">
        <x:v>SIRO VINA ỔI</x:v>
      </x:c>
      <x:c r="C230" s="112" t="str">
        <x:v>SRVNOI</x:v>
      </x:c>
      <x:c r="D230" s="112" t="str">
        <x:v>SRVNOIT</x:v>
      </x:c>
      <x:c r="E230" s="120" t="n">
        <x:v>40000</x:v>
      </x:c>
      <x:c r="F230" s="120" t="n">
        <x:v>40000</x:v>
      </x:c>
      <x:c r="G230" s="120" t="n">
        <x:v>40000</x:v>
      </x:c>
      <x:c r="H230" s="112" t="str">
        <x:v>GIỮ NGUYÊN - ĐÃ KHỚP</x:v>
      </x:c>
      <x:c r="I230" s="112" t="n">
        <x:v>1000</x:v>
      </x:c>
      <x:c r="J230" s="112" t="str">
        <x:v>g</x:v>
      </x:c>
      <x:c r="K230" s="112" t="str">
        <x:v>CHAI</x:v>
      </x:c>
      <x:c r="L230" s="112" t="n">
        <x:v>13000</x:v>
      </x:c>
      <x:c r="M230" s="112" t="str">
        <x:v>g</x:v>
      </x:c>
      <x:c r="N230" s="112" t="str">
        <x:v>THÙNG</x:v>
      </x:c>
      <x:c r="O230" s="112" t="n">
        <x:v>12</x:v>
      </x:c>
      <x:c r="P230" s="112" t="str">
        <x:v>1000 g / CHAI</x:v>
      </x:c>
      <x:c r="Q230" s="112" t="str">
        <x:v>12 CHAI / THÙNG</x:v>
      </x:c>
      <x:c r="R230" s="112" t="n">
        <x:v>513</x:v>
      </x:c>
      <x:c r="S230" s="113" t="n">
        <x:v>514</x:v>
      </x:c>
    </x:row>
    <x:row r="231">
      <x:c r="A231" s="111" t="n">
        <x:v>231</x:v>
      </x:c>
      <x:c r="B231" s="112" t="str">
        <x:v>SIRO VINA NHO</x:v>
      </x:c>
      <x:c r="C231" s="112" t="str">
        <x:v>SRVNNH</x:v>
      </x:c>
      <x:c r="D231" s="112" t="str">
        <x:v>SRVNNHT</x:v>
      </x:c>
      <x:c r="E231" s="120" t="n">
        <x:v>40000</x:v>
      </x:c>
      <x:c r="F231" s="120" t="n">
        <x:v>40000</x:v>
      </x:c>
      <x:c r="G231" s="120" t="n">
        <x:v>40000</x:v>
      </x:c>
      <x:c r="H231" s="112" t="str">
        <x:v>GIỮ NGUYÊN - ĐÃ KHỚP</x:v>
      </x:c>
      <x:c r="I231" s="112" t="n">
        <x:v>1000</x:v>
      </x:c>
      <x:c r="J231" s="112" t="str">
        <x:v>g</x:v>
      </x:c>
      <x:c r="K231" s="112" t="str">
        <x:v>CHAI</x:v>
      </x:c>
      <x:c r="L231" s="112" t="n">
        <x:v>13000</x:v>
      </x:c>
      <x:c r="M231" s="112" t="str">
        <x:v>g</x:v>
      </x:c>
      <x:c r="N231" s="112" t="str">
        <x:v>THÙNG</x:v>
      </x:c>
      <x:c r="O231" s="112" t="n">
        <x:v>12</x:v>
      </x:c>
      <x:c r="P231" s="112" t="str">
        <x:v>1000 g / CHAI</x:v>
      </x:c>
      <x:c r="Q231" s="112" t="str">
        <x:v>12 CHAI / THÙNG</x:v>
      </x:c>
      <x:c r="R231" s="112" t="n">
        <x:v>515</x:v>
      </x:c>
      <x:c r="S231" s="113" t="n">
        <x:v>516</x:v>
      </x:c>
    </x:row>
    <x:row r="232">
      <x:c r="A232" s="111" t="n">
        <x:v>232</x:v>
      </x:c>
      <x:c r="B232" s="112" t="str">
        <x:v>SIRO VINA MÃNG CẦU</x:v>
      </x:c>
      <x:c r="C232" s="112" t="str">
        <x:v>SRVNMC</x:v>
      </x:c>
      <x:c r="D232" s="112" t="str">
        <x:v>SRVNMCT</x:v>
      </x:c>
      <x:c r="E232" s="120" t="n">
        <x:v>40000</x:v>
      </x:c>
      <x:c r="F232" s="120" t="n">
        <x:v>40000</x:v>
      </x:c>
      <x:c r="G232" s="120" t="n">
        <x:v>40000</x:v>
      </x:c>
      <x:c r="H232" s="112" t="str">
        <x:v>GIỮ NGUYÊN - ĐÃ KHỚP</x:v>
      </x:c>
      <x:c r="I232" s="112" t="n">
        <x:v>0</x:v>
      </x:c>
      <x:c r="J232" s="112" t="str">
        <x:v>g</x:v>
      </x:c>
      <x:c r="K232" s="112" t="str">
        <x:v>CHAI</x:v>
      </x:c>
      <x:c r="L232" s="112" t="n">
        <x:v>13000</x:v>
      </x:c>
      <x:c r="M232" s="112" t="str">
        <x:v>g</x:v>
      </x:c>
      <x:c r="N232" s="112" t="str">
        <x:v>THÙNG</x:v>
      </x:c>
      <x:c r="O232" s="112" t="n">
        <x:v>12</x:v>
      </x:c>
      <x:c r="P232" s="112" t="str">
        <x:v>0 g / CHAI</x:v>
      </x:c>
      <x:c r="Q232" s="112" t="str">
        <x:v>12 CHAI / THÙNG</x:v>
      </x:c>
      <x:c r="R232" s="112" t="n">
        <x:v>517</x:v>
      </x:c>
      <x:c r="S232" s="113" t="n">
        <x:v>518</x:v>
      </x:c>
    </x:row>
    <x:row r="233">
      <x:c r="A233" s="111" t="n">
        <x:v>233</x:v>
      </x:c>
      <x:c r="B233" s="112" t="str">
        <x:v>SIRO VINA ĐÀO</x:v>
      </x:c>
      <x:c r="C233" s="112" t="str">
        <x:v>SRVNDO</x:v>
      </x:c>
      <x:c r="D233" s="112" t="str">
        <x:v>SRVNDOT</x:v>
      </x:c>
      <x:c r="E233" s="120" t="n">
        <x:v>40000</x:v>
      </x:c>
      <x:c r="F233" s="120" t="n">
        <x:v>40000</x:v>
      </x:c>
      <x:c r="G233" s="120" t="n">
        <x:v>40000</x:v>
      </x:c>
      <x:c r="H233" s="112" t="str">
        <x:v>GIỮ NGUYÊN - ĐÃ KHỚP</x:v>
      </x:c>
      <x:c r="I233" s="112" t="n">
        <x:v>1000</x:v>
      </x:c>
      <x:c r="J233" s="112" t="str">
        <x:v>g</x:v>
      </x:c>
      <x:c r="K233" s="112" t="str">
        <x:v>CHAI</x:v>
      </x:c>
      <x:c r="L233" s="112" t="n">
        <x:v>13000</x:v>
      </x:c>
      <x:c r="M233" s="112" t="str">
        <x:v>g</x:v>
      </x:c>
      <x:c r="N233" s="112" t="str">
        <x:v>THÙNG</x:v>
      </x:c>
      <x:c r="O233" s="112" t="n">
        <x:v>12</x:v>
      </x:c>
      <x:c r="P233" s="112" t="str">
        <x:v>1000 g / CHAI</x:v>
      </x:c>
      <x:c r="Q233" s="112" t="str">
        <x:v>12 CHAI / THÙNG</x:v>
      </x:c>
      <x:c r="R233" s="112" t="n">
        <x:v>519</x:v>
      </x:c>
      <x:c r="S233" s="113" t="n">
        <x:v>520</x:v>
      </x:c>
    </x:row>
    <x:row r="234">
      <x:c r="A234" s="111" t="n">
        <x:v>234</x:v>
      </x:c>
      <x:c r="B234" s="112" t="str">
        <x:v>SIRO VINA DÂU</x:v>
      </x:c>
      <x:c r="C234" s="112" t="str">
        <x:v>SRVNDA</x:v>
      </x:c>
      <x:c r="D234" s="112" t="str">
        <x:v>SRVNDAT</x:v>
      </x:c>
      <x:c r="E234" s="120" t="n">
        <x:v>40000</x:v>
      </x:c>
      <x:c r="F234" s="120" t="n">
        <x:v>40000</x:v>
      </x:c>
      <x:c r="G234" s="120" t="n">
        <x:v>40000</x:v>
      </x:c>
      <x:c r="H234" s="112" t="str">
        <x:v>GIỮ NGUYÊN - ĐÃ KHỚP</x:v>
      </x:c>
      <x:c r="I234" s="112" t="n">
        <x:v>1000</x:v>
      </x:c>
      <x:c r="J234" s="112" t="str">
        <x:v>g</x:v>
      </x:c>
      <x:c r="K234" s="112" t="str">
        <x:v>CHAI</x:v>
      </x:c>
      <x:c r="L234" s="112" t="n">
        <x:v>13000</x:v>
      </x:c>
      <x:c r="M234" s="112" t="str">
        <x:v>g</x:v>
      </x:c>
      <x:c r="N234" s="112" t="str">
        <x:v>THÙNG</x:v>
      </x:c>
      <x:c r="O234" s="112" t="n">
        <x:v>12</x:v>
      </x:c>
      <x:c r="P234" s="112" t="str">
        <x:v>1000 g / CHAI</x:v>
      </x:c>
      <x:c r="Q234" s="112" t="str">
        <x:v>12 CHAI / THÙNG</x:v>
      </x:c>
      <x:c r="R234" s="112" t="n">
        <x:v>521</x:v>
      </x:c>
      <x:c r="S234" s="113" t="n">
        <x:v>522</x:v>
      </x:c>
    </x:row>
    <x:row r="235">
      <x:c r="A235" s="111" t="n">
        <x:v>235</x:v>
      </x:c>
      <x:c r="B235" s="112" t="str">
        <x:v>SIRO VINA CAM</x:v>
      </x:c>
      <x:c r="C235" s="112" t="str">
        <x:v>SRVNCA</x:v>
      </x:c>
      <x:c r="D235" s="112" t="str">
        <x:v>SRVNCAT</x:v>
      </x:c>
      <x:c r="E235" s="120" t="n">
        <x:v>40000</x:v>
      </x:c>
      <x:c r="F235" s="120" t="n">
        <x:v>40000</x:v>
      </x:c>
      <x:c r="G235" s="120" t="n">
        <x:v>40000</x:v>
      </x:c>
      <x:c r="H235" s="112" t="str">
        <x:v>GIỮ NGUYÊN - ĐÃ KHỚP</x:v>
      </x:c>
      <x:c r="I235" s="112" t="n">
        <x:v>1000</x:v>
      </x:c>
      <x:c r="J235" s="112" t="str">
        <x:v>g</x:v>
      </x:c>
      <x:c r="K235" s="112" t="str">
        <x:v>CHAI</x:v>
      </x:c>
      <x:c r="L235" s="112" t="n">
        <x:v>13000</x:v>
      </x:c>
      <x:c r="M235" s="112" t="str">
        <x:v>g</x:v>
      </x:c>
      <x:c r="N235" s="112" t="str">
        <x:v>THÙNG</x:v>
      </x:c>
      <x:c r="O235" s="112" t="n">
        <x:v>12</x:v>
      </x:c>
      <x:c r="P235" s="112" t="str">
        <x:v>1000 g / CHAI</x:v>
      </x:c>
      <x:c r="Q235" s="112" t="str">
        <x:v>12 CHAI / THÙNG</x:v>
      </x:c>
      <x:c r="R235" s="112" t="n">
        <x:v>523</x:v>
      </x:c>
      <x:c r="S235" s="113" t="n">
        <x:v>524</x:v>
      </x:c>
    </x:row>
    <x:row r="236">
      <x:c r="A236" s="111" t="n">
        <x:v>236</x:v>
      </x:c>
      <x:c r="B236" s="112" t="str">
        <x:v>SIRO VINA BẠC HÀ</x:v>
      </x:c>
      <x:c r="C236" s="112" t="str">
        <x:v>SRVNBH</x:v>
      </x:c>
      <x:c r="D236" s="112" t="str">
        <x:v>SRVNBHT</x:v>
      </x:c>
      <x:c r="E236" s="120" t="n">
        <x:v>40000</x:v>
      </x:c>
      <x:c r="F236" s="120" t="n">
        <x:v>40000</x:v>
      </x:c>
      <x:c r="G236" s="120" t="n">
        <x:v>40000</x:v>
      </x:c>
      <x:c r="H236" s="112" t="str">
        <x:v>GIỮ NGUYÊN - ĐÃ KHỚP</x:v>
      </x:c>
      <x:c r="I236" s="112" t="n">
        <x:v>1000</x:v>
      </x:c>
      <x:c r="J236" s="112" t="str">
        <x:v>g</x:v>
      </x:c>
      <x:c r="K236" s="112" t="str">
        <x:v>CHAI</x:v>
      </x:c>
      <x:c r="L236" s="112" t="n">
        <x:v>13000</x:v>
      </x:c>
      <x:c r="M236" s="112" t="str">
        <x:v>g</x:v>
      </x:c>
      <x:c r="N236" s="112" t="str">
        <x:v>THÙNG</x:v>
      </x:c>
      <x:c r="O236" s="112" t="n">
        <x:v>12</x:v>
      </x:c>
      <x:c r="P236" s="112" t="str">
        <x:v>1000 g / CHAI</x:v>
      </x:c>
      <x:c r="Q236" s="112" t="str">
        <x:v>12 CHAI / THÙNG</x:v>
      </x:c>
      <x:c r="R236" s="112" t="n">
        <x:v>525</x:v>
      </x:c>
      <x:c r="S236" s="113" t="n">
        <x:v>526</x:v>
      </x:c>
    </x:row>
    <x:row r="237">
      <x:c r="A237" s="111" t="n">
        <x:v>237</x:v>
      </x:c>
      <x:c r="B237" s="112" t="str">
        <x:v>SIRO A+ VIỆT QUỐC</x:v>
      </x:c>
      <x:c r="C237" s="112" t="str">
        <x:v>SRAVQU</x:v>
      </x:c>
      <x:c r="D237" s="112" t="str">
        <x:v>SRAVQUT</x:v>
      </x:c>
      <x:c r="E237" s="120"/>
      <x:c r="F237" s="120" t="n">
        <x:v>27000</x:v>
      </x:c>
      <x:c r="G237" s="120" t="n">
        <x:v>27000</x:v>
      </x:c>
      <x:c r="H237" s="112" t="str">
        <x:v>BỔ SUNG GIÁ</x:v>
      </x:c>
      <x:c r="I237" s="112" t="n">
        <x:v>0</x:v>
      </x:c>
      <x:c r="J237" s="112" t="str">
        <x:v>g</x:v>
      </x:c>
      <x:c r="K237" s="112" t="str">
        <x:v>CHAI</x:v>
      </x:c>
      <x:c r="L237" s="112" t="n">
        <x:v>16000</x:v>
      </x:c>
      <x:c r="M237" s="112" t="str">
        <x:v>g</x:v>
      </x:c>
      <x:c r="N237" s="112" t="str">
        <x:v>THÙNG</x:v>
      </x:c>
      <x:c r="O237" s="112" t="n">
        <x:v>24</x:v>
      </x:c>
      <x:c r="P237" s="112" t="str">
        <x:v>0 g / CHAI</x:v>
      </x:c>
      <x:c r="Q237" s="112" t="str">
        <x:v>24 CHAI / THÙNG</x:v>
      </x:c>
      <x:c r="R237" s="112" t="n">
        <x:v>527</x:v>
      </x:c>
      <x:c r="S237" s="113" t="n">
        <x:v>528</x:v>
      </x:c>
    </x:row>
    <x:row r="238">
      <x:c r="A238" s="111" t="n">
        <x:v>238</x:v>
      </x:c>
      <x:c r="B238" s="112" t="str">
        <x:v>SIRO VUÔNG VẢI</x:v>
      </x:c>
      <x:c r="C238" s="112" t="str">
        <x:v>SRVAIV</x:v>
      </x:c>
      <x:c r="D238" s="112" t="str">
        <x:v>SRVAIVT</x:v>
      </x:c>
      <x:c r="E238" s="120"/>
      <x:c r="F238" s="120" t="n">
        <x:v>85000</x:v>
      </x:c>
      <x:c r="G238" s="120" t="n">
        <x:v>85000</x:v>
      </x:c>
      <x:c r="H238" s="112" t="str">
        <x:v>BỔ SUNG GIÁ</x:v>
      </x:c>
      <x:c r="I238" s="112" t="n">
        <x:v>2650</x:v>
      </x:c>
      <x:c r="J238" s="112" t="str">
        <x:v>g</x:v>
      </x:c>
      <x:c r="K238" s="112" t="str">
        <x:v>BÌNH</x:v>
      </x:c>
      <x:c r="L238" s="112" t="n">
        <x:v>16000</x:v>
      </x:c>
      <x:c r="M238" s="112" t="str">
        <x:v>g</x:v>
      </x:c>
      <x:c r="N238" s="112" t="str">
        <x:v>THÙNG</x:v>
      </x:c>
      <x:c r="O238" s="112" t="n">
        <x:v>6</x:v>
      </x:c>
      <x:c r="P238" s="112" t="str">
        <x:v>2650 g / BÌNH</x:v>
      </x:c>
      <x:c r="Q238" s="112" t="str">
        <x:v>6 BÌNH / THÙNG</x:v>
      </x:c>
      <x:c r="R238" s="112" t="n">
        <x:v>529</x:v>
      </x:c>
      <x:c r="S238" s="113" t="n">
        <x:v>530</x:v>
      </x:c>
    </x:row>
    <x:row r="239">
      <x:c r="A239" s="111" t="n">
        <x:v>239</x:v>
      </x:c>
      <x:c r="B239" s="112" t="str">
        <x:v>SIRO TRÒN VẢI</x:v>
      </x:c>
      <x:c r="C239" s="112" t="str">
        <x:v>SRVAIT</x:v>
      </x:c>
      <x:c r="D239" s="112" t="str">
        <x:v>SRVAITT</x:v>
      </x:c>
      <x:c r="E239" s="120"/>
      <x:c r="F239" s="120" t="n">
        <x:v>125000</x:v>
      </x:c>
      <x:c r="G239" s="120" t="n">
        <x:v>125000</x:v>
      </x:c>
      <x:c r="H239" s="112" t="str">
        <x:v>BỔ SUNG GIÁ</x:v>
      </x:c>
      <x:c r="I239" s="112" t="n">
        <x:v>2650</x:v>
      </x:c>
      <x:c r="J239" s="112" t="str">
        <x:v>g</x:v>
      </x:c>
      <x:c r="K239" s="112" t="str">
        <x:v>BÌNH</x:v>
      </x:c>
      <x:c r="L239" s="112" t="n">
        <x:v>16000</x:v>
      </x:c>
      <x:c r="M239" s="112" t="str">
        <x:v>g</x:v>
      </x:c>
      <x:c r="N239" s="112" t="str">
        <x:v>THÙNG</x:v>
      </x:c>
      <x:c r="O239" s="112" t="n">
        <x:v>6</x:v>
      </x:c>
      <x:c r="P239" s="112" t="str">
        <x:v>2650 g / BÌNH</x:v>
      </x:c>
      <x:c r="Q239" s="112" t="str">
        <x:v>6 BÌNH / THÙNG</x:v>
      </x:c>
      <x:c r="R239" s="112" t="n">
        <x:v>531</x:v>
      </x:c>
      <x:c r="S239" s="113" t="n">
        <x:v>532</x:v>
      </x:c>
    </x:row>
    <x:row r="240">
      <x:c r="A240" s="111" t="n">
        <x:v>240</x:v>
      </x:c>
      <x:c r="B240" s="112" t="str">
        <x:v>SIRO A+ VẢI</x:v>
      </x:c>
      <x:c r="C240" s="112" t="str">
        <x:v>SRAVAI</x:v>
      </x:c>
      <x:c r="D240" s="112" t="str">
        <x:v>SRAVAIT</x:v>
      </x:c>
      <x:c r="E240" s="120"/>
      <x:c r="F240" s="120" t="n">
        <x:v>27000</x:v>
      </x:c>
      <x:c r="G240" s="120" t="n">
        <x:v>27000</x:v>
      </x:c>
      <x:c r="H240" s="112" t="str">
        <x:v>BỔ SUNG GIÁ</x:v>
      </x:c>
      <x:c r="I240" s="112" t="n">
        <x:v>0</x:v>
      </x:c>
      <x:c r="J240" s="112" t="str">
        <x:v>g</x:v>
      </x:c>
      <x:c r="K240" s="112" t="str">
        <x:v>CHAI</x:v>
      </x:c>
      <x:c r="L240" s="112" t="n">
        <x:v>16000</x:v>
      </x:c>
      <x:c r="M240" s="112" t="str">
        <x:v>g</x:v>
      </x:c>
      <x:c r="N240" s="112" t="str">
        <x:v>THÙNG</x:v>
      </x:c>
      <x:c r="O240" s="112" t="n">
        <x:v>24</x:v>
      </x:c>
      <x:c r="P240" s="112" t="str">
        <x:v>0 g / CHAI</x:v>
      </x:c>
      <x:c r="Q240" s="112" t="str">
        <x:v>24 CHAI / THÙNG</x:v>
      </x:c>
      <x:c r="R240" s="112" t="n">
        <x:v>533</x:v>
      </x:c>
      <x:c r="S240" s="113" t="n">
        <x:v>534</x:v>
      </x:c>
    </x:row>
    <x:row r="241">
      <x:c r="A241" s="111" t="n">
        <x:v>241</x:v>
      </x:c>
      <x:c r="B241" s="112" t="str">
        <x:v>SIRO TRINH MÔN</x:v>
      </x:c>
      <x:c r="C241" s="112" t="str">
        <x:v>SRTRMN</x:v>
      </x:c>
      <x:c r="D241" s="112" t="str">
        <x:v>SRTRMNT</x:v>
      </x:c>
      <x:c r="E241" s="120"/>
      <x:c r="F241" s="120" t="n">
        <x:v>0</x:v>
      </x:c>
      <x:c r="G241" s="120"/>
      <x:c r="H241" s="112" t="str">
        <x:v>DS SP GIÁ 0 - VẪN THIẾU GIÁ</x:v>
      </x:c>
      <x:c r="I241" s="112" t="n">
        <x:v>0</x:v>
      </x:c>
      <x:c r="J241" s="112" t="str">
        <x:v>g</x:v>
      </x:c>
      <x:c r="K241" s="112" t="str">
        <x:v>CHAI</x:v>
      </x:c>
      <x:c r="L241" s="112" t="n">
        <x:v>0</x:v>
      </x:c>
      <x:c r="M241" s="112" t="str">
        <x:v>g</x:v>
      </x:c>
      <x:c r="N241" s="112" t="str">
        <x:v>THÙNG</x:v>
      </x:c>
      <x:c r="O241" s="112" t="n">
        <x:v>20</x:v>
      </x:c>
      <x:c r="P241" s="112" t="str">
        <x:v>0 g / CHAI</x:v>
      </x:c>
      <x:c r="Q241" s="112" t="str">
        <x:v>20 CHAI / THÙNG</x:v>
      </x:c>
      <x:c r="R241" s="112" t="n">
        <x:v>535</x:v>
      </x:c>
      <x:c r="S241" s="113" t="n">
        <x:v>536</x:v>
      </x:c>
    </x:row>
    <x:row r="242">
      <x:c r="A242" s="111" t="n">
        <x:v>242</x:v>
      </x:c>
      <x:c r="B242" s="112" t="str">
        <x:v>SIRO VUÔNG TÁO</x:v>
      </x:c>
      <x:c r="C242" s="112" t="str">
        <x:v>SRTAOV</x:v>
      </x:c>
      <x:c r="D242" s="112" t="str">
        <x:v>SRTAOVT</x:v>
      </x:c>
      <x:c r="E242" s="120"/>
      <x:c r="F242" s="120" t="n">
        <x:v>85000</x:v>
      </x:c>
      <x:c r="G242" s="120" t="n">
        <x:v>85000</x:v>
      </x:c>
      <x:c r="H242" s="112" t="str">
        <x:v>BỔ SUNG GIÁ</x:v>
      </x:c>
      <x:c r="I242" s="112" t="n">
        <x:v>2650</x:v>
      </x:c>
      <x:c r="J242" s="112" t="str">
        <x:v>g</x:v>
      </x:c>
      <x:c r="K242" s="112" t="str">
        <x:v>BÌNH</x:v>
      </x:c>
      <x:c r="L242" s="112" t="n">
        <x:v>16000</x:v>
      </x:c>
      <x:c r="M242" s="112" t="str">
        <x:v>g</x:v>
      </x:c>
      <x:c r="N242" s="112" t="str">
        <x:v>THÙNG</x:v>
      </x:c>
      <x:c r="O242" s="112" t="n">
        <x:v>6</x:v>
      </x:c>
      <x:c r="P242" s="112" t="str">
        <x:v>2650 g / BÌNH</x:v>
      </x:c>
      <x:c r="Q242" s="112" t="str">
        <x:v>6 BÌNH / THÙNG</x:v>
      </x:c>
      <x:c r="R242" s="112" t="n">
        <x:v>537</x:v>
      </x:c>
      <x:c r="S242" s="113" t="n">
        <x:v>538</x:v>
      </x:c>
    </x:row>
    <x:row r="243">
      <x:c r="A243" s="111" t="n">
        <x:v>243</x:v>
      </x:c>
      <x:c r="B243" s="112" t="str">
        <x:v>SIRO TRÒN SOCOLA</x:v>
      </x:c>
      <x:c r="C243" s="112" t="str">
        <x:v>SRSCLT</x:v>
      </x:c>
      <x:c r="D243" s="112" t="str">
        <x:v>SRSCLTT</x:v>
      </x:c>
      <x:c r="E243" s="120"/>
      <x:c r="F243" s="120" t="n">
        <x:v>125000</x:v>
      </x:c>
      <x:c r="G243" s="120" t="n">
        <x:v>125000</x:v>
      </x:c>
      <x:c r="H243" s="112" t="str">
        <x:v>BỔ SUNG GIÁ</x:v>
      </x:c>
      <x:c r="I243" s="112" t="n">
        <x:v>2650</x:v>
      </x:c>
      <x:c r="J243" s="112" t="str">
        <x:v>g</x:v>
      </x:c>
      <x:c r="K243" s="112" t="str">
        <x:v>BÌNH</x:v>
      </x:c>
      <x:c r="L243" s="112" t="n">
        <x:v>16000</x:v>
      </x:c>
      <x:c r="M243" s="112" t="str">
        <x:v>g</x:v>
      </x:c>
      <x:c r="N243" s="112" t="str">
        <x:v>THÙNG</x:v>
      </x:c>
      <x:c r="O243" s="112" t="n">
        <x:v>6</x:v>
      </x:c>
      <x:c r="P243" s="112" t="str">
        <x:v>2650 g / BÌNH</x:v>
      </x:c>
      <x:c r="Q243" s="112" t="str">
        <x:v>6 BÌNH / THÙNG</x:v>
      </x:c>
      <x:c r="R243" s="112" t="n">
        <x:v>539</x:v>
      </x:c>
      <x:c r="S243" s="113" t="n">
        <x:v>540</x:v>
      </x:c>
    </x:row>
    <x:row r="244">
      <x:c r="A244" s="111" t="n">
        <x:v>244</x:v>
      </x:c>
      <x:c r="B244" s="112" t="str">
        <x:v>SIRO A+ SOCOLA</x:v>
      </x:c>
      <x:c r="C244" s="112" t="str">
        <x:v>SRASCL</x:v>
      </x:c>
      <x:c r="D244" s="112" t="str">
        <x:v>SRASCLT</x:v>
      </x:c>
      <x:c r="E244" s="120"/>
      <x:c r="F244" s="120" t="n">
        <x:v>27000</x:v>
      </x:c>
      <x:c r="G244" s="120" t="n">
        <x:v>27000</x:v>
      </x:c>
      <x:c r="H244" s="112" t="str">
        <x:v>BỔ SUNG GIÁ</x:v>
      </x:c>
      <x:c r="I244" s="112" t="n">
        <x:v>0</x:v>
      </x:c>
      <x:c r="J244" s="112" t="str">
        <x:v>g</x:v>
      </x:c>
      <x:c r="K244" s="112" t="str">
        <x:v>CHAI</x:v>
      </x:c>
      <x:c r="L244" s="112" t="n">
        <x:v>16000</x:v>
      </x:c>
      <x:c r="M244" s="112" t="str">
        <x:v>g</x:v>
      </x:c>
      <x:c r="N244" s="112" t="str">
        <x:v>THÙNG</x:v>
      </x:c>
      <x:c r="O244" s="112" t="n">
        <x:v>24</x:v>
      </x:c>
      <x:c r="P244" s="112" t="str">
        <x:v>0 g / CHAI</x:v>
      </x:c>
      <x:c r="Q244" s="112" t="str">
        <x:v>24 CHAI / THÙNG</x:v>
      </x:c>
      <x:c r="R244" s="112" t="n">
        <x:v>541</x:v>
      </x:c>
      <x:c r="S244" s="113" t="n">
        <x:v>542</x:v>
      </x:c>
    </x:row>
    <x:row r="245">
      <x:c r="A245" s="111" t="n">
        <x:v>245</x:v>
      </x:c>
      <x:c r="B245" s="112" t="str">
        <x:v>SIRO A+ SÂM DỨA</x:v>
      </x:c>
      <x:c r="C245" s="112" t="str">
        <x:v>SRASDU</x:v>
      </x:c>
      <x:c r="D245" s="112" t="str">
        <x:v>SRASDUT</x:v>
      </x:c>
      <x:c r="E245" s="120"/>
      <x:c r="F245" s="120" t="n">
        <x:v>27000</x:v>
      </x:c>
      <x:c r="G245" s="120" t="n">
        <x:v>27000</x:v>
      </x:c>
      <x:c r="H245" s="112" t="str">
        <x:v>BỔ SUNG GIÁ</x:v>
      </x:c>
      <x:c r="I245" s="112" t="n">
        <x:v>0</x:v>
      </x:c>
      <x:c r="J245" s="112" t="str">
        <x:v>g</x:v>
      </x:c>
      <x:c r="K245" s="112" t="str">
        <x:v>CHAI</x:v>
      </x:c>
      <x:c r="L245" s="112" t="n">
        <x:v>16000</x:v>
      </x:c>
      <x:c r="M245" s="112" t="str">
        <x:v>g</x:v>
      </x:c>
      <x:c r="N245" s="112" t="str">
        <x:v>THÙNG</x:v>
      </x:c>
      <x:c r="O245" s="112" t="n">
        <x:v>24</x:v>
      </x:c>
      <x:c r="P245" s="112" t="str">
        <x:v>0 g / CHAI</x:v>
      </x:c>
      <x:c r="Q245" s="112" t="str">
        <x:v>24 CHAI / THÙNG</x:v>
      </x:c>
      <x:c r="R245" s="112" t="n">
        <x:v>543</x:v>
      </x:c>
      <x:c r="S245" s="113" t="n">
        <x:v>544</x:v>
      </x:c>
    </x:row>
    <x:row r="246">
      <x:c r="A246" s="111" t="n">
        <x:v>246</x:v>
      </x:c>
      <x:c r="B246" s="112" t="str">
        <x:v>SIRO PIXIE VIỆT QUỐC</x:v>
      </x:c>
      <x:c r="C246" s="112" t="str">
        <x:v>PIXVQU</x:v>
      </x:c>
      <x:c r="D246" s="112" t="str">
        <x:v>PIXVQUT</x:v>
      </x:c>
      <x:c r="E246" s="120" t="n">
        <x:v>62000</x:v>
      </x:c>
      <x:c r="F246" s="120" t="n">
        <x:v>62000</x:v>
      </x:c>
      <x:c r="G246" s="120" t="n">
        <x:v>62000</x:v>
      </x:c>
      <x:c r="H246" s="112" t="str">
        <x:v>GIỮ NGUYÊN - ĐÃ KHỚP</x:v>
      </x:c>
      <x:c r="I246" s="112" t="n">
        <x:v>0</x:v>
      </x:c>
      <x:c r="J246" s="112" t="str">
        <x:v>kg</x:v>
      </x:c>
      <x:c r="K246" s="112" t="str">
        <x:v>CHAI</x:v>
      </x:c>
      <x:c r="L246" s="112" t="n">
        <x:v>13000</x:v>
      </x:c>
      <x:c r="M246" s="112" t="str">
        <x:v>g</x:v>
      </x:c>
      <x:c r="N246" s="112" t="str">
        <x:v>THÙNG</x:v>
      </x:c>
      <x:c r="O246" s="112" t="n">
        <x:v>12</x:v>
      </x:c>
      <x:c r="P246" s="112" t="str">
        <x:v>0 kg / CHAI</x:v>
      </x:c>
      <x:c r="Q246" s="112" t="str">
        <x:v>12 CHAI / THÙNG</x:v>
      </x:c>
      <x:c r="R246" s="112" t="n">
        <x:v>545</x:v>
      </x:c>
      <x:c r="S246" s="113" t="n">
        <x:v>546</x:v>
      </x:c>
    </x:row>
    <x:row r="247">
      <x:c r="A247" s="111" t="n">
        <x:v>247</x:v>
      </x:c>
      <x:c r="B247" s="112" t="str">
        <x:v>SIRO PIXIE VẢI</x:v>
      </x:c>
      <x:c r="C247" s="112" t="str">
        <x:v>PIXVAI</x:v>
      </x:c>
      <x:c r="D247" s="112" t="str">
        <x:v>PIXVAIT</x:v>
      </x:c>
      <x:c r="E247" s="120" t="n">
        <x:v>62000</x:v>
      </x:c>
      <x:c r="F247" s="120" t="n">
        <x:v>62000</x:v>
      </x:c>
      <x:c r="G247" s="120" t="n">
        <x:v>62000</x:v>
      </x:c>
      <x:c r="H247" s="112" t="str">
        <x:v>GIỮ NGUYÊN - ĐÃ KHỚP</x:v>
      </x:c>
      <x:c r="I247" s="112" t="n">
        <x:v>1</x:v>
      </x:c>
      <x:c r="J247" s="112" t="str">
        <x:v>kg</x:v>
      </x:c>
      <x:c r="K247" s="112" t="str">
        <x:v>CHAI</x:v>
      </x:c>
      <x:c r="L247" s="112" t="n">
        <x:v>13000</x:v>
      </x:c>
      <x:c r="M247" s="112" t="str">
        <x:v>g</x:v>
      </x:c>
      <x:c r="N247" s="112" t="str">
        <x:v>THÙNG</x:v>
      </x:c>
      <x:c r="O247" s="112" t="n">
        <x:v>12</x:v>
      </x:c>
      <x:c r="P247" s="112" t="str">
        <x:v>1 kg / CHAI</x:v>
      </x:c>
      <x:c r="Q247" s="112" t="str">
        <x:v>12 CHAI / THÙNG</x:v>
      </x:c>
      <x:c r="R247" s="112" t="n">
        <x:v>547</x:v>
      </x:c>
      <x:c r="S247" s="113" t="n">
        <x:v>548</x:v>
      </x:c>
    </x:row>
    <x:row r="248">
      <x:c r="A248" s="111" t="n">
        <x:v>248</x:v>
      </x:c>
      <x:c r="B248" s="112" t="str">
        <x:v>SIRO PIXIE TÁO</x:v>
      </x:c>
      <x:c r="C248" s="112" t="str">
        <x:v>PIXTAO</x:v>
      </x:c>
      <x:c r="D248" s="112" t="str">
        <x:v>PIXTAOT</x:v>
      </x:c>
      <x:c r="E248" s="120" t="n">
        <x:v>62000</x:v>
      </x:c>
      <x:c r="F248" s="120" t="n">
        <x:v>62000</x:v>
      </x:c>
      <x:c r="G248" s="120" t="n">
        <x:v>62000</x:v>
      </x:c>
      <x:c r="H248" s="112" t="str">
        <x:v>GIỮ NGUYÊN - ĐÃ KHỚP</x:v>
      </x:c>
      <x:c r="I248" s="112" t="n">
        <x:v>1000</x:v>
      </x:c>
      <x:c r="J248" s="112" t="str">
        <x:v>g</x:v>
      </x:c>
      <x:c r="K248" s="112" t="str">
        <x:v>CHAI</x:v>
      </x:c>
      <x:c r="L248" s="112" t="n">
        <x:v>13000</x:v>
      </x:c>
      <x:c r="M248" s="112" t="str">
        <x:v>g</x:v>
      </x:c>
      <x:c r="N248" s="112" t="str">
        <x:v>THÙNG</x:v>
      </x:c>
      <x:c r="O248" s="112" t="n">
        <x:v>12</x:v>
      </x:c>
      <x:c r="P248" s="112" t="str">
        <x:v>1000 g / CHAI</x:v>
      </x:c>
      <x:c r="Q248" s="112" t="str">
        <x:v>12 CHAI / THÙNG</x:v>
      </x:c>
      <x:c r="R248" s="112" t="n">
        <x:v>549</x:v>
      </x:c>
      <x:c r="S248" s="113" t="n">
        <x:v>550</x:v>
      </x:c>
    </x:row>
    <x:row r="249">
      <x:c r="A249" s="111" t="n">
        <x:v>249</x:v>
      </x:c>
      <x:c r="B249" s="112" t="str">
        <x:v>SIRO PIXIE SOCOLA</x:v>
      </x:c>
      <x:c r="C249" s="112" t="str">
        <x:v>PIXSCL</x:v>
      </x:c>
      <x:c r="D249" s="112" t="str">
        <x:v>PIXSCLT</x:v>
      </x:c>
      <x:c r="E249" s="120" t="n">
        <x:v>62000</x:v>
      </x:c>
      <x:c r="F249" s="120" t="n">
        <x:v>62000</x:v>
      </x:c>
      <x:c r="G249" s="120" t="n">
        <x:v>62000</x:v>
      </x:c>
      <x:c r="H249" s="112" t="str">
        <x:v>GIỮ NGUYÊN - ĐÃ KHỚP</x:v>
      </x:c>
      <x:c r="I249" s="112" t="n">
        <x:v>1</x:v>
      </x:c>
      <x:c r="J249" s="112" t="str">
        <x:v>kg</x:v>
      </x:c>
      <x:c r="K249" s="112" t="str">
        <x:v>CHAI</x:v>
      </x:c>
      <x:c r="L249" s="112" t="n">
        <x:v>13000</x:v>
      </x:c>
      <x:c r="M249" s="112" t="str">
        <x:v>g</x:v>
      </x:c>
      <x:c r="N249" s="112" t="str">
        <x:v>THÙNG</x:v>
      </x:c>
      <x:c r="O249" s="112" t="n">
        <x:v>12</x:v>
      </x:c>
      <x:c r="P249" s="112" t="str">
        <x:v>1 kg / CHAI</x:v>
      </x:c>
      <x:c r="Q249" s="112" t="str">
        <x:v>12 CHAI / THÙNG</x:v>
      </x:c>
      <x:c r="R249" s="112" t="n">
        <x:v>551</x:v>
      </x:c>
      <x:c r="S249" s="113" t="n">
        <x:v>552</x:v>
      </x:c>
    </x:row>
    <x:row r="250">
      <x:c r="A250" s="111" t="n">
        <x:v>250</x:v>
      </x:c>
      <x:c r="B250" s="112" t="str">
        <x:v>SIRO PIXIE NHO</x:v>
      </x:c>
      <x:c r="C250" s="112" t="str">
        <x:v>PIXNHO</x:v>
      </x:c>
      <x:c r="D250" s="112" t="str">
        <x:v>PIXNHOT</x:v>
      </x:c>
      <x:c r="E250" s="120" t="n">
        <x:v>62000</x:v>
      </x:c>
      <x:c r="F250" s="120" t="n">
        <x:v>62000</x:v>
      </x:c>
      <x:c r="G250" s="120" t="n">
        <x:v>62000</x:v>
      </x:c>
      <x:c r="H250" s="112" t="str">
        <x:v>GIỮ NGUYÊN - ĐÃ KHỚP</x:v>
      </x:c>
      <x:c r="I250" s="112" t="n">
        <x:v>1</x:v>
      </x:c>
      <x:c r="J250" s="112" t="str">
        <x:v>kg</x:v>
      </x:c>
      <x:c r="K250" s="112" t="str">
        <x:v>CHAI</x:v>
      </x:c>
      <x:c r="L250" s="112" t="n">
        <x:v>13000</x:v>
      </x:c>
      <x:c r="M250" s="112" t="str">
        <x:v>g</x:v>
      </x:c>
      <x:c r="N250" s="112" t="str">
        <x:v>THÙNG</x:v>
      </x:c>
      <x:c r="O250" s="112" t="n">
        <x:v>12</x:v>
      </x:c>
      <x:c r="P250" s="112" t="str">
        <x:v>1 kg / CHAI</x:v>
      </x:c>
      <x:c r="Q250" s="112" t="str">
        <x:v>12 CHAI / THÙNG</x:v>
      </x:c>
      <x:c r="R250" s="112" t="n">
        <x:v>553</x:v>
      </x:c>
      <x:c r="S250" s="113" t="n">
        <x:v>554</x:v>
      </x:c>
    </x:row>
    <x:row r="251">
      <x:c r="A251" s="111" t="n">
        <x:v>251</x:v>
      </x:c>
      <x:c r="B251" s="112" t="str">
        <x:v>SIRO PIXIE MATCHA</x:v>
      </x:c>
      <x:c r="C251" s="112" t="str">
        <x:v>PIXMAT</x:v>
      </x:c>
      <x:c r="D251" s="112" t="str">
        <x:v>PIXMATT</x:v>
      </x:c>
      <x:c r="E251" s="120" t="n">
        <x:v>62000</x:v>
      </x:c>
      <x:c r="F251" s="120" t="n">
        <x:v>62000</x:v>
      </x:c>
      <x:c r="G251" s="120" t="n">
        <x:v>62000</x:v>
      </x:c>
      <x:c r="H251" s="112" t="str">
        <x:v>GIỮ NGUYÊN - ĐÃ KHỚP</x:v>
      </x:c>
      <x:c r="I251" s="112" t="n">
        <x:v>1</x:v>
      </x:c>
      <x:c r="J251" s="112" t="str">
        <x:v>kg</x:v>
      </x:c>
      <x:c r="K251" s="112" t="str">
        <x:v>CHAI</x:v>
      </x:c>
      <x:c r="L251" s="112" t="n">
        <x:v>13000</x:v>
      </x:c>
      <x:c r="M251" s="112" t="str">
        <x:v>g</x:v>
      </x:c>
      <x:c r="N251" s="112" t="str">
        <x:v>THÙNG</x:v>
      </x:c>
      <x:c r="O251" s="112" t="n">
        <x:v>12</x:v>
      </x:c>
      <x:c r="P251" s="112" t="str">
        <x:v>1 kg / CHAI</x:v>
      </x:c>
      <x:c r="Q251" s="112" t="str">
        <x:v>12 CHAI / THÙNG</x:v>
      </x:c>
      <x:c r="R251" s="112" t="n">
        <x:v>555</x:v>
      </x:c>
      <x:c r="S251" s="113" t="n">
        <x:v>556</x:v>
      </x:c>
    </x:row>
    <x:row r="252">
      <x:c r="A252" s="111" t="n">
        <x:v>252</x:v>
      </x:c>
      <x:c r="B252" s="112" t="str">
        <x:v>SIRO PIXIE KIWI</x:v>
      </x:c>
      <x:c r="C252" s="112" t="str">
        <x:v>PIXKWI</x:v>
      </x:c>
      <x:c r="D252" s="112" t="str">
        <x:v>PIXKWIT</x:v>
      </x:c>
      <x:c r="E252" s="120" t="n">
        <x:v>62000</x:v>
      </x:c>
      <x:c r="F252" s="120" t="n">
        <x:v>62000</x:v>
      </x:c>
      <x:c r="G252" s="120" t="n">
        <x:v>62000</x:v>
      </x:c>
      <x:c r="H252" s="112" t="str">
        <x:v>GIỮ NGUYÊN - ĐÃ KHỚP</x:v>
      </x:c>
      <x:c r="I252" s="112" t="n">
        <x:v>1</x:v>
      </x:c>
      <x:c r="J252" s="112" t="str">
        <x:v>kg</x:v>
      </x:c>
      <x:c r="K252" s="112" t="str">
        <x:v>CHAI</x:v>
      </x:c>
      <x:c r="L252" s="112" t="n">
        <x:v>13000</x:v>
      </x:c>
      <x:c r="M252" s="112" t="str">
        <x:v>g</x:v>
      </x:c>
      <x:c r="N252" s="112" t="str">
        <x:v>THÙNG</x:v>
      </x:c>
      <x:c r="O252" s="112" t="n">
        <x:v>12</x:v>
      </x:c>
      <x:c r="P252" s="112" t="str">
        <x:v>1 kg / CHAI</x:v>
      </x:c>
      <x:c r="Q252" s="112" t="str">
        <x:v>12 CHAI / THÙNG</x:v>
      </x:c>
      <x:c r="R252" s="112" t="n">
        <x:v>557</x:v>
      </x:c>
      <x:c r="S252" s="113" t="n">
        <x:v>558</x:v>
      </x:c>
    </x:row>
    <x:row r="253">
      <x:c r="A253" s="111" t="n">
        <x:v>253</x:v>
      </x:c>
      <x:c r="B253" s="112" t="str">
        <x:v>SIRO PIXIE ĐÀO</x:v>
      </x:c>
      <x:c r="C253" s="112" t="str">
        <x:v>PIXDAO</x:v>
      </x:c>
      <x:c r="D253" s="112" t="str">
        <x:v>PIXDAOT</x:v>
      </x:c>
      <x:c r="E253" s="120" t="n">
        <x:v>62000</x:v>
      </x:c>
      <x:c r="F253" s="120" t="n">
        <x:v>62000</x:v>
      </x:c>
      <x:c r="G253" s="120" t="n">
        <x:v>62000</x:v>
      </x:c>
      <x:c r="H253" s="112" t="str">
        <x:v>GIỮ NGUYÊN - ĐÃ KHỚP</x:v>
      </x:c>
      <x:c r="I253" s="112" t="n">
        <x:v>1</x:v>
      </x:c>
      <x:c r="J253" s="112" t="str">
        <x:v>kg</x:v>
      </x:c>
      <x:c r="K253" s="112" t="str">
        <x:v>CHAI</x:v>
      </x:c>
      <x:c r="L253" s="112" t="n">
        <x:v>13000</x:v>
      </x:c>
      <x:c r="M253" s="112" t="str">
        <x:v>g</x:v>
      </x:c>
      <x:c r="N253" s="112" t="str">
        <x:v>THÙNG</x:v>
      </x:c>
      <x:c r="O253" s="112" t="n">
        <x:v>12</x:v>
      </x:c>
      <x:c r="P253" s="112" t="str">
        <x:v>1 kg / CHAI</x:v>
      </x:c>
      <x:c r="Q253" s="112" t="str">
        <x:v>12 CHAI / THÙNG</x:v>
      </x:c>
      <x:c r="R253" s="112" t="n">
        <x:v>559</x:v>
      </x:c>
      <x:c r="S253" s="113" t="n">
        <x:v>560</x:v>
      </x:c>
    </x:row>
    <x:row r="254">
      <x:c r="A254" s="111" t="n">
        <x:v>254</x:v>
      </x:c>
      <x:c r="B254" s="112" t="str">
        <x:v>SIRO PIXIE DƯA LƯỚI</x:v>
      </x:c>
      <x:c r="C254" s="112" t="str">
        <x:v>PIXDLU</x:v>
      </x:c>
      <x:c r="D254" s="112" t="str">
        <x:v>PIXDLUT</x:v>
      </x:c>
      <x:c r="E254" s="120" t="n">
        <x:v>62000</x:v>
      </x:c>
      <x:c r="F254" s="120" t="n">
        <x:v>62000</x:v>
      </x:c>
      <x:c r="G254" s="120" t="n">
        <x:v>62000</x:v>
      </x:c>
      <x:c r="H254" s="112" t="str">
        <x:v>GIỮ NGUYÊN - ĐÃ KHỚP</x:v>
      </x:c>
      <x:c r="I254" s="112" t="n">
        <x:v>1</x:v>
      </x:c>
      <x:c r="J254" s="112" t="str">
        <x:v>kg</x:v>
      </x:c>
      <x:c r="K254" s="112" t="str">
        <x:v>CHAI</x:v>
      </x:c>
      <x:c r="L254" s="112" t="n">
        <x:v>13000</x:v>
      </x:c>
      <x:c r="M254" s="112" t="str">
        <x:v>g</x:v>
      </x:c>
      <x:c r="N254" s="112" t="str">
        <x:v>THÙNG</x:v>
      </x:c>
      <x:c r="O254" s="112" t="n">
        <x:v>12</x:v>
      </x:c>
      <x:c r="P254" s="112" t="str">
        <x:v>1 kg / CHAI</x:v>
      </x:c>
      <x:c r="Q254" s="112" t="str">
        <x:v>12 CHAI / THÙNG</x:v>
      </x:c>
      <x:c r="R254" s="112" t="n">
        <x:v>561</x:v>
      </x:c>
      <x:c r="S254" s="113" t="n">
        <x:v>562</x:v>
      </x:c>
    </x:row>
    <x:row r="255">
      <x:c r="A255" s="111" t="n">
        <x:v>255</x:v>
      </x:c>
      <x:c r="B255" s="112" t="str">
        <x:v>SIRO PIXIE DÂU</x:v>
      </x:c>
      <x:c r="C255" s="112" t="str">
        <x:v>PIXDAU</x:v>
      </x:c>
      <x:c r="D255" s="112" t="str">
        <x:v>PIXDAUT</x:v>
      </x:c>
      <x:c r="E255" s="120" t="n">
        <x:v>62000</x:v>
      </x:c>
      <x:c r="F255" s="120" t="n">
        <x:v>62000</x:v>
      </x:c>
      <x:c r="G255" s="120" t="n">
        <x:v>62000</x:v>
      </x:c>
      <x:c r="H255" s="112" t="str">
        <x:v>GIỮ NGUYÊN - ĐÃ KHỚP</x:v>
      </x:c>
      <x:c r="I255" s="112" t="n">
        <x:v>1</x:v>
      </x:c>
      <x:c r="J255" s="112" t="str">
        <x:v>kg</x:v>
      </x:c>
      <x:c r="K255" s="112" t="str">
        <x:v>CHAI</x:v>
      </x:c>
      <x:c r="L255" s="112" t="n">
        <x:v>13000</x:v>
      </x:c>
      <x:c r="M255" s="112" t="str">
        <x:v>g</x:v>
      </x:c>
      <x:c r="N255" s="112" t="str">
        <x:v>THÙNG</x:v>
      </x:c>
      <x:c r="O255" s="112" t="n">
        <x:v>12</x:v>
      </x:c>
      <x:c r="P255" s="112" t="str">
        <x:v>1 kg / CHAI</x:v>
      </x:c>
      <x:c r="Q255" s="112" t="str">
        <x:v>12 CHAI / THÙNG</x:v>
      </x:c>
      <x:c r="R255" s="112" t="n">
        <x:v>563</x:v>
      </x:c>
      <x:c r="S255" s="113" t="n">
        <x:v>564</x:v>
      </x:c>
    </x:row>
    <x:row r="256">
      <x:c r="A256" s="111" t="n">
        <x:v>256</x:v>
      </x:c>
      <x:c r="B256" s="112" t="str">
        <x:v>SIRO PIXIE CHANH DÂY</x:v>
      </x:c>
      <x:c r="C256" s="112" t="str">
        <x:v>PIXCDA</x:v>
      </x:c>
      <x:c r="D256" s="112" t="str">
        <x:v>PIXCDAT</x:v>
      </x:c>
      <x:c r="E256" s="120" t="n">
        <x:v>62000</x:v>
      </x:c>
      <x:c r="F256" s="120" t="n">
        <x:v>62000</x:v>
      </x:c>
      <x:c r="G256" s="120" t="n">
        <x:v>62000</x:v>
      </x:c>
      <x:c r="H256" s="112" t="str">
        <x:v>GIỮ NGUYÊN - ĐÃ KHỚP</x:v>
      </x:c>
      <x:c r="I256" s="112" t="n">
        <x:v>1</x:v>
      </x:c>
      <x:c r="J256" s="112" t="str">
        <x:v>kg</x:v>
      </x:c>
      <x:c r="K256" s="112" t="str">
        <x:v>CHAI</x:v>
      </x:c>
      <x:c r="L256" s="112" t="n">
        <x:v>13000</x:v>
      </x:c>
      <x:c r="M256" s="112" t="str">
        <x:v>g</x:v>
      </x:c>
      <x:c r="N256" s="112" t="str">
        <x:v>THÙNG</x:v>
      </x:c>
      <x:c r="O256" s="112" t="n">
        <x:v>12</x:v>
      </x:c>
      <x:c r="P256" s="112" t="str">
        <x:v>1 kg / CHAI</x:v>
      </x:c>
      <x:c r="Q256" s="112" t="str">
        <x:v>12 CHAI / THÙNG</x:v>
      </x:c>
      <x:c r="R256" s="112" t="n">
        <x:v>565</x:v>
      </x:c>
      <x:c r="S256" s="113" t="n">
        <x:v>566</x:v>
      </x:c>
    </x:row>
    <x:row r="257">
      <x:c r="A257" s="111" t="n">
        <x:v>257</x:v>
      </x:c>
      <x:c r="B257" s="112" t="str">
        <x:v>SIRO PIXIE BLUE PUNCH</x:v>
      </x:c>
      <x:c r="C257" s="112" t="str">
        <x:v>PIXPUN</x:v>
      </x:c>
      <x:c r="D257" s="112" t="str">
        <x:v>PIXPUNT</x:v>
      </x:c>
      <x:c r="E257" s="120" t="n">
        <x:v>62000</x:v>
      </x:c>
      <x:c r="F257" s="120" t="n">
        <x:v>62000</x:v>
      </x:c>
      <x:c r="G257" s="120" t="n">
        <x:v>62000</x:v>
      </x:c>
      <x:c r="H257" s="112" t="str">
        <x:v>GIỮ NGUYÊN - ĐÃ KHỚP</x:v>
      </x:c>
      <x:c r="I257" s="112" t="n">
        <x:v>0</x:v>
      </x:c>
      <x:c r="J257" s="112" t="str">
        <x:v>kg</x:v>
      </x:c>
      <x:c r="K257" s="112" t="str">
        <x:v>CHAI</x:v>
      </x:c>
      <x:c r="L257" s="112" t="n">
        <x:v>13000</x:v>
      </x:c>
      <x:c r="M257" s="112" t="str">
        <x:v>g</x:v>
      </x:c>
      <x:c r="N257" s="112" t="str">
        <x:v>THÙNG</x:v>
      </x:c>
      <x:c r="O257" s="112" t="n">
        <x:v>12</x:v>
      </x:c>
      <x:c r="P257" s="112" t="str">
        <x:v>0 kg / CHAI</x:v>
      </x:c>
      <x:c r="Q257" s="112" t="str">
        <x:v>12 CHAI / THÙNG</x:v>
      </x:c>
      <x:c r="R257" s="112" t="n">
        <x:v>567</x:v>
      </x:c>
      <x:c r="S257" s="113" t="n">
        <x:v>568</x:v>
      </x:c>
    </x:row>
    <x:row r="258">
      <x:c r="A258" s="111" t="n">
        <x:v>258</x:v>
      </x:c>
      <x:c r="B258" s="112" t="str">
        <x:v>SIRO PIXIE BLUE CURACAO</x:v>
      </x:c>
      <x:c r="C258" s="112" t="str">
        <x:v>PIXBLU</x:v>
      </x:c>
      <x:c r="D258" s="112" t="str">
        <x:v>PIXBLUT</x:v>
      </x:c>
      <x:c r="E258" s="120" t="n">
        <x:v>62000</x:v>
      </x:c>
      <x:c r="F258" s="120" t="n">
        <x:v>62000</x:v>
      </x:c>
      <x:c r="G258" s="120" t="n">
        <x:v>62000</x:v>
      </x:c>
      <x:c r="H258" s="112" t="str">
        <x:v>GIỮ NGUYÊN - ĐÃ KHỚP</x:v>
      </x:c>
      <x:c r="I258" s="112" t="n">
        <x:v>0</x:v>
      </x:c>
      <x:c r="J258" s="112" t="str">
        <x:v>kg</x:v>
      </x:c>
      <x:c r="K258" s="112" t="str">
        <x:v>CHAI</x:v>
      </x:c>
      <x:c r="L258" s="112" t="n">
        <x:v>13000</x:v>
      </x:c>
      <x:c r="M258" s="112" t="str">
        <x:v>g</x:v>
      </x:c>
      <x:c r="N258" s="112" t="str">
        <x:v>THÙNG</x:v>
      </x:c>
      <x:c r="O258" s="112" t="n">
        <x:v>12</x:v>
      </x:c>
      <x:c r="P258" s="112" t="str">
        <x:v>0 kg / CHAI</x:v>
      </x:c>
      <x:c r="Q258" s="112" t="str">
        <x:v>12 CHAI / THÙNG</x:v>
      </x:c>
      <x:c r="R258" s="112" t="n">
        <x:v>569</x:v>
      </x:c>
      <x:c r="S258" s="113" t="n">
        <x:v>570</x:v>
      </x:c>
    </x:row>
    <x:row r="259">
      <x:c r="A259" s="111" t="n">
        <x:v>259</x:v>
      </x:c>
      <x:c r="B259" s="112" t="str">
        <x:v>SIRO PIXIE BẠC HÀ</x:v>
      </x:c>
      <x:c r="C259" s="112" t="str">
        <x:v>PIXBHA</x:v>
      </x:c>
      <x:c r="D259" s="112" t="str">
        <x:v>PIXBHAT</x:v>
      </x:c>
      <x:c r="E259" s="120" t="n">
        <x:v>62000</x:v>
      </x:c>
      <x:c r="F259" s="120" t="n">
        <x:v>62000</x:v>
      </x:c>
      <x:c r="G259" s="120" t="n">
        <x:v>62000</x:v>
      </x:c>
      <x:c r="H259" s="112" t="str">
        <x:v>GIỮ NGUYÊN - ĐÃ KHỚP</x:v>
      </x:c>
      <x:c r="I259" s="112" t="n">
        <x:v>1</x:v>
      </x:c>
      <x:c r="J259" s="112" t="str">
        <x:v>kg</x:v>
      </x:c>
      <x:c r="K259" s="112" t="str">
        <x:v>CHAI</x:v>
      </x:c>
      <x:c r="L259" s="112" t="n">
        <x:v>13000</x:v>
      </x:c>
      <x:c r="M259" s="112" t="str">
        <x:v>g</x:v>
      </x:c>
      <x:c r="N259" s="112" t="str">
        <x:v>THÙNG</x:v>
      </x:c>
      <x:c r="O259" s="112" t="n">
        <x:v>12</x:v>
      </x:c>
      <x:c r="P259" s="112" t="str">
        <x:v>1 kg / CHAI</x:v>
      </x:c>
      <x:c r="Q259" s="112" t="str">
        <x:v>12 CHAI / THÙNG</x:v>
      </x:c>
      <x:c r="R259" s="112" t="n">
        <x:v>571</x:v>
      </x:c>
      <x:c r="S259" s="113" t="n">
        <x:v>572</x:v>
      </x:c>
    </x:row>
    <x:row r="260">
      <x:c r="A260" s="111" t="n">
        <x:v>260</x:v>
      </x:c>
      <x:c r="B260" s="112" t="str">
        <x:v>GTP ỔI</x:v>
      </x:c>
      <x:c r="C260" s="112" t="str">
        <x:v>GTPOII</x:v>
      </x:c>
      <x:c r="D260" s="112" t="str">
        <x:v>GTPOIIT</x:v>
      </x:c>
      <x:c r="E260" s="120" t="n">
        <x:v>140000</x:v>
      </x:c>
      <x:c r="F260" s="120" t="n">
        <x:v>140000</x:v>
      </x:c>
      <x:c r="G260" s="120" t="n">
        <x:v>140000</x:v>
      </x:c>
      <x:c r="H260" s="112" t="str">
        <x:v>GIỮ NGUYÊN - ĐÃ KHỚP</x:v>
      </x:c>
      <x:c r="I260" s="112" t="n">
        <x:v>2550</x:v>
      </x:c>
      <x:c r="J260" s="112" t="str">
        <x:v>g</x:v>
      </x:c>
      <x:c r="K260" s="112" t="str">
        <x:v>BÌNH</x:v>
      </x:c>
      <x:c r="L260" s="112" t="n">
        <x:v>16000</x:v>
      </x:c>
      <x:c r="M260" s="112" t="str">
        <x:v>g</x:v>
      </x:c>
      <x:c r="N260" s="112" t="str">
        <x:v>THÙNG</x:v>
      </x:c>
      <x:c r="O260" s="112" t="n">
        <x:v>6</x:v>
      </x:c>
      <x:c r="P260" s="112" t="str">
        <x:v>2550 g / BÌNH</x:v>
      </x:c>
      <x:c r="Q260" s="112" t="str">
        <x:v>6 BÌNH / THÙNG</x:v>
      </x:c>
      <x:c r="R260" s="112" t="n">
        <x:v>573</x:v>
      </x:c>
      <x:c r="S260" s="113" t="n">
        <x:v>574</x:v>
      </x:c>
    </x:row>
    <x:row r="261">
      <x:c r="A261" s="111" t="n">
        <x:v>261</x:v>
      </x:c>
      <x:c r="B261" s="112" t="str">
        <x:v>GTP MÔN</x:v>
      </x:c>
      <x:c r="C261" s="112" t="str">
        <x:v>GTPMON</x:v>
      </x:c>
      <x:c r="D261" s="112" t="str">
        <x:v>GTPMONT</x:v>
      </x:c>
      <x:c r="E261" s="120" t="n">
        <x:v>140000</x:v>
      </x:c>
      <x:c r="F261" s="120" t="n">
        <x:v>140000</x:v>
      </x:c>
      <x:c r="G261" s="120" t="n">
        <x:v>140000</x:v>
      </x:c>
      <x:c r="H261" s="112" t="str">
        <x:v>GIỮ NGUYÊN - ĐÃ KHỚP</x:v>
      </x:c>
      <x:c r="I261" s="112" t="n">
        <x:v>2550</x:v>
      </x:c>
      <x:c r="J261" s="112" t="str">
        <x:v>g</x:v>
      </x:c>
      <x:c r="K261" s="112" t="str">
        <x:v>BÌNH</x:v>
      </x:c>
      <x:c r="L261" s="112" t="n">
        <x:v>16000</x:v>
      </x:c>
      <x:c r="M261" s="112" t="str">
        <x:v>g</x:v>
      </x:c>
      <x:c r="N261" s="112" t="str">
        <x:v>THÙNG</x:v>
      </x:c>
      <x:c r="O261" s="112" t="n">
        <x:v>6</x:v>
      </x:c>
      <x:c r="P261" s="112" t="str">
        <x:v>2550 g / BÌNH</x:v>
      </x:c>
      <x:c r="Q261" s="112" t="str">
        <x:v>6 BÌNH / THÙNG</x:v>
      </x:c>
      <x:c r="R261" s="112" t="n">
        <x:v>575</x:v>
      </x:c>
      <x:c r="S261" s="113" t="n">
        <x:v>576</x:v>
      </x:c>
    </x:row>
    <x:row r="262">
      <x:c r="A262" s="111" t="n">
        <x:v>262</x:v>
      </x:c>
      <x:c r="B262" s="112" t="str">
        <x:v>SIRO A+ MÔN</x:v>
      </x:c>
      <x:c r="C262" s="112" t="str">
        <x:v>SRAMON</x:v>
      </x:c>
      <x:c r="D262" s="112" t="str">
        <x:v>SRAMONT</x:v>
      </x:c>
      <x:c r="E262" s="120"/>
      <x:c r="F262" s="120" t="n">
        <x:v>27000</x:v>
      </x:c>
      <x:c r="G262" s="120" t="n">
        <x:v>27000</x:v>
      </x:c>
      <x:c r="H262" s="112" t="str">
        <x:v>BỔ SUNG GIÁ</x:v>
      </x:c>
      <x:c r="I262" s="112" t="n">
        <x:v>0</x:v>
      </x:c>
      <x:c r="J262" s="112" t="str">
        <x:v>g</x:v>
      </x:c>
      <x:c r="K262" s="112" t="str">
        <x:v>CHAI</x:v>
      </x:c>
      <x:c r="L262" s="112" t="n">
        <x:v>16000</x:v>
      </x:c>
      <x:c r="M262" s="112" t="str">
        <x:v>g</x:v>
      </x:c>
      <x:c r="N262" s="112" t="str">
        <x:v>THÙNG</x:v>
      </x:c>
      <x:c r="O262" s="112" t="n">
        <x:v>24</x:v>
      </x:c>
      <x:c r="P262" s="112" t="str">
        <x:v>0 g / CHAI</x:v>
      </x:c>
      <x:c r="Q262" s="112" t="str">
        <x:v>24 CHAI / THÙNG</x:v>
      </x:c>
      <x:c r="R262" s="112" t="n">
        <x:v>577</x:v>
      </x:c>
      <x:c r="S262" s="113" t="n">
        <x:v>578</x:v>
      </x:c>
    </x:row>
    <x:row r="263">
      <x:c r="A263" s="111" t="n">
        <x:v>263</x:v>
      </x:c>
      <x:c r="B263" s="112" t="str">
        <x:v>SIRO MAULIN VẢI</x:v>
      </x:c>
      <x:c r="C263" s="112" t="str">
        <x:v>SRMLVA</x:v>
      </x:c>
      <x:c r="D263" s="112" t="str">
        <x:v>SRMLVAT</x:v>
      </x:c>
      <x:c r="E263" s="120"/>
      <x:c r="F263" s="120" t="n">
        <x:v>220000</x:v>
      </x:c>
      <x:c r="G263" s="120" t="n">
        <x:v>220000</x:v>
      </x:c>
      <x:c r="H263" s="112" t="str">
        <x:v>BỔ SUNG GIÁ</x:v>
      </x:c>
      <x:c r="I263" s="112" t="n">
        <x:v>2600</x:v>
      </x:c>
      <x:c r="J263" s="112" t="str">
        <x:v>g</x:v>
      </x:c>
      <x:c r="K263" s="112" t="str">
        <x:v>BÌNH</x:v>
      </x:c>
      <x:c r="L263" s="112" t="n">
        <x:v>16</x:v>
      </x:c>
      <x:c r="M263" s="112" t="str">
        <x:v>kg</x:v>
      </x:c>
      <x:c r="N263" s="112" t="str">
        <x:v>THÙNG</x:v>
      </x:c>
      <x:c r="O263" s="112" t="n">
        <x:v>6</x:v>
      </x:c>
      <x:c r="P263" s="112" t="str">
        <x:v>2600 g / BÌNH</x:v>
      </x:c>
      <x:c r="Q263" s="112" t="str">
        <x:v>6 BÌNH / THÙNG</x:v>
      </x:c>
      <x:c r="R263" s="112" t="n">
        <x:v>580</x:v>
      </x:c>
      <x:c r="S263" s="113" t="n">
        <x:v>581</x:v>
      </x:c>
    </x:row>
    <x:row r="264">
      <x:c r="A264" s="111" t="n">
        <x:v>264</x:v>
      </x:c>
      <x:c r="B264" s="112" t="str">
        <x:v>SIRO MAULIN ĐÀO</x:v>
      </x:c>
      <x:c r="C264" s="112" t="str">
        <x:v>SRMLDO</x:v>
      </x:c>
      <x:c r="D264" s="112" t="str">
        <x:v>SRMLDOT</x:v>
      </x:c>
      <x:c r="E264" s="120"/>
      <x:c r="F264" s="120" t="n">
        <x:v>220000</x:v>
      </x:c>
      <x:c r="G264" s="120" t="n">
        <x:v>220000</x:v>
      </x:c>
      <x:c r="H264" s="112" t="str">
        <x:v>BỔ SUNG GIÁ</x:v>
      </x:c>
      <x:c r="I264" s="112" t="n">
        <x:v>2600</x:v>
      </x:c>
      <x:c r="J264" s="112" t="str">
        <x:v>g</x:v>
      </x:c>
      <x:c r="K264" s="112" t="str">
        <x:v>BÌNH</x:v>
      </x:c>
      <x:c r="L264" s="112" t="n">
        <x:v>16</x:v>
      </x:c>
      <x:c r="M264" s="112" t="str">
        <x:v>kg</x:v>
      </x:c>
      <x:c r="N264" s="112" t="str">
        <x:v>THÙNG</x:v>
      </x:c>
      <x:c r="O264" s="112" t="n">
        <x:v>6</x:v>
      </x:c>
      <x:c r="P264" s="112" t="str">
        <x:v>2600 g / BÌNH</x:v>
      </x:c>
      <x:c r="Q264" s="112" t="str">
        <x:v>6 BÌNH / THÙNG</x:v>
      </x:c>
      <x:c r="R264" s="112" t="n">
        <x:v>582</x:v>
      </x:c>
      <x:c r="S264" s="113" t="n">
        <x:v>583</x:v>
      </x:c>
    </x:row>
    <x:row r="265">
      <x:c r="A265" s="111" t="n">
        <x:v>265</x:v>
      </x:c>
      <x:c r="B265" s="112" t="str">
        <x:v>SIRO MAULIN DƯA LƯỚI</x:v>
      </x:c>
      <x:c r="C265" s="112" t="str">
        <x:v>SRMLDL</x:v>
      </x:c>
      <x:c r="D265" s="112" t="str">
        <x:v>SRMLDLT</x:v>
      </x:c>
      <x:c r="E265" s="120"/>
      <x:c r="F265" s="120" t="n">
        <x:v>220000</x:v>
      </x:c>
      <x:c r="G265" s="120" t="n">
        <x:v>220000</x:v>
      </x:c>
      <x:c r="H265" s="112" t="str">
        <x:v>BỔ SUNG GIÁ</x:v>
      </x:c>
      <x:c r="I265" s="112" t="n">
        <x:v>2600</x:v>
      </x:c>
      <x:c r="J265" s="112" t="str">
        <x:v>g</x:v>
      </x:c>
      <x:c r="K265" s="112" t="str">
        <x:v>BÌNH</x:v>
      </x:c>
      <x:c r="L265" s="112" t="n">
        <x:v>16</x:v>
      </x:c>
      <x:c r="M265" s="112" t="str">
        <x:v>kg</x:v>
      </x:c>
      <x:c r="N265" s="112" t="str">
        <x:v>THÙNG</x:v>
      </x:c>
      <x:c r="O265" s="112" t="n">
        <x:v>6</x:v>
      </x:c>
      <x:c r="P265" s="112" t="str">
        <x:v>2600 g / BÌNH</x:v>
      </x:c>
      <x:c r="Q265" s="112" t="str">
        <x:v>6 BÌNH / THÙNG</x:v>
      </x:c>
      <x:c r="R265" s="112" t="n">
        <x:v>584</x:v>
      </x:c>
      <x:c r="S265" s="113" t="n">
        <x:v>585</x:v>
      </x:c>
    </x:row>
    <x:row r="266">
      <x:c r="A266" s="111" t="n">
        <x:v>266</x:v>
      </x:c>
      <x:c r="B266" s="112" t="str">
        <x:v>SIRO MAULIN DÂU</x:v>
      </x:c>
      <x:c r="C266" s="112" t="str">
        <x:v>SRMLDA</x:v>
      </x:c>
      <x:c r="D266" s="112" t="str">
        <x:v>SRMLDAT</x:v>
      </x:c>
      <x:c r="E266" s="120"/>
      <x:c r="F266" s="120" t="n">
        <x:v>220000</x:v>
      </x:c>
      <x:c r="G266" s="120" t="n">
        <x:v>220000</x:v>
      </x:c>
      <x:c r="H266" s="112" t="str">
        <x:v>BỔ SUNG GIÁ</x:v>
      </x:c>
      <x:c r="I266" s="112" t="n">
        <x:v>2600</x:v>
      </x:c>
      <x:c r="J266" s="112" t="str">
        <x:v>g</x:v>
      </x:c>
      <x:c r="K266" s="112" t="str">
        <x:v>BÌNH</x:v>
      </x:c>
      <x:c r="L266" s="112" t="n">
        <x:v>16</x:v>
      </x:c>
      <x:c r="M266" s="112" t="str">
        <x:v>kg</x:v>
      </x:c>
      <x:c r="N266" s="112" t="str">
        <x:v>THÙNG</x:v>
      </x:c>
      <x:c r="O266" s="112" t="n">
        <x:v>6</x:v>
      </x:c>
      <x:c r="P266" s="112" t="str">
        <x:v>2600 g / BÌNH</x:v>
      </x:c>
      <x:c r="Q266" s="112" t="str">
        <x:v>6 BÌNH / THÙNG</x:v>
      </x:c>
      <x:c r="R266" s="112" t="n">
        <x:v>586</x:v>
      </x:c>
      <x:c r="S266" s="113" t="n">
        <x:v>587</x:v>
      </x:c>
    </x:row>
    <x:row r="267">
      <x:c r="A267" s="111" t="n">
        <x:v>267</x:v>
      </x:c>
      <x:c r="B267" s="112" t="str">
        <x:v>SIRO MAMA XOÀI</x:v>
      </x:c>
      <x:c r="C267" s="112" t="str">
        <x:v>SRMMXO</x:v>
      </x:c>
      <x:c r="D267" s="112" t="str">
        <x:v>SRMMXOT</x:v>
      </x:c>
      <x:c r="E267" s="120"/>
      <x:c r="F267" s="120" t="n">
        <x:v>53000</x:v>
      </x:c>
      <x:c r="G267" s="120" t="n">
        <x:v>53000</x:v>
      </x:c>
      <x:c r="H267" s="112" t="str">
        <x:v>BỔ SUNG GIÁ</x:v>
      </x:c>
      <x:c r="I267" s="112" t="n">
        <x:v>1000</x:v>
      </x:c>
      <x:c r="J267" s="112" t="str">
        <x:v>g</x:v>
      </x:c>
      <x:c r="K267" s="112" t="str">
        <x:v>CHAI</x:v>
      </x:c>
      <x:c r="L267" s="112" t="n">
        <x:v>13000</x:v>
      </x:c>
      <x:c r="M267" s="112" t="str">
        <x:v>g</x:v>
      </x:c>
      <x:c r="N267" s="112" t="str">
        <x:v>THÙNG</x:v>
      </x:c>
      <x:c r="O267" s="112" t="n">
        <x:v>12</x:v>
      </x:c>
      <x:c r="P267" s="112" t="str">
        <x:v>1000 g / CHAI</x:v>
      </x:c>
      <x:c r="Q267" s="112" t="str">
        <x:v>12 CHAI / THÙNG</x:v>
      </x:c>
      <x:c r="R267" s="112" t="n">
        <x:v>588</x:v>
      </x:c>
      <x:c r="S267" s="113" t="n">
        <x:v>589</x:v>
      </x:c>
    </x:row>
    <x:row r="268">
      <x:c r="A268" s="111" t="n">
        <x:v>268</x:v>
      </x:c>
      <x:c r="B268" s="112" t="str">
        <x:v>SIRO MAMA VỎ CAM</x:v>
      </x:c>
      <x:c r="C268" s="112" t="str">
        <x:v>SRMMVC</x:v>
      </x:c>
      <x:c r="D268" s="112" t="str">
        <x:v>SRMMVCT</x:v>
      </x:c>
      <x:c r="E268" s="120"/>
      <x:c r="F268" s="120" t="n">
        <x:v>70000</x:v>
      </x:c>
      <x:c r="G268" s="120" t="n">
        <x:v>70000</x:v>
      </x:c>
      <x:c r="H268" s="112" t="str">
        <x:v>BỔ SUNG GIÁ</x:v>
      </x:c>
      <x:c r="I268" s="112" t="n">
        <x:v>1000</x:v>
      </x:c>
      <x:c r="J268" s="112" t="str">
        <x:v>g</x:v>
      </x:c>
      <x:c r="K268" s="112" t="str">
        <x:v>CHAI</x:v>
      </x:c>
      <x:c r="L268" s="112" t="n">
        <x:v>13000</x:v>
      </x:c>
      <x:c r="M268" s="112" t="str">
        <x:v>g</x:v>
      </x:c>
      <x:c r="N268" s="112" t="str">
        <x:v>THÙNG</x:v>
      </x:c>
      <x:c r="O268" s="112" t="n">
        <x:v>12</x:v>
      </x:c>
      <x:c r="P268" s="112" t="str">
        <x:v>1000 g / CHAI</x:v>
      </x:c>
      <x:c r="Q268" s="112" t="str">
        <x:v>12 CHAI / THÙNG</x:v>
      </x:c>
      <x:c r="R268" s="112" t="n">
        <x:v>590</x:v>
      </x:c>
      <x:c r="S268" s="113" t="n">
        <x:v>591</x:v>
      </x:c>
    </x:row>
    <x:row r="269">
      <x:c r="A269" s="111" t="n">
        <x:v>269</x:v>
      </x:c>
      <x:c r="B269" s="112" t="str">
        <x:v>SIRO MAMA VIỆT QUỐC PHÁP</x:v>
      </x:c>
      <x:c r="C269" s="112" t="str">
        <x:v>SRMMVP</x:v>
      </x:c>
      <x:c r="D269" s="112" t="str">
        <x:v>SRMMVPT</x:v>
      </x:c>
      <x:c r="E269" s="120"/>
      <x:c r="F269" s="120" t="n">
        <x:v>53000</x:v>
      </x:c>
      <x:c r="G269" s="120" t="n">
        <x:v>53000</x:v>
      </x:c>
      <x:c r="H269" s="112" t="str">
        <x:v>BỔ SUNG GIÁ</x:v>
      </x:c>
      <x:c r="I269" s="112" t="n">
        <x:v>0</x:v>
      </x:c>
      <x:c r="J269" s="112" t="str">
        <x:v>g</x:v>
      </x:c>
      <x:c r="K269" s="112" t="str">
        <x:v>CHAI</x:v>
      </x:c>
      <x:c r="L269" s="112" t="n">
        <x:v>13000</x:v>
      </x:c>
      <x:c r="M269" s="112" t="str">
        <x:v>g</x:v>
      </x:c>
      <x:c r="N269" s="112" t="str">
        <x:v>THÙNG</x:v>
      </x:c>
      <x:c r="O269" s="112" t="n">
        <x:v>12</x:v>
      </x:c>
      <x:c r="P269" s="112" t="str">
        <x:v>0 g / CHAI</x:v>
      </x:c>
      <x:c r="Q269" s="112" t="str">
        <x:v>12 CHAI / THÙNG</x:v>
      </x:c>
      <x:c r="R269" s="112" t="n">
        <x:v>592</x:v>
      </x:c>
      <x:c r="S269" s="113" t="n">
        <x:v>593</x:v>
      </x:c>
    </x:row>
    <x:row r="270">
      <x:c r="A270" s="111" t="n">
        <x:v>270</x:v>
      </x:c>
      <x:c r="B270" s="112" t="str">
        <x:v>SIRO MAMA TRÀ XANH</x:v>
      </x:c>
      <x:c r="C270" s="112" t="str">
        <x:v>SRMMTX</x:v>
      </x:c>
      <x:c r="D270" s="112" t="str">
        <x:v>SRMMTXT</x:v>
      </x:c>
      <x:c r="E270" s="120"/>
      <x:c r="F270" s="120" t="n">
        <x:v>53000</x:v>
      </x:c>
      <x:c r="G270" s="120" t="n">
        <x:v>53000</x:v>
      </x:c>
      <x:c r="H270" s="112" t="str">
        <x:v>BỔ SUNG GIÁ</x:v>
      </x:c>
      <x:c r="I270" s="112" t="n">
        <x:v>0</x:v>
      </x:c>
      <x:c r="J270" s="112" t="str">
        <x:v>g</x:v>
      </x:c>
      <x:c r="K270" s="112" t="str">
        <x:v>CHAI</x:v>
      </x:c>
      <x:c r="L270" s="112" t="n">
        <x:v>13000</x:v>
      </x:c>
      <x:c r="M270" s="112" t="str">
        <x:v>g</x:v>
      </x:c>
      <x:c r="N270" s="112" t="str">
        <x:v>THÙNG</x:v>
      </x:c>
      <x:c r="O270" s="112" t="n">
        <x:v>12</x:v>
      </x:c>
      <x:c r="P270" s="112" t="str">
        <x:v>0 g / CHAI</x:v>
      </x:c>
      <x:c r="Q270" s="112" t="str">
        <x:v>12 CHAI / THÙNG</x:v>
      </x:c>
      <x:c r="R270" s="112" t="n">
        <x:v>594</x:v>
      </x:c>
      <x:c r="S270" s="113" t="n">
        <x:v>595</x:v>
      </x:c>
    </x:row>
    <x:row r="271">
      <x:c r="A271" s="111" t="n">
        <x:v>271</x:v>
      </x:c>
      <x:c r="B271" s="112" t="str">
        <x:v>SIRO MAMA TRÀ ĐÀO</x:v>
      </x:c>
      <x:c r="C271" s="112" t="str">
        <x:v>SRMMTD</x:v>
      </x:c>
      <x:c r="D271" s="112" t="str">
        <x:v>SRMMTDT</x:v>
      </x:c>
      <x:c r="E271" s="120"/>
      <x:c r="F271" s="120" t="n">
        <x:v>53000</x:v>
      </x:c>
      <x:c r="G271" s="120" t="n">
        <x:v>53000</x:v>
      </x:c>
      <x:c r="H271" s="112" t="str">
        <x:v>BỔ SUNG GIÁ</x:v>
      </x:c>
      <x:c r="I271" s="112" t="n">
        <x:v>0</x:v>
      </x:c>
      <x:c r="J271" s="112" t="str">
        <x:v>g</x:v>
      </x:c>
      <x:c r="K271" s="112" t="str">
        <x:v>CHAI</x:v>
      </x:c>
      <x:c r="L271" s="112" t="n">
        <x:v>13000</x:v>
      </x:c>
      <x:c r="M271" s="112" t="str">
        <x:v>g</x:v>
      </x:c>
      <x:c r="N271" s="112" t="str">
        <x:v>THÙNG</x:v>
      </x:c>
      <x:c r="O271" s="112" t="n">
        <x:v>12</x:v>
      </x:c>
      <x:c r="P271" s="112" t="str">
        <x:v>0 g / CHAI</x:v>
      </x:c>
      <x:c r="Q271" s="112" t="str">
        <x:v>12 CHAI / THÙNG</x:v>
      </x:c>
      <x:c r="R271" s="112" t="n">
        <x:v>596</x:v>
      </x:c>
      <x:c r="S271" s="113" t="n">
        <x:v>597</x:v>
      </x:c>
    </x:row>
    <x:row r="272">
      <x:c r="A272" s="111" t="n">
        <x:v>272</x:v>
      </x:c>
      <x:c r="B272" s="112" t="str">
        <x:v>SIRO MAMA THƠM</x:v>
      </x:c>
      <x:c r="C272" s="112" t="str">
        <x:v>SRMMTH</x:v>
      </x:c>
      <x:c r="D272" s="112" t="str">
        <x:v>SRMMTHT</x:v>
      </x:c>
      <x:c r="E272" s="120"/>
      <x:c r="F272" s="120" t="n">
        <x:v>53000</x:v>
      </x:c>
      <x:c r="G272" s="120" t="n">
        <x:v>53000</x:v>
      </x:c>
      <x:c r="H272" s="112" t="str">
        <x:v>BỔ SUNG GIÁ</x:v>
      </x:c>
      <x:c r="I272" s="112" t="n">
        <x:v>1000</x:v>
      </x:c>
      <x:c r="J272" s="112" t="str">
        <x:v>g</x:v>
      </x:c>
      <x:c r="K272" s="112" t="str">
        <x:v>CHAI</x:v>
      </x:c>
      <x:c r="L272" s="112" t="n">
        <x:v>13000</x:v>
      </x:c>
      <x:c r="M272" s="112" t="str">
        <x:v>g</x:v>
      </x:c>
      <x:c r="N272" s="112" t="str">
        <x:v>THÙNG</x:v>
      </x:c>
      <x:c r="O272" s="112" t="n">
        <x:v>12</x:v>
      </x:c>
      <x:c r="P272" s="112" t="str">
        <x:v>1000 g / CHAI</x:v>
      </x:c>
      <x:c r="Q272" s="112" t="str">
        <x:v>12 CHAI / THÙNG</x:v>
      </x:c>
      <x:c r="R272" s="112" t="n">
        <x:v>598</x:v>
      </x:c>
      <x:c r="S272" s="113" t="n">
        <x:v>599</x:v>
      </x:c>
    </x:row>
    <x:row r="273">
      <x:c r="A273" s="111" t="n">
        <x:v>273</x:v>
      </x:c>
      <x:c r="B273" s="112" t="str">
        <x:v>SIRO MAMA SOCOLA</x:v>
      </x:c>
      <x:c r="C273" s="112" t="str">
        <x:v>SRMMSO</x:v>
      </x:c>
      <x:c r="D273" s="112" t="str">
        <x:v>SRMMSOT</x:v>
      </x:c>
      <x:c r="E273" s="120"/>
      <x:c r="F273" s="120" t="n">
        <x:v>53000</x:v>
      </x:c>
      <x:c r="G273" s="120" t="n">
        <x:v>53000</x:v>
      </x:c>
      <x:c r="H273" s="112" t="str">
        <x:v>BỔ SUNG GIÁ</x:v>
      </x:c>
      <x:c r="I273" s="112" t="n">
        <x:v>1000</x:v>
      </x:c>
      <x:c r="J273" s="112" t="str">
        <x:v>g</x:v>
      </x:c>
      <x:c r="K273" s="112" t="str">
        <x:v>CHAI</x:v>
      </x:c>
      <x:c r="L273" s="112" t="n">
        <x:v>13000</x:v>
      </x:c>
      <x:c r="M273" s="112" t="str">
        <x:v>g</x:v>
      </x:c>
      <x:c r="N273" s="112" t="str">
        <x:v>THÙNG</x:v>
      </x:c>
      <x:c r="O273" s="112" t="n">
        <x:v>12</x:v>
      </x:c>
      <x:c r="P273" s="112" t="str">
        <x:v>1000 g / CHAI</x:v>
      </x:c>
      <x:c r="Q273" s="112" t="str">
        <x:v>12 CHAI / THÙNG</x:v>
      </x:c>
      <x:c r="R273" s="112" t="n">
        <x:v>600</x:v>
      </x:c>
      <x:c r="S273" s="113" t="n">
        <x:v>601</x:v>
      </x:c>
    </x:row>
    <x:row r="274">
      <x:c r="A274" s="111" t="n">
        <x:v>274</x:v>
      </x:c>
      <x:c r="B274" s="112" t="str">
        <x:v>SIRO MAMA SẢ</x:v>
      </x:c>
      <x:c r="C274" s="112" t="str">
        <x:v>SRMMSA</x:v>
      </x:c>
      <x:c r="D274" s="112" t="str">
        <x:v>SRMMSAT</x:v>
      </x:c>
      <x:c r="E274" s="120"/>
      <x:c r="F274" s="120" t="n">
        <x:v>53000</x:v>
      </x:c>
      <x:c r="G274" s="120" t="n">
        <x:v>53000</x:v>
      </x:c>
      <x:c r="H274" s="112" t="str">
        <x:v>BỔ SUNG GIÁ</x:v>
      </x:c>
      <x:c r="I274" s="112" t="n">
        <x:v>0</x:v>
      </x:c>
      <x:c r="J274" s="112" t="str">
        <x:v>g</x:v>
      </x:c>
      <x:c r="K274" s="112" t="str">
        <x:v>CHAI</x:v>
      </x:c>
      <x:c r="L274" s="112" t="n">
        <x:v>13000</x:v>
      </x:c>
      <x:c r="M274" s="112" t="str">
        <x:v>g</x:v>
      </x:c>
      <x:c r="N274" s="112" t="str">
        <x:v>THÙNG</x:v>
      </x:c>
      <x:c r="O274" s="112" t="n">
        <x:v>12</x:v>
      </x:c>
      <x:c r="P274" s="112" t="str">
        <x:v>0 g / CHAI</x:v>
      </x:c>
      <x:c r="Q274" s="112" t="str">
        <x:v>12 CHAI / THÙNG</x:v>
      </x:c>
      <x:c r="R274" s="112" t="n">
        <x:v>602</x:v>
      </x:c>
      <x:c r="S274" s="113" t="n">
        <x:v>603</x:v>
      </x:c>
    </x:row>
    <x:row r="275">
      <x:c r="A275" s="111" t="n">
        <x:v>275</x:v>
      </x:c>
      <x:c r="B275" s="112" t="str">
        <x:v>SIRO MAMA PHÚC BỒN TỬ</x:v>
      </x:c>
      <x:c r="C275" s="112" t="str">
        <x:v>SRMMPB</x:v>
      </x:c>
      <x:c r="D275" s="112" t="str">
        <x:v>SRMMPBT</x:v>
      </x:c>
      <x:c r="E275" s="120"/>
      <x:c r="F275" s="120" t="n">
        <x:v>53000</x:v>
      </x:c>
      <x:c r="G275" s="120" t="n">
        <x:v>53000</x:v>
      </x:c>
      <x:c r="H275" s="112" t="str">
        <x:v>BỔ SUNG GIÁ</x:v>
      </x:c>
      <x:c r="I275" s="112" t="n">
        <x:v>1000</x:v>
      </x:c>
      <x:c r="J275" s="112" t="str">
        <x:v>g</x:v>
      </x:c>
      <x:c r="K275" s="112" t="str">
        <x:v>CHAI</x:v>
      </x:c>
      <x:c r="L275" s="112" t="n">
        <x:v>13000</x:v>
      </x:c>
      <x:c r="M275" s="112" t="str">
        <x:v>g</x:v>
      </x:c>
      <x:c r="N275" s="112" t="str">
        <x:v>THÙNG</x:v>
      </x:c>
      <x:c r="O275" s="112" t="n">
        <x:v>12</x:v>
      </x:c>
      <x:c r="P275" s="112" t="str">
        <x:v>1000 g / CHAI</x:v>
      </x:c>
      <x:c r="Q275" s="112" t="str">
        <x:v>12 CHAI / THÙNG</x:v>
      </x:c>
      <x:c r="R275" s="112" t="n">
        <x:v>604</x:v>
      </x:c>
      <x:c r="S275" s="113" t="n">
        <x:v>605</x:v>
      </x:c>
    </x:row>
    <x:row r="276">
      <x:c r="A276" s="111" t="n">
        <x:v>276</x:v>
      </x:c>
      <x:c r="B276" s="112" t="str">
        <x:v>SIRO MAMA MÃNG CẦU</x:v>
      </x:c>
      <x:c r="C276" s="112" t="str">
        <x:v>SRMMMC</x:v>
      </x:c>
      <x:c r="D276" s="112" t="str">
        <x:v>SRMMMCT</x:v>
      </x:c>
      <x:c r="E276" s="120"/>
      <x:c r="F276" s="120" t="n">
        <x:v>53000</x:v>
      </x:c>
      <x:c r="G276" s="120" t="n">
        <x:v>53000</x:v>
      </x:c>
      <x:c r="H276" s="112" t="str">
        <x:v>BỔ SUNG GIÁ</x:v>
      </x:c>
      <x:c r="I276" s="112" t="n">
        <x:v>1000</x:v>
      </x:c>
      <x:c r="J276" s="112" t="str">
        <x:v>g</x:v>
      </x:c>
      <x:c r="K276" s="112" t="str">
        <x:v>CHAI</x:v>
      </x:c>
      <x:c r="L276" s="112" t="n">
        <x:v>13000</x:v>
      </x:c>
      <x:c r="M276" s="112" t="str">
        <x:v>g</x:v>
      </x:c>
      <x:c r="N276" s="112" t="str">
        <x:v>THÙNG</x:v>
      </x:c>
      <x:c r="O276" s="112" t="n">
        <x:v>12</x:v>
      </x:c>
      <x:c r="P276" s="112" t="str">
        <x:v>1000 g / CHAI</x:v>
      </x:c>
      <x:c r="Q276" s="112" t="str">
        <x:v>12 CHAI / THÙNG</x:v>
      </x:c>
      <x:c r="R276" s="112" t="n">
        <x:v>606</x:v>
      </x:c>
      <x:c r="S276" s="113" t="n">
        <x:v>607</x:v>
      </x:c>
    </x:row>
    <x:row r="277">
      <x:c r="A277" s="111" t="n">
        <x:v>277</x:v>
      </x:c>
      <x:c r="B277" s="112" t="str">
        <x:v>SIRO MAMA LỰU</x:v>
      </x:c>
      <x:c r="C277" s="112" t="str">
        <x:v>SRMMLU</x:v>
      </x:c>
      <x:c r="D277" s="112" t="str">
        <x:v>SRMMLUT</x:v>
      </x:c>
      <x:c r="E277" s="120"/>
      <x:c r="F277" s="120" t="n">
        <x:v>53000</x:v>
      </x:c>
      <x:c r="G277" s="120" t="n">
        <x:v>53000</x:v>
      </x:c>
      <x:c r="H277" s="112" t="str">
        <x:v>BỔ SUNG GIÁ</x:v>
      </x:c>
      <x:c r="I277" s="112" t="n">
        <x:v>1000</x:v>
      </x:c>
      <x:c r="J277" s="112" t="str">
        <x:v>g</x:v>
      </x:c>
      <x:c r="K277" s="112" t="str">
        <x:v>CHAI</x:v>
      </x:c>
      <x:c r="L277" s="112" t="n">
        <x:v>13000</x:v>
      </x:c>
      <x:c r="M277" s="112" t="str">
        <x:v>g</x:v>
      </x:c>
      <x:c r="N277" s="112" t="str">
        <x:v>THÙNG</x:v>
      </x:c>
      <x:c r="O277" s="112" t="n">
        <x:v>12</x:v>
      </x:c>
      <x:c r="P277" s="112" t="str">
        <x:v>1000 g / CHAI</x:v>
      </x:c>
      <x:c r="Q277" s="112" t="str">
        <x:v>12 CHAI / THÙNG</x:v>
      </x:c>
      <x:c r="R277" s="112" t="n">
        <x:v>608</x:v>
      </x:c>
      <x:c r="S277" s="113" t="n">
        <x:v>609</x:v>
      </x:c>
    </x:row>
    <x:row r="278">
      <x:c r="A278" s="111" t="n">
        <x:v>278</x:v>
      </x:c>
      <x:c r="B278" s="112" t="str">
        <x:v>SIRO MAMA LÁ DỨA</x:v>
      </x:c>
      <x:c r="C278" s="112" t="str">
        <x:v>SRMMLD</x:v>
      </x:c>
      <x:c r="D278" s="112" t="str">
        <x:v>SRMMLDT</x:v>
      </x:c>
      <x:c r="E278" s="120"/>
      <x:c r="F278" s="120" t="n">
        <x:v>53000</x:v>
      </x:c>
      <x:c r="G278" s="120" t="n">
        <x:v>53000</x:v>
      </x:c>
      <x:c r="H278" s="112" t="str">
        <x:v>BỔ SUNG GIÁ</x:v>
      </x:c>
      <x:c r="I278" s="112" t="n">
        <x:v>0</x:v>
      </x:c>
      <x:c r="J278" s="112" t="str">
        <x:v>g</x:v>
      </x:c>
      <x:c r="K278" s="112" t="str">
        <x:v>CHAI</x:v>
      </x:c>
      <x:c r="L278" s="112" t="n">
        <x:v>13000</x:v>
      </x:c>
      <x:c r="M278" s="112" t="str">
        <x:v>g</x:v>
      </x:c>
      <x:c r="N278" s="112" t="str">
        <x:v>THÙNG</x:v>
      </x:c>
      <x:c r="O278" s="112" t="n">
        <x:v>12</x:v>
      </x:c>
      <x:c r="P278" s="112" t="str">
        <x:v>0 g / CHAI</x:v>
      </x:c>
      <x:c r="Q278" s="112" t="str">
        <x:v>12 CHAI / THÙNG</x:v>
      </x:c>
      <x:c r="R278" s="112" t="n">
        <x:v>610</x:v>
      </x:c>
      <x:c r="S278" s="113" t="n">
        <x:v>611</x:v>
      </x:c>
    </x:row>
    <x:row r="279">
      <x:c r="A279" s="111" t="n">
        <x:v>279</x:v>
      </x:c>
      <x:c r="B279" s="112" t="str">
        <x:v>SIRO MAMA KIWI</x:v>
      </x:c>
      <x:c r="C279" s="112" t="str">
        <x:v>SRMMKW</x:v>
      </x:c>
      <x:c r="D279" s="112" t="str">
        <x:v>SRMMKWT</x:v>
      </x:c>
      <x:c r="E279" s="120"/>
      <x:c r="F279" s="120" t="n">
        <x:v>53000</x:v>
      </x:c>
      <x:c r="G279" s="120" t="n">
        <x:v>53000</x:v>
      </x:c>
      <x:c r="H279" s="112" t="str">
        <x:v>BỔ SUNG GIÁ</x:v>
      </x:c>
      <x:c r="I279" s="112" t="n">
        <x:v>1000</x:v>
      </x:c>
      <x:c r="J279" s="112" t="str">
        <x:v>g</x:v>
      </x:c>
      <x:c r="K279" s="112" t="str">
        <x:v>CHAI</x:v>
      </x:c>
      <x:c r="L279" s="112" t="n">
        <x:v>13000</x:v>
      </x:c>
      <x:c r="M279" s="112" t="str">
        <x:v>g</x:v>
      </x:c>
      <x:c r="N279" s="112" t="str">
        <x:v>THÙNG</x:v>
      </x:c>
      <x:c r="O279" s="112" t="n">
        <x:v>12</x:v>
      </x:c>
      <x:c r="P279" s="112" t="str">
        <x:v>1000 g / CHAI</x:v>
      </x:c>
      <x:c r="Q279" s="112" t="str">
        <x:v>12 CHAI / THÙNG</x:v>
      </x:c>
      <x:c r="R279" s="112" t="n">
        <x:v>612</x:v>
      </x:c>
      <x:c r="S279" s="113" t="n">
        <x:v>613</x:v>
      </x:c>
    </x:row>
    <x:row r="280">
      <x:c r="A280" s="111" t="n">
        <x:v>280</x:v>
      </x:c>
      <x:c r="B280" s="112" t="str">
        <x:v>SIRO MAMA HOA HỒNG</x:v>
      </x:c>
      <x:c r="C280" s="112" t="str">
        <x:v>SRMMHH</x:v>
      </x:c>
      <x:c r="D280" s="112" t="str">
        <x:v>SRMMHHT</x:v>
      </x:c>
      <x:c r="E280" s="120"/>
      <x:c r="F280" s="120" t="n">
        <x:v>53000</x:v>
      </x:c>
      <x:c r="G280" s="120" t="n">
        <x:v>53000</x:v>
      </x:c>
      <x:c r="H280" s="112" t="str">
        <x:v>BỔ SUNG GIÁ</x:v>
      </x:c>
      <x:c r="I280" s="112" t="n">
        <x:v>0</x:v>
      </x:c>
      <x:c r="J280" s="112" t="str">
        <x:v>g</x:v>
      </x:c>
      <x:c r="K280" s="112" t="str">
        <x:v>CHAI</x:v>
      </x:c>
      <x:c r="L280" s="112" t="n">
        <x:v>13000</x:v>
      </x:c>
      <x:c r="M280" s="112" t="str">
        <x:v>g</x:v>
      </x:c>
      <x:c r="N280" s="112" t="str">
        <x:v>THÙNG</x:v>
      </x:c>
      <x:c r="O280" s="112" t="n">
        <x:v>12</x:v>
      </x:c>
      <x:c r="P280" s="112" t="str">
        <x:v>0 g / CHAI</x:v>
      </x:c>
      <x:c r="Q280" s="112" t="str">
        <x:v>12 CHAI / THÙNG</x:v>
      </x:c>
      <x:c r="R280" s="112" t="n">
        <x:v>614</x:v>
      </x:c>
      <x:c r="S280" s="113" t="n">
        <x:v>615</x:v>
      </x:c>
    </x:row>
    <x:row r="281">
      <x:c r="A281" s="111" t="n">
        <x:v>281</x:v>
      </x:c>
      <x:c r="B281" s="112" t="str">
        <x:v>SIRO MAMA DƯA HẤU</x:v>
      </x:c>
      <x:c r="C281" s="112" t="str">
        <x:v>SRMMDH</x:v>
      </x:c>
      <x:c r="D281" s="112" t="str">
        <x:v>SRMMDHT</x:v>
      </x:c>
      <x:c r="E281" s="120"/>
      <x:c r="F281" s="120" t="n">
        <x:v>53000</x:v>
      </x:c>
      <x:c r="G281" s="120" t="n">
        <x:v>53000</x:v>
      </x:c>
      <x:c r="H281" s="112" t="str">
        <x:v>BỔ SUNG GIÁ</x:v>
      </x:c>
      <x:c r="I281" s="112" t="n">
        <x:v>0</x:v>
      </x:c>
      <x:c r="J281" s="112" t="str">
        <x:v>g</x:v>
      </x:c>
      <x:c r="K281" s="112" t="str">
        <x:v>CHAI</x:v>
      </x:c>
      <x:c r="L281" s="112" t="n">
        <x:v>0</x:v>
      </x:c>
      <x:c r="M281" s="112" t="str">
        <x:v>g</x:v>
      </x:c>
      <x:c r="N281" s="112" t="str">
        <x:v>THÙNG</x:v>
      </x:c>
      <x:c r="O281" s="112" t="n">
        <x:v>12</x:v>
      </x:c>
      <x:c r="P281" s="112" t="str">
        <x:v>0 g / CHAI</x:v>
      </x:c>
      <x:c r="Q281" s="112" t="str">
        <x:v>12 CHAI / THÙNG</x:v>
      </x:c>
      <x:c r="R281" s="112" t="n">
        <x:v>616</x:v>
      </x:c>
      <x:c r="S281" s="113" t="n">
        <x:v>617</x:v>
      </x:c>
    </x:row>
    <x:row r="282">
      <x:c r="A282" s="111" t="n">
        <x:v>282</x:v>
      </x:c>
      <x:c r="B282" s="112" t="str">
        <x:v>SIRO MAMA CHANH DÂY</x:v>
      </x:c>
      <x:c r="C282" s="112" t="str">
        <x:v>SRMMCD</x:v>
      </x:c>
      <x:c r="D282" s="112" t="str">
        <x:v>SRMMCDT</x:v>
      </x:c>
      <x:c r="E282" s="120"/>
      <x:c r="F282" s="120" t="n">
        <x:v>53000</x:v>
      </x:c>
      <x:c r="G282" s="120" t="n">
        <x:v>53000</x:v>
      </x:c>
      <x:c r="H282" s="112" t="str">
        <x:v>BỔ SUNG GIÁ</x:v>
      </x:c>
      <x:c r="I282" s="112" t="n">
        <x:v>1000</x:v>
      </x:c>
      <x:c r="J282" s="112" t="str">
        <x:v>g</x:v>
      </x:c>
      <x:c r="K282" s="112" t="str">
        <x:v>CHAI</x:v>
      </x:c>
      <x:c r="L282" s="112" t="n">
        <x:v>13000</x:v>
      </x:c>
      <x:c r="M282" s="112" t="str">
        <x:v>g</x:v>
      </x:c>
      <x:c r="N282" s="112" t="str">
        <x:v>THÙNG</x:v>
      </x:c>
      <x:c r="O282" s="112" t="n">
        <x:v>12</x:v>
      </x:c>
      <x:c r="P282" s="112" t="str">
        <x:v>1000 g / CHAI</x:v>
      </x:c>
      <x:c r="Q282" s="112" t="str">
        <x:v>12 CHAI / THÙNG</x:v>
      </x:c>
      <x:c r="R282" s="112" t="n">
        <x:v>618</x:v>
      </x:c>
      <x:c r="S282" s="113" t="n">
        <x:v>619</x:v>
      </x:c>
    </x:row>
    <x:row r="283">
      <x:c r="A283" s="111" t="n">
        <x:v>283</x:v>
      </x:c>
      <x:c r="B283" s="112" t="str">
        <x:v>SIRO MAMA CHANH</x:v>
      </x:c>
      <x:c r="C283" s="112" t="str">
        <x:v>SRMMCH</x:v>
      </x:c>
      <x:c r="D283" s="112" t="str">
        <x:v>SRMMCHT</x:v>
      </x:c>
      <x:c r="E283" s="120"/>
      <x:c r="F283" s="120" t="n">
        <x:v>53000</x:v>
      </x:c>
      <x:c r="G283" s="120" t="n">
        <x:v>53000</x:v>
      </x:c>
      <x:c r="H283" s="112" t="str">
        <x:v>BỔ SUNG GIÁ</x:v>
      </x:c>
      <x:c r="I283" s="112" t="n">
        <x:v>0</x:v>
      </x:c>
      <x:c r="J283" s="112" t="str">
        <x:v>g</x:v>
      </x:c>
      <x:c r="K283" s="112" t="str">
        <x:v>CHAI</x:v>
      </x:c>
      <x:c r="L283" s="112" t="n">
        <x:v>13000</x:v>
      </x:c>
      <x:c r="M283" s="112" t="str">
        <x:v>g</x:v>
      </x:c>
      <x:c r="N283" s="112" t="str">
        <x:v>THÙNG</x:v>
      </x:c>
      <x:c r="O283" s="112" t="n">
        <x:v>12</x:v>
      </x:c>
      <x:c r="P283" s="112" t="str">
        <x:v>0 g / CHAI</x:v>
      </x:c>
      <x:c r="Q283" s="112" t="str">
        <x:v>12 CHAI / THÙNG</x:v>
      </x:c>
      <x:c r="R283" s="112" t="n">
        <x:v>620</x:v>
      </x:c>
      <x:c r="S283" s="113" t="n">
        <x:v>621</x:v>
      </x:c>
    </x:row>
    <x:row r="284">
      <x:c r="A284" s="111" t="n">
        <x:v>284</x:v>
      </x:c>
      <x:c r="B284" s="112" t="str">
        <x:v>SIRO MAMA CARAMEN</x:v>
      </x:c>
      <x:c r="C284" s="112" t="str">
        <x:v>SRMMCR</x:v>
      </x:c>
      <x:c r="D284" s="112" t="str">
        <x:v>SRMMCRT</x:v>
      </x:c>
      <x:c r="E284" s="120"/>
      <x:c r="F284" s="120" t="n">
        <x:v>53000</x:v>
      </x:c>
      <x:c r="G284" s="120" t="n">
        <x:v>53000</x:v>
      </x:c>
      <x:c r="H284" s="112" t="str">
        <x:v>BỔ SUNG GIÁ</x:v>
      </x:c>
      <x:c r="I284" s="112" t="n">
        <x:v>1000</x:v>
      </x:c>
      <x:c r="J284" s="112" t="str">
        <x:v>g</x:v>
      </x:c>
      <x:c r="K284" s="112" t="str">
        <x:v>CHAI</x:v>
      </x:c>
      <x:c r="L284" s="112" t="n">
        <x:v>13000</x:v>
      </x:c>
      <x:c r="M284" s="112" t="str">
        <x:v>g</x:v>
      </x:c>
      <x:c r="N284" s="112" t="str">
        <x:v>THÙNG</x:v>
      </x:c>
      <x:c r="O284" s="112" t="n">
        <x:v>12</x:v>
      </x:c>
      <x:c r="P284" s="112" t="str">
        <x:v>1000 g / CHAI</x:v>
      </x:c>
      <x:c r="Q284" s="112" t="str">
        <x:v>12 CHAI / THÙNG</x:v>
      </x:c>
      <x:c r="R284" s="112" t="n">
        <x:v>622</x:v>
      </x:c>
      <x:c r="S284" s="113" t="n">
        <x:v>623</x:v>
      </x:c>
    </x:row>
    <x:row r="285">
      <x:c r="A285" s="111" t="n">
        <x:v>285</x:v>
      </x:c>
      <x:c r="B285" s="112" t="str">
        <x:v>SIRO MAMA CAM</x:v>
      </x:c>
      <x:c r="C285" s="112" t="str">
        <x:v>SRMMCA</x:v>
      </x:c>
      <x:c r="D285" s="112" t="str">
        <x:v>SRMMCAT</x:v>
      </x:c>
      <x:c r="E285" s="120"/>
      <x:c r="F285" s="120" t="n">
        <x:v>53000</x:v>
      </x:c>
      <x:c r="G285" s="120" t="n">
        <x:v>53000</x:v>
      </x:c>
      <x:c r="H285" s="112" t="str">
        <x:v>BỔ SUNG GIÁ</x:v>
      </x:c>
      <x:c r="I285" s="112" t="n">
        <x:v>0</x:v>
      </x:c>
      <x:c r="J285" s="112" t="str">
        <x:v>g</x:v>
      </x:c>
      <x:c r="K285" s="112" t="str">
        <x:v>CHAI</x:v>
      </x:c>
      <x:c r="L285" s="112" t="n">
        <x:v>13000</x:v>
      </x:c>
      <x:c r="M285" s="112" t="str">
        <x:v>g</x:v>
      </x:c>
      <x:c r="N285" s="112" t="str">
        <x:v>THÙNG</x:v>
      </x:c>
      <x:c r="O285" s="112" t="n">
        <x:v>12</x:v>
      </x:c>
      <x:c r="P285" s="112" t="str">
        <x:v>0 g / CHAI</x:v>
      </x:c>
      <x:c r="Q285" s="112" t="str">
        <x:v>12 CHAI / THÙNG</x:v>
      </x:c>
      <x:c r="R285" s="112" t="n">
        <x:v>624</x:v>
      </x:c>
      <x:c r="S285" s="113" t="n">
        <x:v>625</x:v>
      </x:c>
    </x:row>
    <x:row r="286">
      <x:c r="A286" s="111" t="n">
        <x:v>286</x:v>
      </x:c>
      <x:c r="B286" s="112" t="str">
        <x:v>SIRO VUÔNG KIWI</x:v>
      </x:c>
      <x:c r="C286" s="112" t="str">
        <x:v>SRKWIV</x:v>
      </x:c>
      <x:c r="D286" s="112" t="str">
        <x:v>SRKWIVT</x:v>
      </x:c>
      <x:c r="E286" s="120"/>
      <x:c r="F286" s="120" t="n">
        <x:v>85000</x:v>
      </x:c>
      <x:c r="G286" s="120" t="n">
        <x:v>85000</x:v>
      </x:c>
      <x:c r="H286" s="112" t="str">
        <x:v>BỔ SUNG GIÁ</x:v>
      </x:c>
      <x:c r="I286" s="112" t="n">
        <x:v>2650</x:v>
      </x:c>
      <x:c r="J286" s="112" t="str">
        <x:v>g</x:v>
      </x:c>
      <x:c r="K286" s="112" t="str">
        <x:v>BÌNH</x:v>
      </x:c>
      <x:c r="L286" s="112" t="n">
        <x:v>16000</x:v>
      </x:c>
      <x:c r="M286" s="112" t="str">
        <x:v>g</x:v>
      </x:c>
      <x:c r="N286" s="112" t="str">
        <x:v>THÙNG</x:v>
      </x:c>
      <x:c r="O286" s="112" t="n">
        <x:v>6</x:v>
      </x:c>
      <x:c r="P286" s="112" t="str">
        <x:v>2650 g / BÌNH</x:v>
      </x:c>
      <x:c r="Q286" s="112" t="str">
        <x:v>6 BÌNH / THÙNG</x:v>
      </x:c>
      <x:c r="R286" s="112" t="n">
        <x:v>626</x:v>
      </x:c>
      <x:c r="S286" s="113" t="n">
        <x:v>627</x:v>
      </x:c>
    </x:row>
    <x:row r="287">
      <x:c r="A287" s="111" t="n">
        <x:v>287</x:v>
      </x:c>
      <x:c r="B287" s="112" t="str">
        <x:v>SIRO A+ KIWI</x:v>
      </x:c>
      <x:c r="C287" s="112" t="str">
        <x:v>SRAKWI</x:v>
      </x:c>
      <x:c r="D287" s="112" t="str">
        <x:v>SRAKWIT</x:v>
      </x:c>
      <x:c r="E287" s="120"/>
      <x:c r="F287" s="120" t="n">
        <x:v>27000</x:v>
      </x:c>
      <x:c r="G287" s="120" t="n">
        <x:v>27000</x:v>
      </x:c>
      <x:c r="H287" s="112" t="str">
        <x:v>BỔ SUNG GIÁ</x:v>
      </x:c>
      <x:c r="I287" s="112" t="n">
        <x:v>0</x:v>
      </x:c>
      <x:c r="J287" s="112" t="str">
        <x:v>g</x:v>
      </x:c>
      <x:c r="K287" s="112" t="str">
        <x:v>CHAI</x:v>
      </x:c>
      <x:c r="L287" s="112" t="n">
        <x:v>16000</x:v>
      </x:c>
      <x:c r="M287" s="112" t="str">
        <x:v>g</x:v>
      </x:c>
      <x:c r="N287" s="112" t="str">
        <x:v>THÙNG</x:v>
      </x:c>
      <x:c r="O287" s="112" t="n">
        <x:v>24</x:v>
      </x:c>
      <x:c r="P287" s="112" t="str">
        <x:v>0 g / CHAI</x:v>
      </x:c>
      <x:c r="Q287" s="112" t="str">
        <x:v>24 CHAI / THÙNG</x:v>
      </x:c>
      <x:c r="R287" s="112" t="n">
        <x:v>628</x:v>
      </x:c>
      <x:c r="S287" s="113" t="n">
        <x:v>629</x:v>
      </x:c>
    </x:row>
    <x:row r="288">
      <x:c r="A288" s="111" t="n">
        <x:v>288</x:v>
      </x:c>
      <x:c r="B288" s="112" t="str">
        <x:v>SIRO GOLD 2L VỎ CAM</x:v>
      </x:c>
      <x:c r="C288" s="112" t="str">
        <x:v>SRG2VC</x:v>
      </x:c>
      <x:c r="D288" s="112" t="str">
        <x:v>SRG2VCT</x:v>
      </x:c>
      <x:c r="E288" s="120" t="n">
        <x:v>140000</x:v>
      </x:c>
      <x:c r="F288" s="120" t="n">
        <x:v>0</x:v>
      </x:c>
      <x:c r="G288" s="120" t="n">
        <x:v>140000</x:v>
      </x:c>
      <x:c r="H288" s="112" t="str">
        <x:v>DS SP GIÁ 0 - GIỮ GIÁ CŨ</x:v>
      </x:c>
      <x:c r="I288" s="112" t="n">
        <x:v>2</x:v>
      </x:c>
      <x:c r="J288" s="112" t="str">
        <x:v>kg</x:v>
      </x:c>
      <x:c r="K288" s="112" t="str">
        <x:v>CAN</x:v>
      </x:c>
      <x:c r="L288" s="112" t="n">
        <x:v>16000</x:v>
      </x:c>
      <x:c r="M288" s="112" t="str">
        <x:v>g</x:v>
      </x:c>
      <x:c r="N288" s="112" t="str">
        <x:v>THÙNG</x:v>
      </x:c>
      <x:c r="O288" s="112" t="n">
        <x:v>6</x:v>
      </x:c>
      <x:c r="P288" s="112" t="str">
        <x:v>2 kg / CAN</x:v>
      </x:c>
      <x:c r="Q288" s="112" t="str">
        <x:v>6 CAN / THÙNG</x:v>
      </x:c>
      <x:c r="R288" s="112" t="n">
        <x:v>630</x:v>
      </x:c>
      <x:c r="S288" s="113" t="n">
        <x:v>631</x:v>
      </x:c>
    </x:row>
    <x:row r="289">
      <x:c r="A289" s="111" t="n">
        <x:v>289</x:v>
      </x:c>
      <x:c r="B289" s="112" t="str">
        <x:v>SIRO GOLD 2L VIỆT QUỐC</x:v>
      </x:c>
      <x:c r="C289" s="112" t="str">
        <x:v>SRG2VQ</x:v>
      </x:c>
      <x:c r="D289" s="112" t="str">
        <x:v>SRG2VQT</x:v>
      </x:c>
      <x:c r="E289" s="120" t="n">
        <x:v>140000</x:v>
      </x:c>
      <x:c r="F289" s="120" t="n">
        <x:v>140000</x:v>
      </x:c>
      <x:c r="G289" s="120" t="n">
        <x:v>140000</x:v>
      </x:c>
      <x:c r="H289" s="112" t="str">
        <x:v>GIỮ NGUYÊN - ĐÃ KHỚP</x:v>
      </x:c>
      <x:c r="I289" s="112" t="n">
        <x:v>2</x:v>
      </x:c>
      <x:c r="J289" s="112" t="str">
        <x:v>kg</x:v>
      </x:c>
      <x:c r="K289" s="112" t="str">
        <x:v>CAN</x:v>
      </x:c>
      <x:c r="L289" s="112" t="n">
        <x:v>16000</x:v>
      </x:c>
      <x:c r="M289" s="112" t="str">
        <x:v>g</x:v>
      </x:c>
      <x:c r="N289" s="112" t="str">
        <x:v>THÙNG</x:v>
      </x:c>
      <x:c r="O289" s="112" t="n">
        <x:v>6</x:v>
      </x:c>
      <x:c r="P289" s="112" t="str">
        <x:v>2 kg / CAN</x:v>
      </x:c>
      <x:c r="Q289" s="112" t="str">
        <x:v>6 CAN / THÙNG</x:v>
      </x:c>
      <x:c r="R289" s="112" t="n">
        <x:v>632</x:v>
      </x:c>
      <x:c r="S289" s="113" t="n">
        <x:v>633</x:v>
      </x:c>
    </x:row>
    <x:row r="290">
      <x:c r="A290" s="111" t="n">
        <x:v>290</x:v>
      </x:c>
      <x:c r="B290" s="112" t="str">
        <x:v>SIRO GOLD 2L VẢI</x:v>
      </x:c>
      <x:c r="C290" s="112" t="str">
        <x:v>SRG2VA</x:v>
      </x:c>
      <x:c r="D290" s="112" t="str">
        <x:v>SRG2VAT</x:v>
      </x:c>
      <x:c r="E290" s="120" t="n">
        <x:v>140000</x:v>
      </x:c>
      <x:c r="F290" s="120" t="n">
        <x:v>140000</x:v>
      </x:c>
      <x:c r="G290" s="120" t="n">
        <x:v>140000</x:v>
      </x:c>
      <x:c r="H290" s="112" t="str">
        <x:v>GIỮ NGUYÊN - ĐÃ KHỚP</x:v>
      </x:c>
      <x:c r="I290" s="112" t="n">
        <x:v>2</x:v>
      </x:c>
      <x:c r="J290" s="112" t="str">
        <x:v>kg</x:v>
      </x:c>
      <x:c r="K290" s="112" t="str">
        <x:v>CAN</x:v>
      </x:c>
      <x:c r="L290" s="112" t="n">
        <x:v>16000</x:v>
      </x:c>
      <x:c r="M290" s="112" t="str">
        <x:v>g</x:v>
      </x:c>
      <x:c r="N290" s="112" t="str">
        <x:v>THÙNG</x:v>
      </x:c>
      <x:c r="O290" s="112" t="n">
        <x:v>6</x:v>
      </x:c>
      <x:c r="P290" s="112" t="str">
        <x:v>2 kg / CAN</x:v>
      </x:c>
      <x:c r="Q290" s="112" t="str">
        <x:v>6 CAN / THÙNG</x:v>
      </x:c>
      <x:c r="R290" s="112" t="n">
        <x:v>634</x:v>
      </x:c>
      <x:c r="S290" s="113" t="n">
        <x:v>635</x:v>
      </x:c>
    </x:row>
    <x:row r="291">
      <x:c r="A291" s="111" t="n">
        <x:v>291</x:v>
      </x:c>
      <x:c r="B291" s="112" t="str">
        <x:v>SIRO GOLD 2L ĐÀO</x:v>
      </x:c>
      <x:c r="C291" s="112" t="str">
        <x:v>SRG2DO</x:v>
      </x:c>
      <x:c r="D291" s="112" t="str">
        <x:v>SRG2DOT</x:v>
      </x:c>
      <x:c r="E291" s="120" t="n">
        <x:v>140000</x:v>
      </x:c>
      <x:c r="F291" s="120" t="n">
        <x:v>140000</x:v>
      </x:c>
      <x:c r="G291" s="120" t="n">
        <x:v>140000</x:v>
      </x:c>
      <x:c r="H291" s="112" t="str">
        <x:v>GIỮ NGUYÊN - ĐÃ KHỚP</x:v>
      </x:c>
      <x:c r="I291" s="112" t="n">
        <x:v>2</x:v>
      </x:c>
      <x:c r="J291" s="112" t="str">
        <x:v>kg</x:v>
      </x:c>
      <x:c r="K291" s="112" t="str">
        <x:v>CAN</x:v>
      </x:c>
      <x:c r="L291" s="112" t="n">
        <x:v>16000</x:v>
      </x:c>
      <x:c r="M291" s="112" t="str">
        <x:v>g</x:v>
      </x:c>
      <x:c r="N291" s="112" t="str">
        <x:v>THÙNG</x:v>
      </x:c>
      <x:c r="O291" s="112" t="n">
        <x:v>6</x:v>
      </x:c>
      <x:c r="P291" s="112" t="str">
        <x:v>2 kg / CAN</x:v>
      </x:c>
      <x:c r="Q291" s="112" t="str">
        <x:v>6 CAN / THÙNG</x:v>
      </x:c>
      <x:c r="R291" s="112" t="n">
        <x:v>636</x:v>
      </x:c>
      <x:c r="S291" s="113" t="n">
        <x:v>637</x:v>
      </x:c>
    </x:row>
    <x:row r="292">
      <x:c r="A292" s="111" t="n">
        <x:v>292</x:v>
      </x:c>
      <x:c r="B292" s="112" t="str">
        <x:v>SIRO GOLD 2L DƯA LƯỚI</x:v>
      </x:c>
      <x:c r="C292" s="112" t="str">
        <x:v>SRG2DL</x:v>
      </x:c>
      <x:c r="D292" s="112" t="str">
        <x:v>SRG2DLT</x:v>
      </x:c>
      <x:c r="E292" s="120" t="n">
        <x:v>140000</x:v>
      </x:c>
      <x:c r="F292" s="120" t="n">
        <x:v>140000</x:v>
      </x:c>
      <x:c r="G292" s="120" t="n">
        <x:v>140000</x:v>
      </x:c>
      <x:c r="H292" s="112" t="str">
        <x:v>GIỮ NGUYÊN - ĐÃ KHỚP</x:v>
      </x:c>
      <x:c r="I292" s="112" t="n">
        <x:v>2</x:v>
      </x:c>
      <x:c r="J292" s="112" t="str">
        <x:v>kg</x:v>
      </x:c>
      <x:c r="K292" s="112" t="str">
        <x:v>CAN</x:v>
      </x:c>
      <x:c r="L292" s="112" t="n">
        <x:v>16000</x:v>
      </x:c>
      <x:c r="M292" s="112" t="str">
        <x:v>g</x:v>
      </x:c>
      <x:c r="N292" s="112" t="str">
        <x:v>THÙNG</x:v>
      </x:c>
      <x:c r="O292" s="112" t="n">
        <x:v>6</x:v>
      </x:c>
      <x:c r="P292" s="112" t="str">
        <x:v>2 kg / CAN</x:v>
      </x:c>
      <x:c r="Q292" s="112" t="str">
        <x:v>6 CAN / THÙNG</x:v>
      </x:c>
      <x:c r="R292" s="112" t="n">
        <x:v>638</x:v>
      </x:c>
      <x:c r="S292" s="113" t="n">
        <x:v>639</x:v>
      </x:c>
    </x:row>
    <x:row r="293">
      <x:c r="A293" s="111" t="n">
        <x:v>293</x:v>
      </x:c>
      <x:c r="B293" s="112" t="str">
        <x:v>SIRO GOLD 2L DÂU</x:v>
      </x:c>
      <x:c r="C293" s="112" t="str">
        <x:v>SRG2DA</x:v>
      </x:c>
      <x:c r="D293" s="112" t="str">
        <x:v>SRG2DAT</x:v>
      </x:c>
      <x:c r="E293" s="120" t="n">
        <x:v>140000</x:v>
      </x:c>
      <x:c r="F293" s="120" t="n">
        <x:v>140000</x:v>
      </x:c>
      <x:c r="G293" s="120" t="n">
        <x:v>140000</x:v>
      </x:c>
      <x:c r="H293" s="112" t="str">
        <x:v>GIỮ NGUYÊN - ĐÃ KHỚP</x:v>
      </x:c>
      <x:c r="I293" s="112" t="n">
        <x:v>2</x:v>
      </x:c>
      <x:c r="J293" s="112" t="str">
        <x:v>kg</x:v>
      </x:c>
      <x:c r="K293" s="112" t="str">
        <x:v>CAN</x:v>
      </x:c>
      <x:c r="L293" s="112" t="n">
        <x:v>16000</x:v>
      </x:c>
      <x:c r="M293" s="112" t="str">
        <x:v>g</x:v>
      </x:c>
      <x:c r="N293" s="112" t="str">
        <x:v>THÙNG</x:v>
      </x:c>
      <x:c r="O293" s="112" t="n">
        <x:v>6</x:v>
      </x:c>
      <x:c r="P293" s="112" t="str">
        <x:v>2 kg / CAN</x:v>
      </x:c>
      <x:c r="Q293" s="112" t="str">
        <x:v>6 CAN / THÙNG</x:v>
      </x:c>
      <x:c r="R293" s="112" t="n">
        <x:v>640</x:v>
      </x:c>
      <x:c r="S293" s="113" t="n">
        <x:v>641</x:v>
      </x:c>
    </x:row>
    <x:row r="294">
      <x:c r="A294" s="111" t="n">
        <x:v>294</x:v>
      </x:c>
      <x:c r="B294" s="112" t="str">
        <x:v>SIRO GOLD 2L CHANH</x:v>
      </x:c>
      <x:c r="C294" s="112" t="str">
        <x:v>SRG2CH</x:v>
      </x:c>
      <x:c r="D294" s="112" t="str">
        <x:v>SRG2CHT</x:v>
      </x:c>
      <x:c r="E294" s="120" t="n">
        <x:v>140000</x:v>
      </x:c>
      <x:c r="F294" s="120" t="n">
        <x:v>140000</x:v>
      </x:c>
      <x:c r="G294" s="120" t="n">
        <x:v>140000</x:v>
      </x:c>
      <x:c r="H294" s="112" t="str">
        <x:v>GIỮ NGUYÊN - ĐÃ KHỚP</x:v>
      </x:c>
      <x:c r="I294" s="112" t="n">
        <x:v>2</x:v>
      </x:c>
      <x:c r="J294" s="112" t="str">
        <x:v>kg</x:v>
      </x:c>
      <x:c r="K294" s="112" t="str">
        <x:v>CAN</x:v>
      </x:c>
      <x:c r="L294" s="112" t="n">
        <x:v>16000</x:v>
      </x:c>
      <x:c r="M294" s="112" t="str">
        <x:v>g</x:v>
      </x:c>
      <x:c r="N294" s="112" t="str">
        <x:v>THÙNG</x:v>
      </x:c>
      <x:c r="O294" s="112" t="n">
        <x:v>6</x:v>
      </x:c>
      <x:c r="P294" s="112" t="str">
        <x:v>2 kg / CAN</x:v>
      </x:c>
      <x:c r="Q294" s="112" t="str">
        <x:v>6 CAN / THÙNG</x:v>
      </x:c>
      <x:c r="R294" s="112" t="n">
        <x:v>642</x:v>
      </x:c>
      <x:c r="S294" s="113" t="n">
        <x:v>643</x:v>
      </x:c>
    </x:row>
    <x:row r="295">
      <x:c r="A295" s="111" t="n">
        <x:v>295</x:v>
      </x:c>
      <x:c r="B295" s="112" t="str">
        <x:v>SIRO VUÔNG ĐƯỜNG ĐEN</x:v>
      </x:c>
      <x:c r="C295" s="112" t="str">
        <x:v>SRDDEV</x:v>
      </x:c>
      <x:c r="D295" s="112" t="str">
        <x:v>SRDDEVT</x:v>
      </x:c>
      <x:c r="E295" s="120"/>
      <x:c r="F295" s="120" t="n">
        <x:v>125000</x:v>
      </x:c>
      <x:c r="G295" s="120" t="n">
        <x:v>125000</x:v>
      </x:c>
      <x:c r="H295" s="112" t="str">
        <x:v>BỔ SUNG GIÁ</x:v>
      </x:c>
      <x:c r="I295" s="112" t="n">
        <x:v>2650</x:v>
      </x:c>
      <x:c r="J295" s="112" t="str">
        <x:v>g</x:v>
      </x:c>
      <x:c r="K295" s="112" t="str">
        <x:v>BÌNH</x:v>
      </x:c>
      <x:c r="L295" s="112" t="n">
        <x:v>16000</x:v>
      </x:c>
      <x:c r="M295" s="112" t="str">
        <x:v>g</x:v>
      </x:c>
      <x:c r="N295" s="112" t="str">
        <x:v>THÙNG</x:v>
      </x:c>
      <x:c r="O295" s="112" t="n">
        <x:v>6</x:v>
      </x:c>
      <x:c r="P295" s="112" t="str">
        <x:v>2650 g / BÌNH</x:v>
      </x:c>
      <x:c r="Q295" s="112" t="str">
        <x:v>6 BÌNH / THÙNG</x:v>
      </x:c>
      <x:c r="R295" s="112" t="n">
        <x:v>644</x:v>
      </x:c>
      <x:c r="S295" s="113" t="n">
        <x:v>645</x:v>
      </x:c>
    </x:row>
    <x:row r="296">
      <x:c r="A296" s="111" t="n">
        <x:v>296</x:v>
      </x:c>
      <x:c r="B296" s="112" t="str">
        <x:v>SIRO TRÒN ĐƯỜNG ĐEN</x:v>
      </x:c>
      <x:c r="C296" s="112" t="str">
        <x:v>SRDDET</x:v>
      </x:c>
      <x:c r="D296" s="112" t="str">
        <x:v>SRDDETT</x:v>
      </x:c>
      <x:c r="E296" s="120"/>
      <x:c r="F296" s="120" t="n">
        <x:v>125000</x:v>
      </x:c>
      <x:c r="G296" s="120" t="n">
        <x:v>125000</x:v>
      </x:c>
      <x:c r="H296" s="112" t="str">
        <x:v>BỔ SUNG GIÁ</x:v>
      </x:c>
      <x:c r="I296" s="112" t="n">
        <x:v>2650</x:v>
      </x:c>
      <x:c r="J296" s="112" t="str">
        <x:v>g</x:v>
      </x:c>
      <x:c r="K296" s="112" t="str">
        <x:v>BÌNH</x:v>
      </x:c>
      <x:c r="L296" s="112" t="n">
        <x:v>0</x:v>
      </x:c>
      <x:c r="M296" s="112" t="str">
        <x:v>g</x:v>
      </x:c>
      <x:c r="N296" s="112" t="str">
        <x:v>THÙNG</x:v>
      </x:c>
      <x:c r="O296" s="112" t="n">
        <x:v>6</x:v>
      </x:c>
      <x:c r="P296" s="112" t="str">
        <x:v>2650 g / BÌNH</x:v>
      </x:c>
      <x:c r="Q296" s="112" t="str">
        <x:v>6 BÌNH / THÙNG</x:v>
      </x:c>
      <x:c r="R296" s="112" t="n">
        <x:v>646</x:v>
      </x:c>
      <x:c r="S296" s="113" t="n">
        <x:v>647</x:v>
      </x:c>
    </x:row>
    <x:row r="297">
      <x:c r="A297" s="111" t="n">
        <x:v>297</x:v>
      </x:c>
      <x:c r="B297" s="112" t="str">
        <x:v>SIRO A+ ĐƯỜNG ĐEN</x:v>
      </x:c>
      <x:c r="C297" s="112" t="str">
        <x:v>SRADDE</x:v>
      </x:c>
      <x:c r="D297" s="112" t="str">
        <x:v>SRADDET</x:v>
      </x:c>
      <x:c r="E297" s="120"/>
      <x:c r="F297" s="120" t="n">
        <x:v>27000</x:v>
      </x:c>
      <x:c r="G297" s="120" t="n">
        <x:v>27000</x:v>
      </x:c>
      <x:c r="H297" s="112" t="str">
        <x:v>BỔ SUNG GIÁ</x:v>
      </x:c>
      <x:c r="I297" s="112" t="n">
        <x:v>650</x:v>
      </x:c>
      <x:c r="J297" s="112" t="str">
        <x:v>g</x:v>
      </x:c>
      <x:c r="K297" s="112" t="str">
        <x:v>CHAI</x:v>
      </x:c>
      <x:c r="L297" s="112" t="n">
        <x:v>16000</x:v>
      </x:c>
      <x:c r="M297" s="112" t="str">
        <x:v>g</x:v>
      </x:c>
      <x:c r="N297" s="112" t="str">
        <x:v>THÙNG</x:v>
      </x:c>
      <x:c r="O297" s="112" t="n">
        <x:v>24</x:v>
      </x:c>
      <x:c r="P297" s="112" t="str">
        <x:v>650 g / CHAI</x:v>
      </x:c>
      <x:c r="Q297" s="112" t="str">
        <x:v>24 CHAI / THÙNG</x:v>
      </x:c>
      <x:c r="R297" s="112" t="n">
        <x:v>648</x:v>
      </x:c>
      <x:c r="S297" s="113" t="n">
        <x:v>649</x:v>
      </x:c>
    </x:row>
    <x:row r="298">
      <x:c r="A298" s="111" t="n">
        <x:v>298</x:v>
      </x:c>
      <x:c r="B298" s="112" t="str">
        <x:v>SIRO VUÔNG ĐÀO</x:v>
      </x:c>
      <x:c r="C298" s="112" t="str">
        <x:v>SRDAOV</x:v>
      </x:c>
      <x:c r="D298" s="112" t="str">
        <x:v>SRDAOVT</x:v>
      </x:c>
      <x:c r="E298" s="120"/>
      <x:c r="F298" s="120" t="n">
        <x:v>85000</x:v>
      </x:c>
      <x:c r="G298" s="120" t="n">
        <x:v>85000</x:v>
      </x:c>
      <x:c r="H298" s="112" t="str">
        <x:v>BỔ SUNG GIÁ</x:v>
      </x:c>
      <x:c r="I298" s="112" t="n">
        <x:v>265</x:v>
      </x:c>
      <x:c r="J298" s="112" t="str">
        <x:v>g</x:v>
      </x:c>
      <x:c r="K298" s="112" t="str">
        <x:v>BÌNH</x:v>
      </x:c>
      <x:c r="L298" s="112" t="n">
        <x:v>16000</x:v>
      </x:c>
      <x:c r="M298" s="112" t="str">
        <x:v>g</x:v>
      </x:c>
      <x:c r="N298" s="112" t="str">
        <x:v>THÙNG</x:v>
      </x:c>
      <x:c r="O298" s="112" t="n">
        <x:v>6</x:v>
      </x:c>
      <x:c r="P298" s="112" t="str">
        <x:v>265 g / BÌNH</x:v>
      </x:c>
      <x:c r="Q298" s="112" t="str">
        <x:v>6 BÌNH / THÙNG</x:v>
      </x:c>
      <x:c r="R298" s="112" t="n">
        <x:v>650</x:v>
      </x:c>
      <x:c r="S298" s="113" t="n">
        <x:v>651</x:v>
      </x:c>
    </x:row>
    <x:row r="299">
      <x:c r="A299" s="111" t="n">
        <x:v>299</x:v>
      </x:c>
      <x:c r="B299" s="112" t="str">
        <x:v>SIRO TRÒN ĐÀO</x:v>
      </x:c>
      <x:c r="C299" s="112" t="str">
        <x:v>SRDAOT</x:v>
      </x:c>
      <x:c r="D299" s="112" t="str">
        <x:v>SRDAOTT</x:v>
      </x:c>
      <x:c r="E299" s="120"/>
      <x:c r="F299" s="120" t="n">
        <x:v>125000</x:v>
      </x:c>
      <x:c r="G299" s="120" t="n">
        <x:v>125000</x:v>
      </x:c>
      <x:c r="H299" s="112" t="str">
        <x:v>BỔ SUNG GIÁ</x:v>
      </x:c>
      <x:c r="I299" s="112" t="n">
        <x:v>2650</x:v>
      </x:c>
      <x:c r="J299" s="112" t="str">
        <x:v>g</x:v>
      </x:c>
      <x:c r="K299" s="112" t="str">
        <x:v>BÌNH</x:v>
      </x:c>
      <x:c r="L299" s="112" t="n">
        <x:v>16000</x:v>
      </x:c>
      <x:c r="M299" s="112" t="str">
        <x:v>g</x:v>
      </x:c>
      <x:c r="N299" s="112" t="str">
        <x:v>THÙNG</x:v>
      </x:c>
      <x:c r="O299" s="112" t="n">
        <x:v>6</x:v>
      </x:c>
      <x:c r="P299" s="112" t="str">
        <x:v>2650 g / BÌNH</x:v>
      </x:c>
      <x:c r="Q299" s="112" t="str">
        <x:v>6 BÌNH / THÙNG</x:v>
      </x:c>
      <x:c r="R299" s="112" t="n">
        <x:v>652</x:v>
      </x:c>
      <x:c r="S299" s="113" t="n">
        <x:v>653</x:v>
      </x:c>
    </x:row>
    <x:row r="300">
      <x:c r="A300" s="111" t="n">
        <x:v>300</x:v>
      </x:c>
      <x:c r="B300" s="112" t="str">
        <x:v>SIRO A+ ĐÀO</x:v>
      </x:c>
      <x:c r="C300" s="112" t="str">
        <x:v>SRADAO</x:v>
      </x:c>
      <x:c r="D300" s="112" t="str">
        <x:v>SRADAOT</x:v>
      </x:c>
      <x:c r="E300" s="120"/>
      <x:c r="F300" s="120" t="n">
        <x:v>27000</x:v>
      </x:c>
      <x:c r="G300" s="120" t="n">
        <x:v>27000</x:v>
      </x:c>
      <x:c r="H300" s="112" t="str">
        <x:v>BỔ SUNG GIÁ</x:v>
      </x:c>
      <x:c r="I300" s="112" t="n">
        <x:v>0</x:v>
      </x:c>
      <x:c r="J300" s="112" t="str">
        <x:v>g</x:v>
      </x:c>
      <x:c r="K300" s="112" t="str">
        <x:v>CHAI</x:v>
      </x:c>
      <x:c r="L300" s="112" t="n">
        <x:v>16000</x:v>
      </x:c>
      <x:c r="M300" s="112" t="str">
        <x:v>g</x:v>
      </x:c>
      <x:c r="N300" s="112" t="str">
        <x:v>THÙNG</x:v>
      </x:c>
      <x:c r="O300" s="112" t="n">
        <x:v>24</x:v>
      </x:c>
      <x:c r="P300" s="112" t="str">
        <x:v>0 g / CHAI</x:v>
      </x:c>
      <x:c r="Q300" s="112" t="str">
        <x:v>24 CHAI / THÙNG</x:v>
      </x:c>
      <x:c r="R300" s="112" t="n">
        <x:v>654</x:v>
      </x:c>
      <x:c r="S300" s="113" t="n">
        <x:v>655</x:v>
      </x:c>
    </x:row>
    <x:row r="301">
      <x:c r="A301" s="111" t="n">
        <x:v>301</x:v>
      </x:c>
      <x:c r="B301" s="112" t="str">
        <x:v>SIRO VUÔNG DƯA LƯỚI</x:v>
      </x:c>
      <x:c r="C301" s="112" t="str">
        <x:v>SRDLUV</x:v>
      </x:c>
      <x:c r="D301" s="112" t="str">
        <x:v>SRDLUVT</x:v>
      </x:c>
      <x:c r="E301" s="120"/>
      <x:c r="F301" s="120" t="n">
        <x:v>85000</x:v>
      </x:c>
      <x:c r="G301" s="120" t="n">
        <x:v>85000</x:v>
      </x:c>
      <x:c r="H301" s="112" t="str">
        <x:v>BỔ SUNG GIÁ</x:v>
      </x:c>
      <x:c r="I301" s="112" t="n">
        <x:v>2650</x:v>
      </x:c>
      <x:c r="J301" s="112" t="str">
        <x:v>g</x:v>
      </x:c>
      <x:c r="K301" s="112" t="str">
        <x:v>BÌNH</x:v>
      </x:c>
      <x:c r="L301" s="112" t="n">
        <x:v>16000</x:v>
      </x:c>
      <x:c r="M301" s="112" t="str">
        <x:v>g</x:v>
      </x:c>
      <x:c r="N301" s="112" t="str">
        <x:v>THÙNG</x:v>
      </x:c>
      <x:c r="O301" s="112" t="n">
        <x:v>6</x:v>
      </x:c>
      <x:c r="P301" s="112" t="str">
        <x:v>2650 g / BÌNH</x:v>
      </x:c>
      <x:c r="Q301" s="112" t="str">
        <x:v>6 BÌNH / THÙNG</x:v>
      </x:c>
      <x:c r="R301" s="112" t="n">
        <x:v>656</x:v>
      </x:c>
      <x:c r="S301" s="113" t="n">
        <x:v>657</x:v>
      </x:c>
    </x:row>
    <x:row r="302">
      <x:c r="A302" s="111" t="n">
        <x:v>302</x:v>
      </x:c>
      <x:c r="B302" s="112" t="str">
        <x:v>SIRO A+ DƯA LƯỚI</x:v>
      </x:c>
      <x:c r="C302" s="112" t="str">
        <x:v>SRADLU</x:v>
      </x:c>
      <x:c r="D302" s="112" t="str">
        <x:v>SRADLUT</x:v>
      </x:c>
      <x:c r="E302" s="120"/>
      <x:c r="F302" s="120" t="n">
        <x:v>27000</x:v>
      </x:c>
      <x:c r="G302" s="120" t="n">
        <x:v>27000</x:v>
      </x:c>
      <x:c r="H302" s="112" t="str">
        <x:v>BỔ SUNG GIÁ</x:v>
      </x:c>
      <x:c r="I302" s="112" t="n">
        <x:v>0</x:v>
      </x:c>
      <x:c r="J302" s="112" t="str">
        <x:v>g</x:v>
      </x:c>
      <x:c r="K302" s="112" t="str">
        <x:v>CHAI</x:v>
      </x:c>
      <x:c r="L302" s="112" t="n">
        <x:v>16000</x:v>
      </x:c>
      <x:c r="M302" s="112" t="str">
        <x:v>g</x:v>
      </x:c>
      <x:c r="N302" s="112" t="str">
        <x:v>THÙNG</x:v>
      </x:c>
      <x:c r="O302" s="112" t="n">
        <x:v>24</x:v>
      </x:c>
      <x:c r="P302" s="112" t="str">
        <x:v>0 g / CHAI</x:v>
      </x:c>
      <x:c r="Q302" s="112" t="str">
        <x:v>24 CHAI / THÙNG</x:v>
      </x:c>
      <x:c r="R302" s="112" t="n">
        <x:v>658</x:v>
      </x:c>
      <x:c r="S302" s="113" t="n">
        <x:v>659</x:v>
      </x:c>
    </x:row>
    <x:row r="303">
      <x:c r="A303" s="111" t="n">
        <x:v>303</x:v>
      </x:c>
      <x:c r="B303" s="112" t="str">
        <x:v>SIRO VUÔNG DÂU</x:v>
      </x:c>
      <x:c r="C303" s="112" t="str">
        <x:v>SRDAUV</x:v>
      </x:c>
      <x:c r="D303" s="112" t="str">
        <x:v>SRDAUVT</x:v>
      </x:c>
      <x:c r="E303" s="120"/>
      <x:c r="F303" s="120" t="n">
        <x:v>85000</x:v>
      </x:c>
      <x:c r="G303" s="120" t="n">
        <x:v>85000</x:v>
      </x:c>
      <x:c r="H303" s="112" t="str">
        <x:v>BỔ SUNG GIÁ</x:v>
      </x:c>
      <x:c r="I303" s="112" t="n">
        <x:v>2650</x:v>
      </x:c>
      <x:c r="J303" s="112" t="str">
        <x:v>g</x:v>
      </x:c>
      <x:c r="K303" s="112" t="str">
        <x:v>BÌNH</x:v>
      </x:c>
      <x:c r="L303" s="112" t="n">
        <x:v>16000</x:v>
      </x:c>
      <x:c r="M303" s="112" t="str">
        <x:v>g</x:v>
      </x:c>
      <x:c r="N303" s="112" t="str">
        <x:v>THÙNG</x:v>
      </x:c>
      <x:c r="O303" s="112" t="n">
        <x:v>6</x:v>
      </x:c>
      <x:c r="P303" s="112" t="str">
        <x:v>2650 g / BÌNH</x:v>
      </x:c>
      <x:c r="Q303" s="112" t="str">
        <x:v>6 BÌNH / THÙNG</x:v>
      </x:c>
      <x:c r="R303" s="112" t="n">
        <x:v>660</x:v>
      </x:c>
      <x:c r="S303" s="113" t="n">
        <x:v>661</x:v>
      </x:c>
    </x:row>
    <x:row r="304">
      <x:c r="A304" s="111" t="n">
        <x:v>304</x:v>
      </x:c>
      <x:c r="B304" s="112" t="str">
        <x:v>SIRO A+ DÂU</x:v>
      </x:c>
      <x:c r="C304" s="112" t="str">
        <x:v>SRADAU</x:v>
      </x:c>
      <x:c r="D304" s="112" t="str">
        <x:v>SRADAUT</x:v>
      </x:c>
      <x:c r="E304" s="120"/>
      <x:c r="F304" s="120" t="n">
        <x:v>27000</x:v>
      </x:c>
      <x:c r="G304" s="120" t="n">
        <x:v>27000</x:v>
      </x:c>
      <x:c r="H304" s="112" t="str">
        <x:v>BỔ SUNG GIÁ</x:v>
      </x:c>
      <x:c r="I304" s="112" t="n">
        <x:v>0</x:v>
      </x:c>
      <x:c r="J304" s="112" t="str">
        <x:v>g</x:v>
      </x:c>
      <x:c r="K304" s="112" t="str">
        <x:v>CHAI</x:v>
      </x:c>
      <x:c r="L304" s="112" t="n">
        <x:v>16000</x:v>
      </x:c>
      <x:c r="M304" s="112" t="str">
        <x:v>g</x:v>
      </x:c>
      <x:c r="N304" s="112" t="str">
        <x:v>THÙNG</x:v>
      </x:c>
      <x:c r="O304" s="112" t="n">
        <x:v>24</x:v>
      </x:c>
      <x:c r="P304" s="112" t="str">
        <x:v>0 g / CHAI</x:v>
      </x:c>
      <x:c r="Q304" s="112" t="str">
        <x:v>24 CHAI / THÙNG</x:v>
      </x:c>
      <x:c r="R304" s="112" t="n">
        <x:v>662</x:v>
      </x:c>
      <x:c r="S304" s="113" t="n">
        <x:v>663</x:v>
      </x:c>
    </x:row>
    <x:row r="305">
      <x:c r="A305" s="111" t="n">
        <x:v>305</x:v>
      </x:c>
      <x:c r="B305" s="112" t="str">
        <x:v>SIRO VUÔNG CHANH DÂY</x:v>
      </x:c>
      <x:c r="C305" s="112" t="str">
        <x:v>CDAYVG</x:v>
      </x:c>
      <x:c r="D305" s="112" t="str">
        <x:v>CDAYVGT</x:v>
      </x:c>
      <x:c r="E305" s="120"/>
      <x:c r="F305" s="120" t="n">
        <x:v>85000</x:v>
      </x:c>
      <x:c r="G305" s="120" t="n">
        <x:v>85000</x:v>
      </x:c>
      <x:c r="H305" s="112" t="str">
        <x:v>BỔ SUNG GIÁ</x:v>
      </x:c>
      <x:c r="I305" s="112" t="n">
        <x:v>2650</x:v>
      </x:c>
      <x:c r="J305" s="112" t="str">
        <x:v>g</x:v>
      </x:c>
      <x:c r="K305" s="112" t="str">
        <x:v>BÌNH</x:v>
      </x:c>
      <x:c r="L305" s="112" t="n">
        <x:v>16000</x:v>
      </x:c>
      <x:c r="M305" s="112" t="str">
        <x:v>g</x:v>
      </x:c>
      <x:c r="N305" s="112" t="str">
        <x:v>THÙNG</x:v>
      </x:c>
      <x:c r="O305" s="112" t="n">
        <x:v>6</x:v>
      </x:c>
      <x:c r="P305" s="112" t="str">
        <x:v>2650 g / BÌNH</x:v>
      </x:c>
      <x:c r="Q305" s="112" t="str">
        <x:v>6 BÌNH / THÙNG</x:v>
      </x:c>
      <x:c r="R305" s="112" t="n">
        <x:v>664</x:v>
      </x:c>
      <x:c r="S305" s="113" t="n">
        <x:v>665</x:v>
      </x:c>
    </x:row>
    <x:row r="306">
      <x:c r="A306" s="111" t="n">
        <x:v>306</x:v>
      </x:c>
      <x:c r="B306" s="112" t="str">
        <x:v>SIRO A+ CHANH DÂY</x:v>
      </x:c>
      <x:c r="C306" s="112" t="str">
        <x:v>SRACDA</x:v>
      </x:c>
      <x:c r="D306" s="112" t="str">
        <x:v>SRACDAT</x:v>
      </x:c>
      <x:c r="E306" s="120"/>
      <x:c r="F306" s="120" t="n">
        <x:v>27000</x:v>
      </x:c>
      <x:c r="G306" s="120" t="n">
        <x:v>27000</x:v>
      </x:c>
      <x:c r="H306" s="112" t="str">
        <x:v>BỔ SUNG GIÁ</x:v>
      </x:c>
      <x:c r="I306" s="112" t="n">
        <x:v>0</x:v>
      </x:c>
      <x:c r="J306" s="112" t="str">
        <x:v>g</x:v>
      </x:c>
      <x:c r="K306" s="112" t="str">
        <x:v>CHAI</x:v>
      </x:c>
      <x:c r="L306" s="112" t="n">
        <x:v>16000</x:v>
      </x:c>
      <x:c r="M306" s="112" t="str">
        <x:v>g</x:v>
      </x:c>
      <x:c r="N306" s="112" t="str">
        <x:v>THÙNG</x:v>
      </x:c>
      <x:c r="O306" s="112" t="n">
        <x:v>24</x:v>
      </x:c>
      <x:c r="P306" s="112" t="str">
        <x:v>0 g / CHAI</x:v>
      </x:c>
      <x:c r="Q306" s="112" t="str">
        <x:v>24 CHAI / THÙNG</x:v>
      </x:c>
      <x:c r="R306" s="112" t="n">
        <x:v>666</x:v>
      </x:c>
      <x:c r="S306" s="113" t="n">
        <x:v>667</x:v>
      </x:c>
    </x:row>
    <x:row r="307">
      <x:c r="A307" s="111" t="n">
        <x:v>307</x:v>
      </x:c>
      <x:c r="B307" s="112" t="str">
        <x:v>SIRO CASALANCA VIỆT QUỐC</x:v>
      </x:c>
      <x:c r="C307" s="112" t="str">
        <x:v>CSAVQU</x:v>
      </x:c>
      <x:c r="D307" s="112" t="str">
        <x:v>CSAVQUT</x:v>
      </x:c>
      <x:c r="E307" s="120"/>
      <x:c r="F307" s="120" t="n">
        <x:v>48000</x:v>
      </x:c>
      <x:c r="G307" s="120" t="n">
        <x:v>48000</x:v>
      </x:c>
      <x:c r="H307" s="112" t="str">
        <x:v>BỔ SUNG GIÁ</x:v>
      </x:c>
      <x:c r="I307" s="112" t="n">
        <x:v>1</x:v>
      </x:c>
      <x:c r="J307" s="112" t="str">
        <x:v>kg</x:v>
      </x:c>
      <x:c r="K307" s="112" t="str">
        <x:v>CHAI</x:v>
      </x:c>
      <x:c r="L307" s="112" t="n">
        <x:v>16</x:v>
      </x:c>
      <x:c r="M307" s="112" t="str">
        <x:v>kg</x:v>
      </x:c>
      <x:c r="N307" s="112" t="str">
        <x:v>THÙNG</x:v>
      </x:c>
      <x:c r="O307" s="112" t="n">
        <x:v>12</x:v>
      </x:c>
      <x:c r="P307" s="112" t="str">
        <x:v>1 kg / CHAI</x:v>
      </x:c>
      <x:c r="Q307" s="112" t="str">
        <x:v>12 CHAI / THÙNG</x:v>
      </x:c>
      <x:c r="R307" s="112" t="n">
        <x:v>668</x:v>
      </x:c>
      <x:c r="S307" s="113" t="n">
        <x:v>669</x:v>
      </x:c>
    </x:row>
    <x:row r="308">
      <x:c r="A308" s="111" t="n">
        <x:v>308</x:v>
      </x:c>
      <x:c r="B308" s="112" t="str">
        <x:v>SIRO CASALANCA VẢI</x:v>
      </x:c>
      <x:c r="C308" s="112" t="str">
        <x:v>CSAVAI</x:v>
      </x:c>
      <x:c r="D308" s="112" t="str">
        <x:v>CSAVAIT</x:v>
      </x:c>
      <x:c r="E308" s="120"/>
      <x:c r="F308" s="120" t="n">
        <x:v>48000</x:v>
      </x:c>
      <x:c r="G308" s="120" t="n">
        <x:v>48000</x:v>
      </x:c>
      <x:c r="H308" s="112" t="str">
        <x:v>BỔ SUNG GIÁ</x:v>
      </x:c>
      <x:c r="I308" s="112" t="n">
        <x:v>1</x:v>
      </x:c>
      <x:c r="J308" s="112" t="str">
        <x:v>kg</x:v>
      </x:c>
      <x:c r="K308" s="112" t="str">
        <x:v>CHAI</x:v>
      </x:c>
      <x:c r="L308" s="112" t="n">
        <x:v>16</x:v>
      </x:c>
      <x:c r="M308" s="112" t="str">
        <x:v>kg</x:v>
      </x:c>
      <x:c r="N308" s="112" t="str">
        <x:v>THÙNG</x:v>
      </x:c>
      <x:c r="O308" s="112" t="n">
        <x:v>12</x:v>
      </x:c>
      <x:c r="P308" s="112" t="str">
        <x:v>1 kg / CHAI</x:v>
      </x:c>
      <x:c r="Q308" s="112" t="str">
        <x:v>12 CHAI / THÙNG</x:v>
      </x:c>
      <x:c r="R308" s="112" t="n">
        <x:v>670</x:v>
      </x:c>
      <x:c r="S308" s="113" t="n">
        <x:v>671</x:v>
      </x:c>
    </x:row>
    <x:row r="309">
      <x:c r="A309" s="111" t="n">
        <x:v>309</x:v>
      </x:c>
      <x:c r="B309" s="112" t="str">
        <x:v>SIRO CASALANCA ỔI</x:v>
      </x:c>
      <x:c r="C309" s="112" t="str">
        <x:v>CSAOIH</x:v>
      </x:c>
      <x:c r="D309" s="112" t="str">
        <x:v>CSAOIHT</x:v>
      </x:c>
      <x:c r="E309" s="120"/>
      <x:c r="F309" s="120" t="n">
        <x:v>48000</x:v>
      </x:c>
      <x:c r="G309" s="120" t="n">
        <x:v>48000</x:v>
      </x:c>
      <x:c r="H309" s="112" t="str">
        <x:v>BỔ SUNG GIÁ</x:v>
      </x:c>
      <x:c r="I309" s="112" t="n">
        <x:v>0</x:v>
      </x:c>
      <x:c r="J309" s="112" t="str">
        <x:v>g</x:v>
      </x:c>
      <x:c r="K309" s="112" t="str">
        <x:v>CHAI</x:v>
      </x:c>
      <x:c r="L309" s="112" t="n">
        <x:v>16</x:v>
      </x:c>
      <x:c r="M309" s="112" t="str">
        <x:v>kg</x:v>
      </x:c>
      <x:c r="N309" s="112" t="str">
        <x:v>THÙNG</x:v>
      </x:c>
      <x:c r="O309" s="112" t="n">
        <x:v>12</x:v>
      </x:c>
      <x:c r="P309" s="112" t="str">
        <x:v>0 g / CHAI</x:v>
      </x:c>
      <x:c r="Q309" s="112" t="str">
        <x:v>12 CHAI / THÙNG</x:v>
      </x:c>
      <x:c r="R309" s="112" t="n">
        <x:v>672</x:v>
      </x:c>
      <x:c r="S309" s="113" t="n">
        <x:v>673</x:v>
      </x:c>
    </x:row>
    <x:row r="310">
      <x:c r="A310" s="111" t="n">
        <x:v>310</x:v>
      </x:c>
      <x:c r="B310" s="112" t="str">
        <x:v>SIRO CASALANCA NHÃN</x:v>
      </x:c>
      <x:c r="C310" s="112" t="str">
        <x:v>CSANHA</x:v>
      </x:c>
      <x:c r="D310" s="112" t="str">
        <x:v>CSANHAT</x:v>
      </x:c>
      <x:c r="E310" s="120"/>
      <x:c r="F310" s="120" t="n">
        <x:v>48000</x:v>
      </x:c>
      <x:c r="G310" s="120" t="n">
        <x:v>48000</x:v>
      </x:c>
      <x:c r="H310" s="112" t="str">
        <x:v>BỔ SUNG GIÁ</x:v>
      </x:c>
      <x:c r="I310" s="112" t="n">
        <x:v>0</x:v>
      </x:c>
      <x:c r="J310" s="112" t="str">
        <x:v>g</x:v>
      </x:c>
      <x:c r="K310" s="112" t="str">
        <x:v>CHAI</x:v>
      </x:c>
      <x:c r="L310" s="112" t="n">
        <x:v>16</x:v>
      </x:c>
      <x:c r="M310" s="112" t="str">
        <x:v>kg</x:v>
      </x:c>
      <x:c r="N310" s="112" t="str">
        <x:v>THÙNG</x:v>
      </x:c>
      <x:c r="O310" s="112" t="n">
        <x:v>12</x:v>
      </x:c>
      <x:c r="P310" s="112" t="str">
        <x:v>0 g / CHAI</x:v>
      </x:c>
      <x:c r="Q310" s="112" t="str">
        <x:v>12 CHAI / THÙNG</x:v>
      </x:c>
      <x:c r="R310" s="112" t="n">
        <x:v>674</x:v>
      </x:c>
      <x:c r="S310" s="113" t="n">
        <x:v>675</x:v>
      </x:c>
    </x:row>
    <x:row r="311">
      <x:c r="A311" s="111" t="n">
        <x:v>311</x:v>
      </x:c>
      <x:c r="B311" s="112" t="str">
        <x:v>SIRO CASALANCA LỰU</x:v>
      </x:c>
      <x:c r="C311" s="112" t="str">
        <x:v>CSALUU</x:v>
      </x:c>
      <x:c r="D311" s="112" t="str">
        <x:v>CSALUUT</x:v>
      </x:c>
      <x:c r="E311" s="120"/>
      <x:c r="F311" s="120" t="n">
        <x:v>48000</x:v>
      </x:c>
      <x:c r="G311" s="120" t="n">
        <x:v>48000</x:v>
      </x:c>
      <x:c r="H311" s="112" t="str">
        <x:v>BỔ SUNG GIÁ</x:v>
      </x:c>
      <x:c r="I311" s="112" t="n">
        <x:v>0</x:v>
      </x:c>
      <x:c r="J311" s="112" t="str">
        <x:v>g</x:v>
      </x:c>
      <x:c r="K311" s="112" t="str">
        <x:v>CHAI</x:v>
      </x:c>
      <x:c r="L311" s="112" t="n">
        <x:v>16</x:v>
      </x:c>
      <x:c r="M311" s="112" t="str">
        <x:v>kg</x:v>
      </x:c>
      <x:c r="N311" s="112" t="str">
        <x:v>THÙNG</x:v>
      </x:c>
      <x:c r="O311" s="112" t="n">
        <x:v>12</x:v>
      </x:c>
      <x:c r="P311" s="112" t="str">
        <x:v>0 g / CHAI</x:v>
      </x:c>
      <x:c r="Q311" s="112" t="str">
        <x:v>12 CHAI / THÙNG</x:v>
      </x:c>
      <x:c r="R311" s="112" t="n">
        <x:v>676</x:v>
      </x:c>
      <x:c r="S311" s="113" t="n">
        <x:v>677</x:v>
      </x:c>
    </x:row>
    <x:row r="312">
      <x:c r="A312" s="111" t="n">
        <x:v>312</x:v>
      </x:c>
      <x:c r="B312" s="112" t="str">
        <x:v>SIRO CASALANCA ĐÀO</x:v>
      </x:c>
      <x:c r="C312" s="112" t="str">
        <x:v>CSADAO</x:v>
      </x:c>
      <x:c r="D312" s="112" t="str">
        <x:v>CSADAOT</x:v>
      </x:c>
      <x:c r="E312" s="120"/>
      <x:c r="F312" s="120" t="n">
        <x:v>48000</x:v>
      </x:c>
      <x:c r="G312" s="120" t="n">
        <x:v>48000</x:v>
      </x:c>
      <x:c r="H312" s="112" t="str">
        <x:v>BỔ SUNG GIÁ</x:v>
      </x:c>
      <x:c r="I312" s="112" t="n">
        <x:v>16</x:v>
      </x:c>
      <x:c r="J312" s="112" t="str">
        <x:v>kg</x:v>
      </x:c>
      <x:c r="K312" s="112" t="str">
        <x:v>CHAI</x:v>
      </x:c>
      <x:c r="L312" s="112" t="n">
        <x:v>0</x:v>
      </x:c>
      <x:c r="M312" s="112" t="str">
        <x:v>g</x:v>
      </x:c>
      <x:c r="N312" s="112" t="str">
        <x:v>THÙNG</x:v>
      </x:c>
      <x:c r="O312" s="112" t="n">
        <x:v>12</x:v>
      </x:c>
      <x:c r="P312" s="112" t="str">
        <x:v>16 kg / CHAI</x:v>
      </x:c>
      <x:c r="Q312" s="112" t="str">
        <x:v>12 CHAI / THÙNG</x:v>
      </x:c>
      <x:c r="R312" s="112" t="n">
        <x:v>678</x:v>
      </x:c>
      <x:c r="S312" s="113" t="n">
        <x:v>679</x:v>
      </x:c>
    </x:row>
    <x:row r="313">
      <x:c r="A313" s="111" t="n">
        <x:v>313</x:v>
      </x:c>
      <x:c r="B313" s="112" t="str">
        <x:v>SIRO CASALANCA DƯA LƯỚI</x:v>
      </x:c>
      <x:c r="C313" s="112" t="str">
        <x:v>CSADLU</x:v>
      </x:c>
      <x:c r="D313" s="112" t="str">
        <x:v>CSADLUT</x:v>
      </x:c>
      <x:c r="E313" s="120"/>
      <x:c r="F313" s="120" t="n">
        <x:v>48000</x:v>
      </x:c>
      <x:c r="G313" s="120" t="n">
        <x:v>48000</x:v>
      </x:c>
      <x:c r="H313" s="112" t="str">
        <x:v>BỔ SUNG GIÁ</x:v>
      </x:c>
      <x:c r="I313" s="112" t="n">
        <x:v>16</x:v>
      </x:c>
      <x:c r="J313" s="112" t="str">
        <x:v>kg</x:v>
      </x:c>
      <x:c r="K313" s="112" t="str">
        <x:v>CHAI</x:v>
      </x:c>
      <x:c r="L313" s="112" t="n">
        <x:v>0</x:v>
      </x:c>
      <x:c r="M313" s="112" t="str">
        <x:v>g</x:v>
      </x:c>
      <x:c r="N313" s="112" t="str">
        <x:v>THÙNG</x:v>
      </x:c>
      <x:c r="O313" s="112" t="n">
        <x:v>12</x:v>
      </x:c>
      <x:c r="P313" s="112" t="str">
        <x:v>16 kg / CHAI</x:v>
      </x:c>
      <x:c r="Q313" s="112" t="str">
        <x:v>12 CHAI / THÙNG</x:v>
      </x:c>
      <x:c r="R313" s="112" t="n">
        <x:v>680</x:v>
      </x:c>
      <x:c r="S313" s="113" t="n">
        <x:v>681</x:v>
      </x:c>
    </x:row>
    <x:row r="314">
      <x:c r="A314" s="111" t="n">
        <x:v>314</x:v>
      </x:c>
      <x:c r="B314" s="112" t="str">
        <x:v>SIRO CASALANCA DÂU</x:v>
      </x:c>
      <x:c r="C314" s="112" t="str">
        <x:v>CSADAU</x:v>
      </x:c>
      <x:c r="D314" s="112" t="str">
        <x:v>CSADAUT</x:v>
      </x:c>
      <x:c r="E314" s="120"/>
      <x:c r="F314" s="120" t="n">
        <x:v>48000</x:v>
      </x:c>
      <x:c r="G314" s="120" t="n">
        <x:v>48000</x:v>
      </x:c>
      <x:c r="H314" s="112" t="str">
        <x:v>BỔ SUNG GIÁ</x:v>
      </x:c>
      <x:c r="I314" s="112" t="n">
        <x:v>16</x:v>
      </x:c>
      <x:c r="J314" s="112" t="str">
        <x:v>kg</x:v>
      </x:c>
      <x:c r="K314" s="112" t="str">
        <x:v>CHAI</x:v>
      </x:c>
      <x:c r="L314" s="112" t="n">
        <x:v>0</x:v>
      </x:c>
      <x:c r="M314" s="112" t="str">
        <x:v>g</x:v>
      </x:c>
      <x:c r="N314" s="112" t="str">
        <x:v>THÙNG</x:v>
      </x:c>
      <x:c r="O314" s="112" t="n">
        <x:v>12</x:v>
      </x:c>
      <x:c r="P314" s="112" t="str">
        <x:v>16 kg / CHAI</x:v>
      </x:c>
      <x:c r="Q314" s="112" t="str">
        <x:v>12 CHAI / THÙNG</x:v>
      </x:c>
      <x:c r="R314" s="112" t="n">
        <x:v>682</x:v>
      </x:c>
      <x:c r="S314" s="113" t="n">
        <x:v>683</x:v>
      </x:c>
    </x:row>
    <x:row r="315">
      <x:c r="A315" s="111" t="n">
        <x:v>315</x:v>
      </x:c>
      <x:c r="B315" s="112" t="str">
        <x:v>SIRO CASALANCA THƠM</x:v>
      </x:c>
      <x:c r="C315" s="112" t="str">
        <x:v>CSATHO</x:v>
      </x:c>
      <x:c r="D315" s="112" t="str">
        <x:v>CSATHOT</x:v>
      </x:c>
      <x:c r="E315" s="120"/>
      <x:c r="F315" s="120" t="n">
        <x:v>48000</x:v>
      </x:c>
      <x:c r="G315" s="120" t="n">
        <x:v>48000</x:v>
      </x:c>
      <x:c r="H315" s="112" t="str">
        <x:v>BỔ SUNG GIÁ</x:v>
      </x:c>
      <x:c r="I315" s="112" t="n">
        <x:v>16</x:v>
      </x:c>
      <x:c r="J315" s="112" t="str">
        <x:v>kg</x:v>
      </x:c>
      <x:c r="K315" s="112" t="str">
        <x:v>CHAI</x:v>
      </x:c>
      <x:c r="L315" s="112" t="n">
        <x:v>0</x:v>
      </x:c>
      <x:c r="M315" s="112" t="str">
        <x:v>g</x:v>
      </x:c>
      <x:c r="N315" s="112" t="str">
        <x:v>THÙNG</x:v>
      </x:c>
      <x:c r="O315" s="112" t="n">
        <x:v>12</x:v>
      </x:c>
      <x:c r="P315" s="112" t="str">
        <x:v>16 kg / CHAI</x:v>
      </x:c>
      <x:c r="Q315" s="112" t="str">
        <x:v>12 CHAI / THÙNG</x:v>
      </x:c>
      <x:c r="R315" s="112" t="n">
        <x:v>684</x:v>
      </x:c>
      <x:c r="S315" s="113" t="n">
        <x:v>685</x:v>
      </x:c>
    </x:row>
    <x:row r="316">
      <x:c r="A316" s="111" t="n">
        <x:v>316</x:v>
      </x:c>
      <x:c r="B316" s="112" t="str">
        <x:v>SIRO TRÒN BÍ ĐAO</x:v>
      </x:c>
      <x:c r="C316" s="112" t="str">
        <x:v>SRBITR</x:v>
      </x:c>
      <x:c r="D316" s="112" t="str">
        <x:v>SRBITRT</x:v>
      </x:c>
      <x:c r="E316" s="120"/>
      <x:c r="F316" s="120" t="n">
        <x:v>125000</x:v>
      </x:c>
      <x:c r="G316" s="120" t="n">
        <x:v>125000</x:v>
      </x:c>
      <x:c r="H316" s="112" t="str">
        <x:v>BỔ SUNG GIÁ</x:v>
      </x:c>
      <x:c r="I316" s="112" t="n">
        <x:v>2650</x:v>
      </x:c>
      <x:c r="J316" s="112" t="str">
        <x:v>g</x:v>
      </x:c>
      <x:c r="K316" s="112" t="str">
        <x:v>BÌNH</x:v>
      </x:c>
      <x:c r="L316" s="112" t="n">
        <x:v>16000</x:v>
      </x:c>
      <x:c r="M316" s="112" t="str">
        <x:v>g</x:v>
      </x:c>
      <x:c r="N316" s="112" t="str">
        <x:v>THÙNG</x:v>
      </x:c>
      <x:c r="O316" s="112" t="n">
        <x:v>6</x:v>
      </x:c>
      <x:c r="P316" s="112" t="str">
        <x:v>2650 g / BÌNH</x:v>
      </x:c>
      <x:c r="Q316" s="112" t="str">
        <x:v>6 BÌNH / THÙNG</x:v>
      </x:c>
      <x:c r="R316" s="112" t="n">
        <x:v>686</x:v>
      </x:c>
      <x:c r="S316" s="113" t="n">
        <x:v>687</x:v>
      </x:c>
    </x:row>
    <x:row r="317">
      <x:c r="A317" s="111" t="n">
        <x:v>317</x:v>
      </x:c>
      <x:c r="B317" s="112" t="str">
        <x:v>SIRO VUÔNG BẠC HÀ</x:v>
      </x:c>
      <x:c r="C317" s="112" t="str">
        <x:v>SRBHVG</x:v>
      </x:c>
      <x:c r="D317" s="112" t="str">
        <x:v>SRBHVGT</x:v>
      </x:c>
      <x:c r="E317" s="120"/>
      <x:c r="F317" s="120" t="n">
        <x:v>85000</x:v>
      </x:c>
      <x:c r="G317" s="120" t="n">
        <x:v>85000</x:v>
      </x:c>
      <x:c r="H317" s="112" t="str">
        <x:v>BỔ SUNG GIÁ</x:v>
      </x:c>
      <x:c r="I317" s="112" t="n">
        <x:v>2650</x:v>
      </x:c>
      <x:c r="J317" s="112" t="str">
        <x:v>g</x:v>
      </x:c>
      <x:c r="K317" s="112" t="str">
        <x:v>BÌNH</x:v>
      </x:c>
      <x:c r="L317" s="112" t="n">
        <x:v>16000</x:v>
      </x:c>
      <x:c r="M317" s="112" t="str">
        <x:v>g</x:v>
      </x:c>
      <x:c r="N317" s="112" t="str">
        <x:v>THÙNG</x:v>
      </x:c>
      <x:c r="O317" s="112" t="n">
        <x:v>6</x:v>
      </x:c>
      <x:c r="P317" s="112" t="str">
        <x:v>2650 g / BÌNH</x:v>
      </x:c>
      <x:c r="Q317" s="112" t="str">
        <x:v>6 BÌNH / THÙNG</x:v>
      </x:c>
      <x:c r="R317" s="112" t="n">
        <x:v>688</x:v>
      </x:c>
      <x:c r="S317" s="113" t="n">
        <x:v>689</x:v>
      </x:c>
    </x:row>
    <x:row r="318">
      <x:c r="A318" s="111" t="n">
        <x:v>318</x:v>
      </x:c>
      <x:c r="B318" s="112" t="str">
        <x:v>SIRO A+ BẠC HÀ</x:v>
      </x:c>
      <x:c r="C318" s="112" t="str">
        <x:v>SRABHA</x:v>
      </x:c>
      <x:c r="D318" s="112" t="str">
        <x:v>SRABHAT</x:v>
      </x:c>
      <x:c r="E318" s="120"/>
      <x:c r="F318" s="120" t="n">
        <x:v>27000</x:v>
      </x:c>
      <x:c r="G318" s="120" t="n">
        <x:v>27000</x:v>
      </x:c>
      <x:c r="H318" s="112" t="str">
        <x:v>BỔ SUNG GIÁ</x:v>
      </x:c>
      <x:c r="I318" s="112" t="n">
        <x:v>0</x:v>
      </x:c>
      <x:c r="J318" s="112" t="str">
        <x:v>g</x:v>
      </x:c>
      <x:c r="K318" s="112" t="str">
        <x:v>CHAI</x:v>
      </x:c>
      <x:c r="L318" s="112" t="n">
        <x:v>16000</x:v>
      </x:c>
      <x:c r="M318" s="112" t="str">
        <x:v>g</x:v>
      </x:c>
      <x:c r="N318" s="112" t="str">
        <x:v>THÙNG</x:v>
      </x:c>
      <x:c r="O318" s="112" t="n">
        <x:v>24</x:v>
      </x:c>
      <x:c r="P318" s="112" t="str">
        <x:v>0 g / CHAI</x:v>
      </x:c>
      <x:c r="Q318" s="112" t="str">
        <x:v>24 CHAI / THÙNG</x:v>
      </x:c>
      <x:c r="R318" s="112" t="n">
        <x:v>690</x:v>
      </x:c>
      <x:c r="S318" s="113" t="n">
        <x:v>691</x:v>
      </x:c>
    </x:row>
    <x:row r="319">
      <x:c r="A319" s="111" t="n">
        <x:v>319</x:v>
      </x:c>
      <x:c r="B319" s="112" t="str">
        <x:v>SIRO GOLD 2L ỔI</x:v>
      </x:c>
      <x:c r="C319" s="112" t="str">
        <x:v>SRG2OI</x:v>
      </x:c>
      <x:c r="D319" s="112" t="str">
        <x:v>SRG2OIT</x:v>
      </x:c>
      <x:c r="E319" s="120" t="n">
        <x:v>140000</x:v>
      </x:c>
      <x:c r="F319" s="120" t="n">
        <x:v>140000</x:v>
      </x:c>
      <x:c r="G319" s="120" t="n">
        <x:v>140000</x:v>
      </x:c>
      <x:c r="H319" s="112" t="str">
        <x:v>GIỮ NGUYÊN - ĐÃ KHỚP</x:v>
      </x:c>
      <x:c r="I319" s="112" t="n">
        <x:v>2</x:v>
      </x:c>
      <x:c r="J319" s="112" t="str">
        <x:v>kg</x:v>
      </x:c>
      <x:c r="K319" s="112" t="str">
        <x:v>CAN</x:v>
      </x:c>
      <x:c r="L319" s="112" t="n">
        <x:v>16000</x:v>
      </x:c>
      <x:c r="M319" s="112" t="str">
        <x:v>g</x:v>
      </x:c>
      <x:c r="N319" s="112" t="str">
        <x:v>THÙNG</x:v>
      </x:c>
      <x:c r="O319" s="112" t="n">
        <x:v>6</x:v>
      </x:c>
      <x:c r="P319" s="112" t="str">
        <x:v>2 kg / CAN</x:v>
      </x:c>
      <x:c r="Q319" s="112" t="str">
        <x:v>6 CAN / THÙNG</x:v>
      </x:c>
      <x:c r="R319" s="112" t="n">
        <x:v>693</x:v>
      </x:c>
      <x:c r="S319" s="113" t="n">
        <x:v>694</x:v>
      </x:c>
    </x:row>
    <x:row r="320">
      <x:c r="A320" s="111" t="n">
        <x:v>320</x:v>
      </x:c>
      <x:c r="B320" s="112" t="str">
        <x:v>SIRO GOLD 2L NHO</x:v>
      </x:c>
      <x:c r="C320" s="112" t="str">
        <x:v>SRG2NH</x:v>
      </x:c>
      <x:c r="D320" s="112" t="str">
        <x:v>SRG2NHT</x:v>
      </x:c>
      <x:c r="E320" s="120" t="n">
        <x:v>140000</x:v>
      </x:c>
      <x:c r="F320" s="120" t="n">
        <x:v>140000</x:v>
      </x:c>
      <x:c r="G320" s="120" t="n">
        <x:v>140000</x:v>
      </x:c>
      <x:c r="H320" s="112" t="str">
        <x:v>GIỮ NGUYÊN - ĐÃ KHỚP</x:v>
      </x:c>
      <x:c r="I320" s="112" t="n">
        <x:v>2</x:v>
      </x:c>
      <x:c r="J320" s="112" t="str">
        <x:v>kg</x:v>
      </x:c>
      <x:c r="K320" s="112" t="str">
        <x:v>CAN</x:v>
      </x:c>
      <x:c r="L320" s="112" t="n">
        <x:v>16000</x:v>
      </x:c>
      <x:c r="M320" s="112" t="str">
        <x:v>g</x:v>
      </x:c>
      <x:c r="N320" s="112" t="str">
        <x:v>THÙNG</x:v>
      </x:c>
      <x:c r="O320" s="112" t="n">
        <x:v>6</x:v>
      </x:c>
      <x:c r="P320" s="112" t="str">
        <x:v>2 kg / CAN</x:v>
      </x:c>
      <x:c r="Q320" s="112" t="str">
        <x:v>6 CAN / THÙNG</x:v>
      </x:c>
      <x:c r="R320" s="112" t="n">
        <x:v>695</x:v>
      </x:c>
      <x:c r="S320" s="113" t="n">
        <x:v>696</x:v>
      </x:c>
    </x:row>
    <x:row r="321">
      <x:c r="A321" s="111" t="n">
        <x:v>321</x:v>
      </x:c>
      <x:c r="B321" s="112" t="str">
        <x:v>SEN TIM</x:v>
      </x:c>
      <x:c r="C321" s="112" t="str">
        <x:v>SENTIM</x:v>
      </x:c>
      <x:c r="D321" s="112" t="str">
        <x:v>SENTIMT</x:v>
      </x:c>
      <x:c r="E321" s="120"/>
      <x:c r="F321" s="120" t="n">
        <x:v>55000</x:v>
      </x:c>
      <x:c r="G321" s="120" t="n">
        <x:v>55000</x:v>
      </x:c>
      <x:c r="H321" s="112" t="str">
        <x:v>BỔ SUNG GIÁ</x:v>
      </x:c>
      <x:c r="I321" s="112" t="n">
        <x:v>800</x:v>
      </x:c>
      <x:c r="J321" s="112" t="str">
        <x:v>g</x:v>
      </x:c>
      <x:c r="K321" s="112" t="str">
        <x:v>LON</x:v>
      </x:c>
      <x:c r="L321" s="112" t="n">
        <x:v>8000</x:v>
      </x:c>
      <x:c r="M321" s="112" t="str">
        <x:v>g</x:v>
      </x:c>
      <x:c r="N321" s="112" t="str">
        <x:v>THÙNG</x:v>
      </x:c>
      <x:c r="O321" s="112" t="n">
        <x:v>12</x:v>
      </x:c>
      <x:c r="P321" s="112" t="str">
        <x:v>800 g / LON</x:v>
      </x:c>
      <x:c r="Q321" s="112" t="str">
        <x:v>12 LON / THÙNG</x:v>
      </x:c>
      <x:c r="R321" s="112" t="n">
        <x:v>698</x:v>
      </x:c>
      <x:c r="S321" s="113" t="n">
        <x:v>699</x:v>
      </x:c>
    </x:row>
    <x:row r="322">
      <x:c r="A322" s="111" t="n">
        <x:v>322</x:v>
      </x:c>
      <x:c r="B322" s="112" t="str">
        <x:v>SIRO TRÒN SÂM DỨA</x:v>
      </x:c>
      <x:c r="C322" s="112" t="str">
        <x:v>SRSDTR</x:v>
      </x:c>
      <x:c r="D322" s="112" t="str">
        <x:v>SRSDTRT</x:v>
      </x:c>
      <x:c r="E322" s="120"/>
      <x:c r="F322" s="120" t="n">
        <x:v>125000</x:v>
      </x:c>
      <x:c r="G322" s="120" t="n">
        <x:v>125000</x:v>
      </x:c>
      <x:c r="H322" s="112" t="str">
        <x:v>BỔ SUNG GIÁ</x:v>
      </x:c>
      <x:c r="I322" s="112" t="n">
        <x:v>2650</x:v>
      </x:c>
      <x:c r="J322" s="112" t="str">
        <x:v>g</x:v>
      </x:c>
      <x:c r="K322" s="112" t="str">
        <x:v>BÌNH</x:v>
      </x:c>
      <x:c r="L322" s="112" t="n">
        <x:v>16000</x:v>
      </x:c>
      <x:c r="M322" s="112" t="str">
        <x:v>g</x:v>
      </x:c>
      <x:c r="N322" s="112" t="str">
        <x:v>THÙNG</x:v>
      </x:c>
      <x:c r="O322" s="112" t="n">
        <x:v>6</x:v>
      </x:c>
      <x:c r="P322" s="112" t="str">
        <x:v>2650 g / BÌNH</x:v>
      </x:c>
      <x:c r="Q322" s="112" t="str">
        <x:v>6 BÌNH / THÙNG</x:v>
      </x:c>
      <x:c r="R322" s="112" t="n">
        <x:v>700</x:v>
      </x:c>
      <x:c r="S322" s="113" t="n">
        <x:v>701</x:v>
      </x:c>
    </x:row>
    <x:row r="323">
      <x:c r="A323" s="111" t="n">
        <x:v>323</x:v>
      </x:c>
      <x:c r="B323" s="112" t="str">
        <x:v>RUỐC ANH TÚ</x:v>
      </x:c>
      <x:c r="C323" s="112" t="str">
        <x:v>RUOCAT</x:v>
      </x:c>
      <x:c r="D323" s="112" t="str">
        <x:v>RUOCATT</x:v>
      </x:c>
      <x:c r="E323" s="120" t="n">
        <x:v>35000</x:v>
      </x:c>
      <x:c r="F323" s="120" t="n">
        <x:v>35000</x:v>
      </x:c>
      <x:c r="G323" s="120" t="n">
        <x:v>35000</x:v>
      </x:c>
      <x:c r="H323" s="112" t="str">
        <x:v>GIỮ NGUYÊN - ĐÃ KHỚP</x:v>
      </x:c>
      <x:c r="I323" s="112" t="n">
        <x:v>500</x:v>
      </x:c>
      <x:c r="J323" s="112" t="str">
        <x:v>g</x:v>
      </x:c>
      <x:c r="K323" s="112" t="str">
        <x:v>BỊCH 500G</x:v>
      </x:c>
      <x:c r="L323" s="112" t="n">
        <x:v>30000</x:v>
      </x:c>
      <x:c r="M323" s="112" t="str">
        <x:v>g</x:v>
      </x:c>
      <x:c r="N323" s="112" t="str">
        <x:v>THÙNG</x:v>
      </x:c>
      <x:c r="O323" s="112" t="n">
        <x:v>60</x:v>
      </x:c>
      <x:c r="P323" s="112" t="str">
        <x:v>500 g / BỊCH 500G</x:v>
      </x:c>
      <x:c r="Q323" s="112" t="str">
        <x:v>60 BỊCH 500G / THÙNG</x:v>
      </x:c>
      <x:c r="R323" s="112" t="n">
        <x:v>702</x:v>
      </x:c>
      <x:c r="S323" s="113" t="n">
        <x:v>703</x:v>
      </x:c>
    </x:row>
    <x:row r="324">
      <x:c r="A324" s="111" t="n">
        <x:v>324</x:v>
      </x:c>
      <x:c r="B324" s="112" t="str">
        <x:v>RAU CÂU WINGS</x:v>
      </x:c>
      <x:c r="C324" s="112" t="str">
        <x:v>RCWING</x:v>
      </x:c>
      <x:c r="D324" s="112" t="str">
        <x:v>RCWINGT</x:v>
      </x:c>
      <x:c r="E324" s="120"/>
      <x:c r="F324" s="120" t="n">
        <x:v>46000</x:v>
      </x:c>
      <x:c r="G324" s="120" t="n">
        <x:v>46000</x:v>
      </x:c>
      <x:c r="H324" s="112" t="str">
        <x:v>BỔ SUNG GIÁ</x:v>
      </x:c>
      <x:c r="I324" s="112" t="n">
        <x:v>0</x:v>
      </x:c>
      <x:c r="J324" s="112" t="str">
        <x:v>g</x:v>
      </x:c>
      <x:c r="K324" s="112" t="str">
        <x:v>HỘP</x:v>
      </x:c>
      <x:c r="L324" s="112" t="n">
        <x:v>0</x:v>
      </x:c>
      <x:c r="M324" s="112" t="str">
        <x:v>g</x:v>
      </x:c>
      <x:c r="N324" s="112" t="str">
        <x:v>THÙNG</x:v>
      </x:c>
      <x:c r="O324" s="112" t="n">
        <x:v>10</x:v>
      </x:c>
      <x:c r="P324" s="112" t="str">
        <x:v>0 g / HỘP</x:v>
      </x:c>
      <x:c r="Q324" s="112" t="str">
        <x:v>10 HỘP / THÙNG</x:v>
      </x:c>
      <x:c r="R324" s="112" t="n">
        <x:v>704</x:v>
      </x:c>
      <x:c r="S324" s="113" t="n">
        <x:v>705</x:v>
      </x:c>
    </x:row>
    <x:row r="325">
      <x:c r="A325" s="111" t="n">
        <x:v>325</x:v>
      </x:c>
      <x:c r="B325" s="112" t="str">
        <x:v>RAU CÂU GIÒN HOÀNG YẾN</x:v>
      </x:c>
      <x:c r="C325" s="112" t="str">
        <x:v>RCHYGI</x:v>
      </x:c>
      <x:c r="D325" s="112" t="str">
        <x:v>RCHYGIT</x:v>
      </x:c>
      <x:c r="E325" s="120"/>
      <x:c r="F325" s="120" t="n">
        <x:v>115000</x:v>
      </x:c>
      <x:c r="G325" s="120" t="n">
        <x:v>115000</x:v>
      </x:c>
      <x:c r="H325" s="112" t="str">
        <x:v>BỔ SUNG GIÁ</x:v>
      </x:c>
      <x:c r="I325" s="112" t="n">
        <x:v>0</x:v>
      </x:c>
      <x:c r="J325" s="112" t="str">
        <x:v>g</x:v>
      </x:c>
      <x:c r="K325" s="112" t="str">
        <x:v>HỘP</x:v>
      </x:c>
      <x:c r="L325" s="112" t="n">
        <x:v>0</x:v>
      </x:c>
      <x:c r="M325" s="112" t="str">
        <x:v>g</x:v>
      </x:c>
      <x:c r="N325" s="112" t="str">
        <x:v>THÙNG</x:v>
      </x:c>
      <x:c r="O325" s="112" t="n">
        <x:v>20</x:v>
      </x:c>
      <x:c r="P325" s="112" t="str">
        <x:v>0 g / HỘP</x:v>
      </x:c>
      <x:c r="Q325" s="112" t="str">
        <x:v>20 HỘP / THÙNG</x:v>
      </x:c>
      <x:c r="R325" s="112" t="n">
        <x:v>707</x:v>
      </x:c>
      <x:c r="S325" s="113" t="n">
        <x:v>708</x:v>
      </x:c>
    </x:row>
    <x:row r="326">
      <x:c r="A326" s="111" t="n">
        <x:v>326</x:v>
      </x:c>
      <x:c r="B326" s="112" t="str">
        <x:v>RAU CÂU DẺO HOÀNG YẾN</x:v>
      </x:c>
      <x:c r="C326" s="112" t="str">
        <x:v>RCHYDE</x:v>
      </x:c>
      <x:c r="D326" s="112" t="str">
        <x:v>RCHYDET</x:v>
      </x:c>
      <x:c r="E326" s="120"/>
      <x:c r="F326" s="120" t="n">
        <x:v>110000</x:v>
      </x:c>
      <x:c r="G326" s="120" t="n">
        <x:v>110000</x:v>
      </x:c>
      <x:c r="H326" s="112" t="str">
        <x:v>BỔ SUNG GIÁ</x:v>
      </x:c>
      <x:c r="I326" s="112" t="n">
        <x:v>0</x:v>
      </x:c>
      <x:c r="J326" s="112" t="str">
        <x:v>g</x:v>
      </x:c>
      <x:c r="K326" s="112" t="str">
        <x:v>HỘP</x:v>
      </x:c>
      <x:c r="L326" s="112" t="n">
        <x:v>0</x:v>
      </x:c>
      <x:c r="M326" s="112" t="str">
        <x:v>g</x:v>
      </x:c>
      <x:c r="N326" s="112" t="str">
        <x:v>THÙNG</x:v>
      </x:c>
      <x:c r="O326" s="112" t="n">
        <x:v>20</x:v>
      </x:c>
      <x:c r="P326" s="112" t="str">
        <x:v>0 g / HỘP</x:v>
      </x:c>
      <x:c r="Q326" s="112" t="str">
        <x:v>20 HỘP / THÙNG</x:v>
      </x:c>
      <x:c r="R326" s="112" t="n">
        <x:v>709</x:v>
      </x:c>
      <x:c r="S326" s="113" t="n">
        <x:v>710</x:v>
      </x:c>
    </x:row>
    <x:row r="327">
      <x:c r="A327" s="111" t="n">
        <x:v>327</x:v>
      </x:c>
      <x:c r="B327" s="112" t="str">
        <x:v>RAU CÂU CÁ DẺO</x:v>
      </x:c>
      <x:c r="C327" s="112" t="str">
        <x:v>RCCADE</x:v>
      </x:c>
      <x:c r="D327" s="112" t="str">
        <x:v>RCCADET</x:v>
      </x:c>
      <x:c r="E327" s="120" t="n">
        <x:v>60000</x:v>
      </x:c>
      <x:c r="F327" s="120" t="n">
        <x:v>60000</x:v>
      </x:c>
      <x:c r="G327" s="120" t="n">
        <x:v>60000</x:v>
      </x:c>
      <x:c r="H327" s="112" t="str">
        <x:v>GIỮ NGUYÊN - ĐÃ KHỚP</x:v>
      </x:c>
      <x:c r="I327" s="112" t="n">
        <x:v>200</x:v>
      </x:c>
      <x:c r="J327" s="112" t="str">
        <x:v>g</x:v>
      </x:c>
      <x:c r="K327" s="112" t="str">
        <x:v>HỘP</x:v>
      </x:c>
      <x:c r="L327" s="112" t="n">
        <x:v>0</x:v>
      </x:c>
      <x:c r="M327" s="112" t="str">
        <x:v>g</x:v>
      </x:c>
      <x:c r="N327" s="112" t="str">
        <x:v>THÙNG</x:v>
      </x:c>
      <x:c r="O327" s="112" t="n">
        <x:v>10</x:v>
      </x:c>
      <x:c r="P327" s="112" t="str">
        <x:v>200 g / HỘP</x:v>
      </x:c>
      <x:c r="Q327" s="112" t="str">
        <x:v>10 HỘP / THÙNG</x:v>
      </x:c>
      <x:c r="R327" s="112" t="n">
        <x:v>711</x:v>
      </x:c>
      <x:c r="S327" s="113" t="n">
        <x:v>712</x:v>
      </x:c>
    </x:row>
    <x:row r="328">
      <x:c r="A328" s="111" t="n">
        <x:v>328</x:v>
      </x:c>
      <x:c r="B328" s="112" t="str">
        <x:v>RAU CÂU SÓC VÀNG</x:v>
      </x:c>
      <x:c r="C328" s="112" t="str">
        <x:v>RCSOCV</x:v>
      </x:c>
      <x:c r="D328" s="112" t="str">
        <x:v>RCSOCVT</x:v>
      </x:c>
      <x:c r="E328" s="120" t="n">
        <x:v>52000</x:v>
      </x:c>
      <x:c r="F328" s="120" t="n">
        <x:v>52000</x:v>
      </x:c>
      <x:c r="G328" s="120" t="n">
        <x:v>52000</x:v>
      </x:c>
      <x:c r="H328" s="112" t="str">
        <x:v>GIỮ NGUYÊN - ĐÃ KHỚP</x:v>
      </x:c>
      <x:c r="I328" s="112" t="n">
        <x:v>150</x:v>
      </x:c>
      <x:c r="J328" s="112" t="str">
        <x:v>g</x:v>
      </x:c>
      <x:c r="K328" s="112" t="str">
        <x:v>HỘP</x:v>
      </x:c>
      <x:c r="L328" s="112" t="n">
        <x:v>2000</x:v>
      </x:c>
      <x:c r="M328" s="112" t="str">
        <x:v>g</x:v>
      </x:c>
      <x:c r="N328" s="112" t="str">
        <x:v>THÙNG</x:v>
      </x:c>
      <x:c r="O328" s="112" t="n">
        <x:v>10</x:v>
      </x:c>
      <x:c r="P328" s="112" t="str">
        <x:v>150 g / HỘP</x:v>
      </x:c>
      <x:c r="Q328" s="112" t="str">
        <x:v>10 HỘP / THÙNG</x:v>
      </x:c>
      <x:c r="R328" s="112" t="n">
        <x:v>713</x:v>
      </x:c>
      <x:c r="S328" s="113" t="n">
        <x:v>714</x:v>
      </x:c>
    </x:row>
    <x:row r="329">
      <x:c r="A329" s="111" t="n">
        <x:v>329</x:v>
      </x:c>
      <x:c r="B329" s="112" t="str">
        <x:v>PHOMAI ANCHOR (CREAM CHEESE)</x:v>
      </x:c>
      <x:c r="C329" s="112" t="str">
        <x:v>PMANCH</x:v>
      </x:c>
      <x:c r="D329" s="112" t="str">
        <x:v>PMANCHT</x:v>
      </x:c>
      <x:c r="E329" s="120"/>
      <x:c r="F329" s="120" t="n">
        <x:v>0</x:v>
      </x:c>
      <x:c r="G329" s="120"/>
      <x:c r="H329" s="112" t="str">
        <x:v>DS SP GIÁ 0 - VẪN THIẾU GIÁ</x:v>
      </x:c>
      <x:c r="I329" s="112" t="n">
        <x:v>1</x:v>
      </x:c>
      <x:c r="J329" s="112" t="str">
        <x:v>kg</x:v>
      </x:c>
      <x:c r="K329" s="112" t="str">
        <x:v>HỘP 1KG</x:v>
      </x:c>
      <x:c r="L329" s="112" t="n">
        <x:v>13</x:v>
      </x:c>
      <x:c r="M329" s="112" t="str">
        <x:v>kg</x:v>
      </x:c>
      <x:c r="N329" s="112" t="str">
        <x:v>THÙNG</x:v>
      </x:c>
      <x:c r="O329" s="112" t="n">
        <x:v>12</x:v>
      </x:c>
      <x:c r="P329" s="112" t="str">
        <x:v>1 kg / HỘP 1KG</x:v>
      </x:c>
      <x:c r="Q329" s="112" t="str">
        <x:v>12 HỘP 1KG / THÙNG</x:v>
      </x:c>
      <x:c r="R329" s="112" t="n">
        <x:v>717</x:v>
      </x:c>
      <x:c r="S329" s="113" t="n">
        <x:v>718</x:v>
      </x:c>
    </x:row>
    <x:row r="330">
      <x:c r="A330" s="111" t="n">
        <x:v>330</x:v>
      </x:c>
      <x:c r="B330" s="112" t="str">
        <x:v>PUDING TRỨNG DOUXIAN</x:v>
      </x:c>
      <x:c r="C330" s="112" t="str">
        <x:v>PLDXTR</x:v>
      </x:c>
      <x:c r="D330" s="112" t="str">
        <x:v>PLDXTRT</x:v>
      </x:c>
      <x:c r="E330" s="120" t="n">
        <x:v>170000</x:v>
      </x:c>
      <x:c r="F330" s="120" t="n">
        <x:v>170000</x:v>
      </x:c>
      <x:c r="G330" s="120" t="n">
        <x:v>170000</x:v>
      </x:c>
      <x:c r="H330" s="112" t="str">
        <x:v>GIỮ NGUYÊN - ĐÃ KHỚP</x:v>
      </x:c>
      <x:c r="I330" s="112" t="n">
        <x:v>1020</x:v>
      </x:c>
      <x:c r="J330" s="112" t="str">
        <x:v>g</x:v>
      </x:c>
      <x:c r="K330" s="112" t="str">
        <x:v>BỊCH</x:v>
      </x:c>
      <x:c r="L330" s="112" t="n">
        <x:v>13000</x:v>
      </x:c>
      <x:c r="M330" s="112" t="str">
        <x:v>g</x:v>
      </x:c>
      <x:c r="N330" s="112" t="str">
        <x:v>THÙNG</x:v>
      </x:c>
      <x:c r="O330" s="112" t="n">
        <x:v>12</x:v>
      </x:c>
      <x:c r="P330" s="112" t="str">
        <x:v>1020 g / BỊCH</x:v>
      </x:c>
      <x:c r="Q330" s="112" t="str">
        <x:v>12 BỊCH / THÙNG</x:v>
      </x:c>
      <x:c r="R330" s="112" t="n">
        <x:v>719</x:v>
      </x:c>
      <x:c r="S330" s="113" t="n">
        <x:v>720</x:v>
      </x:c>
    </x:row>
    <x:row r="331">
      <x:c r="A331" s="111" t="n">
        <x:v>331</x:v>
      </x:c>
      <x:c r="B331" s="112" t="str">
        <x:v>PUDING SỮA DOUXIAN</x:v>
      </x:c>
      <x:c r="C331" s="112" t="str">
        <x:v>PLDXSU</x:v>
      </x:c>
      <x:c r="D331" s="112" t="str">
        <x:v>PLDXSUT</x:v>
      </x:c>
      <x:c r="E331" s="120" t="n">
        <x:v>170000</x:v>
      </x:c>
      <x:c r="F331" s="120" t="n">
        <x:v>170000</x:v>
      </x:c>
      <x:c r="G331" s="120" t="n">
        <x:v>170000</x:v>
      </x:c>
      <x:c r="H331" s="112" t="str">
        <x:v>GIỮ NGUYÊN - ĐÃ KHỚP</x:v>
      </x:c>
      <x:c r="I331" s="112" t="n">
        <x:v>1020</x:v>
      </x:c>
      <x:c r="J331" s="112" t="str">
        <x:v>g</x:v>
      </x:c>
      <x:c r="K331" s="112" t="str">
        <x:v>BỊCH</x:v>
      </x:c>
      <x:c r="L331" s="112" t="n">
        <x:v>13000</x:v>
      </x:c>
      <x:c r="M331" s="112" t="str">
        <x:v>g</x:v>
      </x:c>
      <x:c r="N331" s="112" t="str">
        <x:v>THÙNG</x:v>
      </x:c>
      <x:c r="O331" s="112" t="n">
        <x:v>12</x:v>
      </x:c>
      <x:c r="P331" s="112" t="str">
        <x:v>1020 g / BỊCH</x:v>
      </x:c>
      <x:c r="Q331" s="112" t="str">
        <x:v>12 BỊCH / THÙNG</x:v>
      </x:c>
      <x:c r="R331" s="112" t="n">
        <x:v>721</x:v>
      </x:c>
      <x:c r="S331" s="113" t="n">
        <x:v>722</x:v>
      </x:c>
    </x:row>
    <x:row r="332">
      <x:c r="A332" s="111" t="n">
        <x:v>332</x:v>
      </x:c>
      <x:c r="B332" s="112" t="str">
        <x:v>PUDING SOCOLA DOUXIAN</x:v>
      </x:c>
      <x:c r="C332" s="112" t="str">
        <x:v>PLDXSO</x:v>
      </x:c>
      <x:c r="D332" s="112" t="str">
        <x:v>PLDXSOT</x:v>
      </x:c>
      <x:c r="E332" s="120" t="n">
        <x:v>170000</x:v>
      </x:c>
      <x:c r="F332" s="120" t="n">
        <x:v>170000</x:v>
      </x:c>
      <x:c r="G332" s="120" t="n">
        <x:v>170000</x:v>
      </x:c>
      <x:c r="H332" s="112" t="str">
        <x:v>GIỮ NGUYÊN - ĐÃ KHỚP</x:v>
      </x:c>
      <x:c r="I332" s="112" t="n">
        <x:v>1020</x:v>
      </x:c>
      <x:c r="J332" s="112" t="str">
        <x:v>g</x:v>
      </x:c>
      <x:c r="K332" s="112" t="str">
        <x:v>BỊCH</x:v>
      </x:c>
      <x:c r="L332" s="112" t="n">
        <x:v>13000</x:v>
      </x:c>
      <x:c r="M332" s="112" t="str">
        <x:v>g</x:v>
      </x:c>
      <x:c r="N332" s="112" t="str">
        <x:v>THÙNG</x:v>
      </x:c>
      <x:c r="O332" s="112" t="n">
        <x:v>12</x:v>
      </x:c>
      <x:c r="P332" s="112" t="str">
        <x:v>1020 g / BỊCH</x:v>
      </x:c>
      <x:c r="Q332" s="112" t="str">
        <x:v>12 BỊCH / THÙNG</x:v>
      </x:c>
      <x:c r="R332" s="112" t="n">
        <x:v>723</x:v>
      </x:c>
      <x:c r="S332" s="113" t="n">
        <x:v>724</x:v>
      </x:c>
    </x:row>
    <x:row r="333">
      <x:c r="A333" s="111" t="n">
        <x:v>333</x:v>
      </x:c>
      <x:c r="B333" s="112" t="str">
        <x:v>PUDING MÔN DOUXIAN</x:v>
      </x:c>
      <x:c r="C333" s="112" t="str">
        <x:v>PLDXMN</x:v>
      </x:c>
      <x:c r="D333" s="112" t="str">
        <x:v>PLDXMNT</x:v>
      </x:c>
      <x:c r="E333" s="120" t="n">
        <x:v>170000</x:v>
      </x:c>
      <x:c r="F333" s="120" t="n">
        <x:v>170000</x:v>
      </x:c>
      <x:c r="G333" s="120" t="n">
        <x:v>170000</x:v>
      </x:c>
      <x:c r="H333" s="112" t="str">
        <x:v>GIỮ NGUYÊN - ĐÃ KHỚP</x:v>
      </x:c>
      <x:c r="I333" s="112" t="n">
        <x:v>1020</x:v>
      </x:c>
      <x:c r="J333" s="112" t="str">
        <x:v>g</x:v>
      </x:c>
      <x:c r="K333" s="112" t="str">
        <x:v>BỊCH</x:v>
      </x:c>
      <x:c r="L333" s="112" t="n">
        <x:v>13000</x:v>
      </x:c>
      <x:c r="M333" s="112" t="str">
        <x:v>g</x:v>
      </x:c>
      <x:c r="N333" s="112" t="str">
        <x:v>THÙNG</x:v>
      </x:c>
      <x:c r="O333" s="112" t="n">
        <x:v>12</x:v>
      </x:c>
      <x:c r="P333" s="112" t="str">
        <x:v>1020 g / BỊCH</x:v>
      </x:c>
      <x:c r="Q333" s="112" t="str">
        <x:v>12 BỊCH / THÙNG</x:v>
      </x:c>
      <x:c r="R333" s="112" t="n">
        <x:v>725</x:v>
      </x:c>
      <x:c r="S333" s="113" t="n">
        <x:v>726</x:v>
      </x:c>
    </x:row>
    <x:row r="334">
      <x:c r="A334" s="111" t="n">
        <x:v>334</x:v>
      </x:c>
      <x:c r="B334" s="112" t="str">
        <x:v>PUDING MOTA TRỨNG</x:v>
      </x:c>
      <x:c r="C334" s="112" t="str">
        <x:v>PLMOTR</x:v>
      </x:c>
      <x:c r="D334" s="112" t="str">
        <x:v>PLMOTRT</x:v>
      </x:c>
      <x:c r="E334" s="120" t="n">
        <x:v>163000</x:v>
      </x:c>
      <x:c r="F334" s="120" t="n">
        <x:v>153000</x:v>
      </x:c>
      <x:c r="G334" s="120" t="n">
        <x:v>153000</x:v>
      </x:c>
      <x:c r="H334" s="112" t="str">
        <x:v>CẬP NHẬT GIÁ</x:v>
      </x:c>
      <x:c r="I334" s="112" t="n">
        <x:v>1000</x:v>
      </x:c>
      <x:c r="J334" s="112" t="str">
        <x:v>g</x:v>
      </x:c>
      <x:c r="K334" s="112" t="str">
        <x:v>BỊCH</x:v>
      </x:c>
      <x:c r="L334" s="112" t="n">
        <x:v>21000</x:v>
      </x:c>
      <x:c r="M334" s="112" t="str">
        <x:v>g</x:v>
      </x:c>
      <x:c r="N334" s="112" t="str">
        <x:v>THÙNG</x:v>
      </x:c>
      <x:c r="O334" s="112" t="n">
        <x:v>20</x:v>
      </x:c>
      <x:c r="P334" s="112" t="str">
        <x:v>1000 g / BỊCH</x:v>
      </x:c>
      <x:c r="Q334" s="112" t="str">
        <x:v>20 BỊCH / THÙNG</x:v>
      </x:c>
      <x:c r="R334" s="112" t="n">
        <x:v>727</x:v>
      </x:c>
      <x:c r="S334" s="113" t="n">
        <x:v>728</x:v>
      </x:c>
    </x:row>
    <x:row r="335">
      <x:c r="A335" s="111" t="n">
        <x:v>335</x:v>
      </x:c>
      <x:c r="B335" s="112" t="str">
        <x:v>PUDING MOTA SOCOLA</x:v>
      </x:c>
      <x:c r="C335" s="112" t="str">
        <x:v>PLMOSO</x:v>
      </x:c>
      <x:c r="D335" s="112" t="str">
        <x:v>PLMOSOT</x:v>
      </x:c>
      <x:c r="E335" s="120" t="n">
        <x:v>155000</x:v>
      </x:c>
      <x:c r="F335" s="120" t="n">
        <x:v>163000</x:v>
      </x:c>
      <x:c r="G335" s="120" t="n">
        <x:v>163000</x:v>
      </x:c>
      <x:c r="H335" s="112" t="str">
        <x:v>CẬP NHẬT GIÁ</x:v>
      </x:c>
      <x:c r="I335" s="112" t="n">
        <x:v>1000</x:v>
      </x:c>
      <x:c r="J335" s="112" t="str">
        <x:v>g</x:v>
      </x:c>
      <x:c r="K335" s="112" t="str">
        <x:v>BỊCH</x:v>
      </x:c>
      <x:c r="L335" s="112" t="n">
        <x:v>21000</x:v>
      </x:c>
      <x:c r="M335" s="112" t="str">
        <x:v>g</x:v>
      </x:c>
      <x:c r="N335" s="112" t="str">
        <x:v>THÙNG</x:v>
      </x:c>
      <x:c r="O335" s="112" t="n">
        <x:v>20</x:v>
      </x:c>
      <x:c r="P335" s="112" t="str">
        <x:v>1000 g / BỊCH</x:v>
      </x:c>
      <x:c r="Q335" s="112" t="str">
        <x:v>20 BỊCH / THÙNG</x:v>
      </x:c>
      <x:c r="R335" s="112" t="n">
        <x:v>729</x:v>
      </x:c>
      <x:c r="S335" s="113" t="n">
        <x:v>730</x:v>
      </x:c>
    </x:row>
    <x:row r="336">
      <x:c r="A336" s="111" t="n">
        <x:v>336</x:v>
      </x:c>
      <x:c r="B336" s="112" t="str">
        <x:v>PUDING MOTA MÔN</x:v>
      </x:c>
      <x:c r="C336" s="112" t="str">
        <x:v>PLMOMN</x:v>
      </x:c>
      <x:c r="D336" s="112" t="str">
        <x:v>PLMOMNT</x:v>
      </x:c>
      <x:c r="E336" s="120"/>
      <x:c r="F336" s="120" t="n">
        <x:v>153000</x:v>
      </x:c>
      <x:c r="G336" s="120" t="n">
        <x:v>153000</x:v>
      </x:c>
      <x:c r="H336" s="112" t="str">
        <x:v>BỔ SUNG GIÁ</x:v>
      </x:c>
      <x:c r="I336" s="112" t="n">
        <x:v>1000</x:v>
      </x:c>
      <x:c r="J336" s="112" t="str">
        <x:v>g</x:v>
      </x:c>
      <x:c r="K336" s="112" t="str">
        <x:v>BỊCH</x:v>
      </x:c>
      <x:c r="L336" s="112" t="n">
        <x:v>21000</x:v>
      </x:c>
      <x:c r="M336" s="112" t="str">
        <x:v>g</x:v>
      </x:c>
      <x:c r="N336" s="112" t="str">
        <x:v>THÙNG</x:v>
      </x:c>
      <x:c r="O336" s="112" t="n">
        <x:v>20</x:v>
      </x:c>
      <x:c r="P336" s="112" t="str">
        <x:v>1000 g / BỊCH</x:v>
      </x:c>
      <x:c r="Q336" s="112" t="str">
        <x:v>20 BỊCH / THÙNG</x:v>
      </x:c>
      <x:c r="R336" s="112" t="n">
        <x:v>731</x:v>
      </x:c>
      <x:c r="S336" s="113" t="n">
        <x:v>732</x:v>
      </x:c>
    </x:row>
    <x:row r="337">
      <x:c r="A337" s="111" t="n">
        <x:v>337</x:v>
      </x:c>
      <x:c r="B337" s="112" t="str">
        <x:v>PUDING MOTA LƯỚI</x:v>
      </x:c>
      <x:c r="C337" s="112" t="str">
        <x:v>PLMODU</x:v>
      </x:c>
      <x:c r="D337" s="112" t="str">
        <x:v>PLMODUT</x:v>
      </x:c>
      <x:c r="E337" s="120"/>
      <x:c r="F337" s="120" t="n">
        <x:v>153000</x:v>
      </x:c>
      <x:c r="G337" s="120" t="n">
        <x:v>153000</x:v>
      </x:c>
      <x:c r="H337" s="112" t="str">
        <x:v>BỔ SUNG GIÁ</x:v>
      </x:c>
      <x:c r="I337" s="112" t="n">
        <x:v>1000</x:v>
      </x:c>
      <x:c r="J337" s="112" t="str">
        <x:v>g</x:v>
      </x:c>
      <x:c r="K337" s="112" t="str">
        <x:v>BỊCH</x:v>
      </x:c>
      <x:c r="L337" s="112" t="n">
        <x:v>21000</x:v>
      </x:c>
      <x:c r="M337" s="112" t="str">
        <x:v>g</x:v>
      </x:c>
      <x:c r="N337" s="112" t="str">
        <x:v>THÙNG</x:v>
      </x:c>
      <x:c r="O337" s="112" t="n">
        <x:v>20</x:v>
      </x:c>
      <x:c r="P337" s="112" t="str">
        <x:v>1000 g / BỊCH</x:v>
      </x:c>
      <x:c r="Q337" s="112" t="str">
        <x:v>20 BỊCH / THÙNG</x:v>
      </x:c>
      <x:c r="R337" s="112" t="n">
        <x:v>733</x:v>
      </x:c>
      <x:c r="S337" s="113" t="n">
        <x:v>734</x:v>
      </x:c>
    </x:row>
    <x:row r="338">
      <x:c r="A338" s="111" t="n">
        <x:v>338</x:v>
      </x:c>
      <x:c r="B338" s="112" t="str">
        <x:v>PUDING MOTA DÂU</x:v>
      </x:c>
      <x:c r="C338" s="112" t="str">
        <x:v>PLMODA</x:v>
      </x:c>
      <x:c r="D338" s="112" t="str">
        <x:v>PLMODAT</x:v>
      </x:c>
      <x:c r="E338" s="120"/>
      <x:c r="F338" s="120" t="n">
        <x:v>153000</x:v>
      </x:c>
      <x:c r="G338" s="120" t="n">
        <x:v>153000</x:v>
      </x:c>
      <x:c r="H338" s="112" t="str">
        <x:v>BỔ SUNG GIÁ</x:v>
      </x:c>
      <x:c r="I338" s="112" t="n">
        <x:v>1000</x:v>
      </x:c>
      <x:c r="J338" s="112" t="str">
        <x:v>g</x:v>
      </x:c>
      <x:c r="K338" s="112" t="str">
        <x:v>BỊCH</x:v>
      </x:c>
      <x:c r="L338" s="112" t="n">
        <x:v>21000</x:v>
      </x:c>
      <x:c r="M338" s="112" t="str">
        <x:v>g</x:v>
      </x:c>
      <x:c r="N338" s="112" t="str">
        <x:v>THÙNG</x:v>
      </x:c>
      <x:c r="O338" s="112" t="n">
        <x:v>20</x:v>
      </x:c>
      <x:c r="P338" s="112" t="str">
        <x:v>1000 g / BỊCH</x:v>
      </x:c>
      <x:c r="Q338" s="112" t="str">
        <x:v>20 BỊCH / THÙNG</x:v>
      </x:c>
      <x:c r="R338" s="112" t="n">
        <x:v>735</x:v>
      </x:c>
      <x:c r="S338" s="113" t="n">
        <x:v>736</x:v>
      </x:c>
    </x:row>
    <x:row r="339">
      <x:c r="A339" s="111" t="n">
        <x:v>339</x:v>
      </x:c>
      <x:c r="B339" s="112" t="str">
        <x:v>PUDING MOLE TRỨNG</x:v>
      </x:c>
      <x:c r="C339" s="112" t="str">
        <x:v>PLMTRU</x:v>
      </x:c>
      <x:c r="D339" s="112" t="str">
        <x:v>PLMTRUT</x:v>
      </x:c>
      <x:c r="E339" s="120" t="n">
        <x:v>235000</x:v>
      </x:c>
      <x:c r="F339" s="120" t="n">
        <x:v>235000</x:v>
      </x:c>
      <x:c r="G339" s="120" t="n">
        <x:v>235000</x:v>
      </x:c>
      <x:c r="H339" s="112" t="str">
        <x:v>GIỮ NGUYÊN - ĐÃ KHỚP</x:v>
      </x:c>
      <x:c r="I339" s="112" t="n">
        <x:v>1000</x:v>
      </x:c>
      <x:c r="J339" s="112" t="str">
        <x:v>g</x:v>
      </x:c>
      <x:c r="K339" s="112" t="str">
        <x:v>BỊCH</x:v>
      </x:c>
      <x:c r="L339" s="112" t="n">
        <x:v>0</x:v>
      </x:c>
      <x:c r="M339" s="112" t="str">
        <x:v>g</x:v>
      </x:c>
      <x:c r="N339" s="112" t="str">
        <x:v>THÙNG</x:v>
      </x:c>
      <x:c r="O339" s="112" t="n">
        <x:v>20</x:v>
      </x:c>
      <x:c r="P339" s="112" t="str">
        <x:v>1000 g / BỊCH</x:v>
      </x:c>
      <x:c r="Q339" s="112" t="str">
        <x:v>20 BỊCH / THÙNG</x:v>
      </x:c>
      <x:c r="R339" s="112" t="n">
        <x:v>737</x:v>
      </x:c>
      <x:c r="S339" s="113" t="n">
        <x:v>738</x:v>
      </x:c>
    </x:row>
    <x:row r="340">
      <x:c r="A340" s="111" t="n">
        <x:v>340</x:v>
      </x:c>
      <x:c r="B340" s="112" t="str">
        <x:v>PUDING MOLE SOCOLA</x:v>
      </x:c>
      <x:c r="C340" s="112" t="str">
        <x:v>PLMSCL</x:v>
      </x:c>
      <x:c r="D340" s="112" t="str">
        <x:v>PLMSCLT</x:v>
      </x:c>
      <x:c r="E340" s="120" t="n">
        <x:v>257000</x:v>
      </x:c>
      <x:c r="F340" s="120" t="n">
        <x:v>257000</x:v>
      </x:c>
      <x:c r="G340" s="120" t="n">
        <x:v>257000</x:v>
      </x:c>
      <x:c r="H340" s="112" t="str">
        <x:v>GIỮ NGUYÊN - ĐÃ KHỚP</x:v>
      </x:c>
      <x:c r="I340" s="112" t="n">
        <x:v>1</x:v>
      </x:c>
      <x:c r="J340" s="112" t="str">
        <x:v>kg</x:v>
      </x:c>
      <x:c r="K340" s="112" t="str">
        <x:v>BỊCH</x:v>
      </x:c>
      <x:c r="L340" s="112" t="n">
        <x:v>21000</x:v>
      </x:c>
      <x:c r="M340" s="112" t="str">
        <x:v>g</x:v>
      </x:c>
      <x:c r="N340" s="112" t="str">
        <x:v>THÙNG</x:v>
      </x:c>
      <x:c r="O340" s="112" t="n">
        <x:v>20</x:v>
      </x:c>
      <x:c r="P340" s="112" t="str">
        <x:v>1 kg / BỊCH</x:v>
      </x:c>
      <x:c r="Q340" s="112" t="str">
        <x:v>20 BỊCH / THÙNG</x:v>
      </x:c>
      <x:c r="R340" s="112" t="n">
        <x:v>739</x:v>
      </x:c>
      <x:c r="S340" s="113" t="n">
        <x:v>740</x:v>
      </x:c>
    </x:row>
    <x:row r="341">
      <x:c r="A341" s="111" t="n">
        <x:v>341</x:v>
      </x:c>
      <x:c r="B341" s="112" t="str">
        <x:v>PUDING MOLE MÔN</x:v>
      </x:c>
      <x:c r="C341" s="112" t="str">
        <x:v>PLMMON</x:v>
      </x:c>
      <x:c r="D341" s="112" t="str">
        <x:v>PLMMONT</x:v>
      </x:c>
      <x:c r="E341" s="120" t="n">
        <x:v>215000</x:v>
      </x:c>
      <x:c r="F341" s="120" t="n">
        <x:v>215000</x:v>
      </x:c>
      <x:c r="G341" s="120" t="n">
        <x:v>215000</x:v>
      </x:c>
      <x:c r="H341" s="112" t="str">
        <x:v>GIỮ NGUYÊN - ĐÃ KHỚP</x:v>
      </x:c>
      <x:c r="I341" s="112" t="n">
        <x:v>1</x:v>
      </x:c>
      <x:c r="J341" s="112" t="str">
        <x:v>kg</x:v>
      </x:c>
      <x:c r="K341" s="112" t="str">
        <x:v>BỊCH</x:v>
      </x:c>
      <x:c r="L341" s="112" t="n">
        <x:v>21000</x:v>
      </x:c>
      <x:c r="M341" s="112" t="str">
        <x:v>g</x:v>
      </x:c>
      <x:c r="N341" s="112" t="str">
        <x:v>THÙNG</x:v>
      </x:c>
      <x:c r="O341" s="112" t="n">
        <x:v>20</x:v>
      </x:c>
      <x:c r="P341" s="112" t="str">
        <x:v>1 kg / BỊCH</x:v>
      </x:c>
      <x:c r="Q341" s="112" t="str">
        <x:v>20 BỊCH / THÙNG</x:v>
      </x:c>
      <x:c r="R341" s="112" t="n">
        <x:v>741</x:v>
      </x:c>
      <x:c r="S341" s="113" t="n">
        <x:v>742</x:v>
      </x:c>
    </x:row>
    <x:row r="342">
      <x:c r="A342" s="111" t="n">
        <x:v>342</x:v>
      </x:c>
      <x:c r="B342" s="112" t="str">
        <x:v>PUDING MOLE DƯA LƯỚI</x:v>
      </x:c>
      <x:c r="C342" s="112" t="str">
        <x:v>PLMDLU</x:v>
      </x:c>
      <x:c r="D342" s="112" t="str">
        <x:v>PLMDLUT</x:v>
      </x:c>
      <x:c r="E342" s="120" t="n">
        <x:v>203000</x:v>
      </x:c>
      <x:c r="F342" s="120" t="n">
        <x:v>203000</x:v>
      </x:c>
      <x:c r="G342" s="120" t="n">
        <x:v>203000</x:v>
      </x:c>
      <x:c r="H342" s="112" t="str">
        <x:v>GIỮ NGUYÊN - ĐÃ KHỚP</x:v>
      </x:c>
      <x:c r="I342" s="112" t="n">
        <x:v>1</x:v>
      </x:c>
      <x:c r="J342" s="112" t="str">
        <x:v>kg</x:v>
      </x:c>
      <x:c r="K342" s="112" t="str">
        <x:v>BỊCH</x:v>
      </x:c>
      <x:c r="L342" s="112" t="n">
        <x:v>21000</x:v>
      </x:c>
      <x:c r="M342" s="112" t="str">
        <x:v>g</x:v>
      </x:c>
      <x:c r="N342" s="112" t="str">
        <x:v>THÙNG</x:v>
      </x:c>
      <x:c r="O342" s="112" t="n">
        <x:v>20</x:v>
      </x:c>
      <x:c r="P342" s="112" t="str">
        <x:v>1 kg / BỊCH</x:v>
      </x:c>
      <x:c r="Q342" s="112" t="str">
        <x:v>20 BỊCH / THÙNG</x:v>
      </x:c>
      <x:c r="R342" s="112" t="n">
        <x:v>743</x:v>
      </x:c>
      <x:c r="S342" s="113" t="n">
        <x:v>744</x:v>
      </x:c>
    </x:row>
    <x:row r="343">
      <x:c r="A343" s="111" t="n">
        <x:v>343</x:v>
      </x:c>
      <x:c r="B343" s="112" t="str">
        <x:v>PUDING MOLE DÂU</x:v>
      </x:c>
      <x:c r="C343" s="112" t="str">
        <x:v>PLMDAU</x:v>
      </x:c>
      <x:c r="D343" s="112" t="str">
        <x:v>PLMDAUT</x:v>
      </x:c>
      <x:c r="E343" s="120" t="n">
        <x:v>203000</x:v>
      </x:c>
      <x:c r="F343" s="120" t="n">
        <x:v>203000</x:v>
      </x:c>
      <x:c r="G343" s="120" t="n">
        <x:v>203000</x:v>
      </x:c>
      <x:c r="H343" s="112" t="str">
        <x:v>GIỮ NGUYÊN - ĐÃ KHỚP</x:v>
      </x:c>
      <x:c r="I343" s="112" t="n">
        <x:v>1</x:v>
      </x:c>
      <x:c r="J343" s="112" t="str">
        <x:v>kg</x:v>
      </x:c>
      <x:c r="K343" s="112" t="str">
        <x:v>BỊCH</x:v>
      </x:c>
      <x:c r="L343" s="112" t="n">
        <x:v>21000</x:v>
      </x:c>
      <x:c r="M343" s="112" t="str">
        <x:v>g</x:v>
      </x:c>
      <x:c r="N343" s="112" t="str">
        <x:v>THÙNG</x:v>
      </x:c>
      <x:c r="O343" s="112" t="n">
        <x:v>20</x:v>
      </x:c>
      <x:c r="P343" s="112" t="str">
        <x:v>1 kg / BỊCH</x:v>
      </x:c>
      <x:c r="Q343" s="112" t="str">
        <x:v>20 BỊCH / THÙNG</x:v>
      </x:c>
      <x:c r="R343" s="112" t="n">
        <x:v>745</x:v>
      </x:c>
      <x:c r="S343" s="113" t="n">
        <x:v>746</x:v>
      </x:c>
    </x:row>
    <x:row r="344">
      <x:c r="A344" s="111" t="n">
        <x:v>344</x:v>
      </x:c>
      <x:c r="B344" s="112" t="str">
        <x:v>PUDING MATCHA DOUXIAN</x:v>
      </x:c>
      <x:c r="C344" s="112" t="str">
        <x:v>PLDXMA</x:v>
      </x:c>
      <x:c r="D344" s="112" t="str">
        <x:v>PLDXMAT</x:v>
      </x:c>
      <x:c r="E344" s="120" t="n">
        <x:v>170000</x:v>
      </x:c>
      <x:c r="F344" s="120" t="n">
        <x:v>170000</x:v>
      </x:c>
      <x:c r="G344" s="120" t="n">
        <x:v>170000</x:v>
      </x:c>
      <x:c r="H344" s="112" t="str">
        <x:v>GIỮ NGUYÊN - ĐÃ KHỚP</x:v>
      </x:c>
      <x:c r="I344" s="112" t="n">
        <x:v>1020</x:v>
      </x:c>
      <x:c r="J344" s="112" t="str">
        <x:v>g</x:v>
      </x:c>
      <x:c r="K344" s="112" t="str">
        <x:v>BỊCH</x:v>
      </x:c>
      <x:c r="L344" s="112" t="n">
        <x:v>13000</x:v>
      </x:c>
      <x:c r="M344" s="112" t="str">
        <x:v>g</x:v>
      </x:c>
      <x:c r="N344" s="112" t="str">
        <x:v>THÙNG</x:v>
      </x:c>
      <x:c r="O344" s="112" t="n">
        <x:v>12</x:v>
      </x:c>
      <x:c r="P344" s="112" t="str">
        <x:v>1020 g / BỊCH</x:v>
      </x:c>
      <x:c r="Q344" s="112" t="str">
        <x:v>12 BỊCH / THÙNG</x:v>
      </x:c>
      <x:c r="R344" s="112" t="n">
        <x:v>747</x:v>
      </x:c>
      <x:c r="S344" s="113" t="n">
        <x:v>748</x:v>
      </x:c>
    </x:row>
    <x:row r="345">
      <x:c r="A345" s="111" t="n">
        <x:v>345</x:v>
      </x:c>
      <x:c r="B345" s="112" t="str">
        <x:v>PUDING ĐÀO DOUXIAN</x:v>
      </x:c>
      <x:c r="C345" s="112" t="str">
        <x:v>PLDXDO</x:v>
      </x:c>
      <x:c r="D345" s="112" t="str">
        <x:v>PLDXDOT</x:v>
      </x:c>
      <x:c r="E345" s="120" t="n">
        <x:v>170000</x:v>
      </x:c>
      <x:c r="F345" s="120" t="n">
        <x:v>170000</x:v>
      </x:c>
      <x:c r="G345" s="120" t="n">
        <x:v>170000</x:v>
      </x:c>
      <x:c r="H345" s="112" t="str">
        <x:v>GIỮ NGUYÊN - ĐÃ KHỚP</x:v>
      </x:c>
      <x:c r="I345" s="112" t="n">
        <x:v>1020</x:v>
      </x:c>
      <x:c r="J345" s="112" t="str">
        <x:v>g</x:v>
      </x:c>
      <x:c r="K345" s="112" t="str">
        <x:v>BỊCH</x:v>
      </x:c>
      <x:c r="L345" s="112" t="n">
        <x:v>13000</x:v>
      </x:c>
      <x:c r="M345" s="112" t="str">
        <x:v>g</x:v>
      </x:c>
      <x:c r="N345" s="112" t="str">
        <x:v>THÙNG</x:v>
      </x:c>
      <x:c r="O345" s="112" t="n">
        <x:v>12</x:v>
      </x:c>
      <x:c r="P345" s="112" t="str">
        <x:v>1020 g / BỊCH</x:v>
      </x:c>
      <x:c r="Q345" s="112" t="str">
        <x:v>12 BỊCH / THÙNG</x:v>
      </x:c>
      <x:c r="R345" s="112" t="n">
        <x:v>749</x:v>
      </x:c>
      <x:c r="S345" s="113" t="n">
        <x:v>750</x:v>
      </x:c>
    </x:row>
    <x:row r="346">
      <x:c r="A346" s="111" t="n">
        <x:v>346</x:v>
      </x:c>
      <x:c r="B346" s="112" t="str">
        <x:v>PUDING DƯA LƯỚI DOUXIAN</x:v>
      </x:c>
      <x:c r="C346" s="112" t="str">
        <x:v>PLDXDL</x:v>
      </x:c>
      <x:c r="D346" s="112" t="str">
        <x:v>PLDXDLT</x:v>
      </x:c>
      <x:c r="E346" s="120" t="n">
        <x:v>170000</x:v>
      </x:c>
      <x:c r="F346" s="120" t="n">
        <x:v>170000</x:v>
      </x:c>
      <x:c r="G346" s="120" t="n">
        <x:v>170000</x:v>
      </x:c>
      <x:c r="H346" s="112" t="str">
        <x:v>GIỮ NGUYÊN - ĐÃ KHỚP</x:v>
      </x:c>
      <x:c r="I346" s="112" t="n">
        <x:v>1020</x:v>
      </x:c>
      <x:c r="J346" s="112" t="str">
        <x:v>g</x:v>
      </x:c>
      <x:c r="K346" s="112" t="str">
        <x:v>BỊCH</x:v>
      </x:c>
      <x:c r="L346" s="112" t="n">
        <x:v>13000</x:v>
      </x:c>
      <x:c r="M346" s="112" t="str">
        <x:v>g</x:v>
      </x:c>
      <x:c r="N346" s="112" t="str">
        <x:v>THÙNG</x:v>
      </x:c>
      <x:c r="O346" s="112" t="n">
        <x:v>12</x:v>
      </x:c>
      <x:c r="P346" s="112" t="str">
        <x:v>1020 g / BỊCH</x:v>
      </x:c>
      <x:c r="Q346" s="112" t="str">
        <x:v>12 BỊCH / THÙNG</x:v>
      </x:c>
      <x:c r="R346" s="112" t="n">
        <x:v>751</x:v>
      </x:c>
      <x:c r="S346" s="113" t="n">
        <x:v>752</x:v>
      </x:c>
    </x:row>
    <x:row r="347">
      <x:c r="A347" s="111" t="n">
        <x:v>347</x:v>
      </x:c>
      <x:c r="B347" s="112" t="str">
        <x:v>PUDING DÂU DOUXIAN</x:v>
      </x:c>
      <x:c r="C347" s="112" t="str">
        <x:v>PLDXDA</x:v>
      </x:c>
      <x:c r="D347" s="112" t="str">
        <x:v>PLDXDAT</x:v>
      </x:c>
      <x:c r="E347" s="120" t="n">
        <x:v>170000</x:v>
      </x:c>
      <x:c r="F347" s="120" t="n">
        <x:v>170000</x:v>
      </x:c>
      <x:c r="G347" s="120" t="n">
        <x:v>170000</x:v>
      </x:c>
      <x:c r="H347" s="112" t="str">
        <x:v>GIỮ NGUYÊN - ĐÃ KHỚP</x:v>
      </x:c>
      <x:c r="I347" s="112" t="n">
        <x:v>1020</x:v>
      </x:c>
      <x:c r="J347" s="112" t="str">
        <x:v>g</x:v>
      </x:c>
      <x:c r="K347" s="112" t="str">
        <x:v>BỊCH</x:v>
      </x:c>
      <x:c r="L347" s="112" t="n">
        <x:v>13000</x:v>
      </x:c>
      <x:c r="M347" s="112" t="str">
        <x:v>g</x:v>
      </x:c>
      <x:c r="N347" s="112" t="str">
        <x:v>THÙNG</x:v>
      </x:c>
      <x:c r="O347" s="112" t="n">
        <x:v>12</x:v>
      </x:c>
      <x:c r="P347" s="112" t="str">
        <x:v>1020 g / BỊCH</x:v>
      </x:c>
      <x:c r="Q347" s="112" t="str">
        <x:v>12 BỊCH / THÙNG</x:v>
      </x:c>
      <x:c r="R347" s="112" t="n">
        <x:v>753</x:v>
      </x:c>
      <x:c r="S347" s="113" t="n">
        <x:v>754</x:v>
      </x:c>
    </x:row>
    <x:row r="348">
      <x:c r="A348" s="111" t="n">
        <x:v>348</x:v>
      </x:c>
      <x:c r="B348" s="112" t="str">
        <x:v>OSTERBER ĐÀO</x:v>
      </x:c>
      <x:c r="C348" s="112" t="str">
        <x:v>OCTDAO</x:v>
      </x:c>
      <x:c r="D348" s="112" t="str">
        <x:v>OCTDAOT</x:v>
      </x:c>
      <x:c r="E348" s="120"/>
      <x:c r="F348" s="120" t="n">
        <x:v>100000</x:v>
      </x:c>
      <x:c r="G348" s="120" t="n">
        <x:v>100000</x:v>
      </x:c>
      <x:c r="H348" s="112" t="str">
        <x:v>BỔ SUNG GIÁ</x:v>
      </x:c>
      <x:c r="I348" s="112" t="n">
        <x:v>1</x:v>
      </x:c>
      <x:c r="J348" s="112" t="str">
        <x:v>kg</x:v>
      </x:c>
      <x:c r="K348" s="112" t="str">
        <x:v>CHAI</x:v>
      </x:c>
      <x:c r="L348" s="112" t="n">
        <x:v>15</x:v>
      </x:c>
      <x:c r="M348" s="112" t="str">
        <x:v>kg</x:v>
      </x:c>
      <x:c r="N348" s="112" t="str">
        <x:v>THÙNG</x:v>
      </x:c>
      <x:c r="O348" s="112" t="n">
        <x:v>12</x:v>
      </x:c>
      <x:c r="P348" s="112" t="str">
        <x:v>1 kg / CHAI</x:v>
      </x:c>
      <x:c r="Q348" s="112" t="str">
        <x:v>12 CHAI / THÙNG</x:v>
      </x:c>
      <x:c r="R348" s="112" t="n">
        <x:v>757</x:v>
      </x:c>
      <x:c r="S348" s="113" t="n">
        <x:v>758</x:v>
      </x:c>
    </x:row>
    <x:row r="349">
      <x:c r="A349" s="111" t="n">
        <x:v>349</x:v>
      </x:c>
      <x:c r="B349" s="112" t="str">
        <x:v>OSTERBER DÂU</x:v>
      </x:c>
      <x:c r="C349" s="112" t="str">
        <x:v>OCTDAU</x:v>
      </x:c>
      <x:c r="D349" s="112" t="str">
        <x:v>OCTDAUT</x:v>
      </x:c>
      <x:c r="E349" s="120"/>
      <x:c r="F349" s="120" t="n">
        <x:v>97000</x:v>
      </x:c>
      <x:c r="G349" s="120" t="n">
        <x:v>97000</x:v>
      </x:c>
      <x:c r="H349" s="112" t="str">
        <x:v>BỔ SUNG GIÁ</x:v>
      </x:c>
      <x:c r="I349" s="112" t="n">
        <x:v>1</x:v>
      </x:c>
      <x:c r="J349" s="112" t="str">
        <x:v>kg</x:v>
      </x:c>
      <x:c r="K349" s="112" t="str">
        <x:v>CHAI</x:v>
      </x:c>
      <x:c r="L349" s="112" t="n">
        <x:v>16</x:v>
      </x:c>
      <x:c r="M349" s="112" t="str">
        <x:v>kg</x:v>
      </x:c>
      <x:c r="N349" s="112" t="str">
        <x:v>THÙNG</x:v>
      </x:c>
      <x:c r="O349" s="112" t="n">
        <x:v>12</x:v>
      </x:c>
      <x:c r="P349" s="112" t="str">
        <x:v>1 kg / CHAI</x:v>
      </x:c>
      <x:c r="Q349" s="112" t="str">
        <x:v>12 CHAI / THÙNG</x:v>
      </x:c>
      <x:c r="R349" s="112" t="n">
        <x:v>759</x:v>
      </x:c>
      <x:c r="S349" s="113" t="n">
        <x:v>760</x:v>
      </x:c>
    </x:row>
    <x:row r="350">
      <x:c r="A350" s="111" t="n">
        <x:v>350</x:v>
      </x:c>
      <x:c r="B350" s="112" t="str">
        <x:v>SỮA OATSIDE</x:v>
      </x:c>
      <x:c r="C350" s="112" t="str">
        <x:v>OATSID</x:v>
      </x:c>
      <x:c r="D350" s="112" t="str">
        <x:v>OATSIDT</x:v>
      </x:c>
      <x:c r="E350" s="120"/>
      <x:c r="F350" s="120" t="n">
        <x:v>39000</x:v>
      </x:c>
      <x:c r="G350" s="120" t="n">
        <x:v>39000</x:v>
      </x:c>
      <x:c r="H350" s="112" t="str">
        <x:v>BỔ SUNG GIÁ</x:v>
      </x:c>
      <x:c r="I350" s="112" t="n">
        <x:v>0</x:v>
      </x:c>
      <x:c r="J350" s="112" t="str">
        <x:v>g</x:v>
      </x:c>
      <x:c r="K350" s="112" t="str">
        <x:v>HỘP</x:v>
      </x:c>
      <x:c r="L350" s="112" t="n">
        <x:v>7000</x:v>
      </x:c>
      <x:c r="M350" s="112" t="str">
        <x:v>g</x:v>
      </x:c>
      <x:c r="N350" s="112" t="str">
        <x:v>THÙNG</x:v>
      </x:c>
      <x:c r="O350" s="112" t="n">
        <x:v>6</x:v>
      </x:c>
      <x:c r="P350" s="112" t="str">
        <x:v>0 g / HỘP</x:v>
      </x:c>
      <x:c r="Q350" s="112" t="str">
        <x:v>6 HỘP / THÙNG</x:v>
      </x:c>
      <x:c r="R350" s="112" t="n">
        <x:v>761</x:v>
      </x:c>
      <x:c r="S350" s="113" t="n">
        <x:v>762</x:v>
      </x:c>
    </x:row>
    <x:row r="351">
      <x:c r="A351" s="111" t="n">
        <x:v>351</x:v>
      </x:c>
      <x:c r="B351" s="112" t="str">
        <x:v>NHÃN LON THÁI</x:v>
      </x:c>
      <x:c r="C351" s="112" t="str">
        <x:v>NHANTH</x:v>
      </x:c>
      <x:c r="D351" s="112" t="str">
        <x:v>NHANTHT</x:v>
      </x:c>
      <x:c r="E351" s="120"/>
      <x:c r="F351" s="120" t="n">
        <x:v>40000</x:v>
      </x:c>
      <x:c r="G351" s="120" t="n">
        <x:v>40000</x:v>
      </x:c>
      <x:c r="H351" s="112" t="str">
        <x:v>BỔ SUNG GIÁ</x:v>
      </x:c>
      <x:c r="I351" s="112" t="n">
        <x:v>600</x:v>
      </x:c>
      <x:c r="J351" s="112" t="str">
        <x:v>g</x:v>
      </x:c>
      <x:c r="K351" s="112" t="str">
        <x:v>LON</x:v>
      </x:c>
      <x:c r="L351" s="112" t="n">
        <x:v>16</x:v>
      </x:c>
      <x:c r="M351" s="112" t="str">
        <x:v>kg</x:v>
      </x:c>
      <x:c r="N351" s="112" t="str">
        <x:v>THÙNG</x:v>
      </x:c>
      <x:c r="O351" s="112" t="n">
        <x:v>24</x:v>
      </x:c>
      <x:c r="P351" s="112" t="str">
        <x:v>600 g / LON</x:v>
      </x:c>
      <x:c r="Q351" s="112" t="str">
        <x:v>24 LON / THÙNG</x:v>
      </x:c>
      <x:c r="R351" s="112" t="n">
        <x:v>763</x:v>
      </x:c>
      <x:c r="S351" s="113" t="n">
        <x:v>764</x:v>
      </x:c>
    </x:row>
    <x:row r="352">
      <x:c r="A352" s="111" t="n">
        <x:v>352</x:v>
      </x:c>
      <x:c r="B352" s="112" t="str">
        <x:v>NHA ĐAM PESO</x:v>
      </x:c>
      <x:c r="C352" s="112" t="str">
        <x:v>NDPESO</x:v>
      </x:c>
      <x:c r="D352" s="112" t="str">
        <x:v>NDPESOT</x:v>
      </x:c>
      <x:c r="E352" s="120" t="n">
        <x:v>29000</x:v>
      </x:c>
      <x:c r="F352" s="120" t="n">
        <x:v>29000</x:v>
      </x:c>
      <x:c r="G352" s="120" t="n">
        <x:v>29000</x:v>
      </x:c>
      <x:c r="H352" s="112" t="str">
        <x:v>GIỮ NGUYÊN - ĐÃ KHỚP</x:v>
      </x:c>
      <x:c r="I352" s="112" t="n">
        <x:v>1</x:v>
      </x:c>
      <x:c r="J352" s="112" t="str">
        <x:v>kg</x:v>
      </x:c>
      <x:c r="K352" s="112" t="str">
        <x:v>GÓI</x:v>
      </x:c>
      <x:c r="L352" s="112" t="n">
        <x:v>13</x:v>
      </x:c>
      <x:c r="M352" s="112" t="str">
        <x:v>kg</x:v>
      </x:c>
      <x:c r="N352" s="112" t="str">
        <x:v>THÙNG</x:v>
      </x:c>
      <x:c r="O352" s="112" t="n">
        <x:v>10</x:v>
      </x:c>
      <x:c r="P352" s="112" t="str">
        <x:v>1 kg / GÓI</x:v>
      </x:c>
      <x:c r="Q352" s="112" t="str">
        <x:v>10 GÓI / THÙNG</x:v>
      </x:c>
      <x:c r="R352" s="112" t="n">
        <x:v>765</x:v>
      </x:c>
      <x:c r="S352" s="113" t="n">
        <x:v>766</x:v>
      </x:c>
    </x:row>
    <x:row r="353">
      <x:c r="A353" s="111" t="n">
        <x:v>353</x:v>
      </x:c>
      <x:c r="B353" s="112" t="str">
        <x:v>NƯỚC CỐT TẮC LIME</x:v>
      </x:c>
      <x:c r="C353" s="112" t="str">
        <x:v>CTLIME</x:v>
      </x:c>
      <x:c r="D353" s="112" t="str">
        <x:v>CTLIMET</x:v>
      </x:c>
      <x:c r="E353" s="120"/>
      <x:c r="F353" s="120" t="n">
        <x:v>55000</x:v>
      </x:c>
      <x:c r="G353" s="120" t="n">
        <x:v>55000</x:v>
      </x:c>
      <x:c r="H353" s="112" t="str">
        <x:v>BỔ SUNG GIÁ</x:v>
      </x:c>
      <x:c r="I353" s="112" t="n">
        <x:v>0</x:v>
      </x:c>
      <x:c r="J353" s="112" t="str">
        <x:v>g</x:v>
      </x:c>
      <x:c r="K353" s="112" t="str">
        <x:v>CHAI</x:v>
      </x:c>
      <x:c r="L353" s="112" t="n">
        <x:v>16</x:v>
      </x:c>
      <x:c r="M353" s="112" t="str">
        <x:v>kg</x:v>
      </x:c>
      <x:c r="N353" s="112" t="str">
        <x:v>THÙNG</x:v>
      </x:c>
      <x:c r="O353" s="112" t="n">
        <x:v>12</x:v>
      </x:c>
      <x:c r="P353" s="112" t="str">
        <x:v>0 g / CHAI</x:v>
      </x:c>
      <x:c r="Q353" s="112" t="str">
        <x:v>12 CHAI / THÙNG</x:v>
      </x:c>
      <x:c r="R353" s="112" t="n">
        <x:v>768</x:v>
      </x:c>
      <x:c r="S353" s="113" t="n">
        <x:v>769</x:v>
      </x:c>
    </x:row>
    <x:row r="354">
      <x:c r="A354" s="111" t="n">
        <x:v>354</x:v>
      </x:c>
      <x:c r="B354" s="112" t="str">
        <x:v>NƯỚC CỐT CHANH LIME</x:v>
      </x:c>
      <x:c r="C354" s="112" t="str">
        <x:v>CCLIME</x:v>
      </x:c>
      <x:c r="D354" s="112" t="str">
        <x:v>CCLIMET</x:v>
      </x:c>
      <x:c r="E354" s="120"/>
      <x:c r="F354" s="120" t="n">
        <x:v>55000</x:v>
      </x:c>
      <x:c r="G354" s="120" t="n">
        <x:v>55000</x:v>
      </x:c>
      <x:c r="H354" s="112" t="str">
        <x:v>BỔ SUNG GIÁ</x:v>
      </x:c>
      <x:c r="I354" s="112" t="n">
        <x:v>0</x:v>
      </x:c>
      <x:c r="J354" s="112" t="str">
        <x:v>g</x:v>
      </x:c>
      <x:c r="K354" s="112" t="str">
        <x:v>CHAI</x:v>
      </x:c>
      <x:c r="L354" s="112" t="n">
        <x:v>16</x:v>
      </x:c>
      <x:c r="M354" s="112" t="str">
        <x:v>kg</x:v>
      </x:c>
      <x:c r="N354" s="112" t="str">
        <x:v>THÙNG</x:v>
      </x:c>
      <x:c r="O354" s="112" t="n">
        <x:v>12</x:v>
      </x:c>
      <x:c r="P354" s="112" t="str">
        <x:v>0 g / CHAI</x:v>
      </x:c>
      <x:c r="Q354" s="112" t="str">
        <x:v>12 CHAI / THÙNG</x:v>
      </x:c>
      <x:c r="R354" s="112" t="n">
        <x:v>770</x:v>
      </x:c>
      <x:c r="S354" s="113" t="n">
        <x:v>771</x:v>
      </x:c>
    </x:row>
    <x:row r="355">
      <x:c r="A355" s="111" t="n">
        <x:v>355</x:v>
      </x:c>
      <x:c r="B355" s="112" t="str">
        <x:v>NƯỚC BÒ 1 LÍT</x:v>
      </x:c>
      <x:c r="C355" s="112" t="str">
        <x:v>NCBO1L</x:v>
      </x:c>
      <x:c r="D355" s="112" t="str">
        <x:v>NCBO1LT</x:v>
      </x:c>
      <x:c r="E355" s="120" t="n">
        <x:v>37000</x:v>
      </x:c>
      <x:c r="F355" s="120" t="n">
        <x:v>35000</x:v>
      </x:c>
      <x:c r="G355" s="120" t="n">
        <x:v>35000</x:v>
      </x:c>
      <x:c r="H355" s="112" t="str">
        <x:v>CẬP NHẬT GIÁ</x:v>
      </x:c>
      <x:c r="I355" s="112" t="n">
        <x:v>1</x:v>
      </x:c>
      <x:c r="J355" s="112" t="str">
        <x:v>kg</x:v>
      </x:c>
      <x:c r="K355" s="112" t="str">
        <x:v>CHAI</x:v>
      </x:c>
      <x:c r="L355" s="112" t="n">
        <x:v>25</x:v>
      </x:c>
      <x:c r="M355" s="112" t="str">
        <x:v>kg</x:v>
      </x:c>
      <x:c r="N355" s="112" t="str">
        <x:v>THÙNG</x:v>
      </x:c>
      <x:c r="O355" s="112" t="n">
        <x:v>24</x:v>
      </x:c>
      <x:c r="P355" s="112" t="str">
        <x:v>1 kg / CHAI</x:v>
      </x:c>
      <x:c r="Q355" s="112" t="str">
        <x:v>24 CHAI / THÙNG</x:v>
      </x:c>
      <x:c r="R355" s="112" t="n">
        <x:v>772</x:v>
      </x:c>
      <x:c r="S355" s="113" t="n">
        <x:v>773</x:v>
      </x:c>
    </x:row>
    <x:row r="356">
      <x:c r="A356" s="111" t="n">
        <x:v>356</x:v>
      </x:c>
      <x:c r="B356" s="112" t="str">
        <x:v>NƯỚC BÒ 5 LÍT</x:v>
      </x:c>
      <x:c r="C356" s="112" t="str">
        <x:v>NCBO5L</x:v>
      </x:c>
      <x:c r="D356" s="112" t="str">
        <x:v>NCBO5LT</x:v>
      </x:c>
      <x:c r="E356" s="120" t="n">
        <x:v>145000</x:v>
      </x:c>
      <x:c r="F356" s="120" t="n">
        <x:v>145000</x:v>
      </x:c>
      <x:c r="G356" s="120" t="n">
        <x:v>145000</x:v>
      </x:c>
      <x:c r="H356" s="112" t="str">
        <x:v>GIỮ NGUYÊN - ĐÃ KHỚP</x:v>
      </x:c>
      <x:c r="I356" s="112" t="n">
        <x:v>5</x:v>
      </x:c>
      <x:c r="J356" s="112" t="str">
        <x:v>kg</x:v>
      </x:c>
      <x:c r="K356" s="112" t="str">
        <x:v>BÌNH</x:v>
      </x:c>
      <x:c r="L356" s="112" t="n">
        <x:v>31</x:v>
      </x:c>
      <x:c r="M356" s="112" t="str">
        <x:v>kg</x:v>
      </x:c>
      <x:c r="N356" s="112" t="str">
        <x:v>THÙNG</x:v>
      </x:c>
      <x:c r="O356" s="112" t="n">
        <x:v>6</x:v>
      </x:c>
      <x:c r="P356" s="112" t="str">
        <x:v>5 kg / BÌNH</x:v>
      </x:c>
      <x:c r="Q356" s="112" t="str">
        <x:v>6 BÌNH / THÙNG</x:v>
      </x:c>
      <x:c r="R356" s="112" t="n">
        <x:v>774</x:v>
      </x:c>
      <x:c r="S356" s="113" t="n">
        <x:v>775</x:v>
      </x:c>
    </x:row>
    <x:row r="357">
      <x:c r="A357" s="111" t="n">
        <x:v>357</x:v>
      </x:c>
      <x:c r="B357" s="112" t="str">
        <x:v>NẤM 20GAM</x:v>
      </x:c>
      <x:c r="C357" s="112" t="str">
        <x:v>NAM200</x:v>
      </x:c>
      <x:c r="D357" s="112" t="str">
        <x:v>NAM200T</x:v>
      </x:c>
      <x:c r="E357" s="120"/>
      <x:c r="F357" s="120" t="n">
        <x:v>7500</x:v>
      </x:c>
      <x:c r="G357" s="120" t="n">
        <x:v>7500</x:v>
      </x:c>
      <x:c r="H357" s="112" t="str">
        <x:v>BỔ SUNG GIÁ</x:v>
      </x:c>
      <x:c r="I357" s="112" t="n">
        <x:v>20</x:v>
      </x:c>
      <x:c r="J357" s="112" t="str">
        <x:v>g</x:v>
      </x:c>
      <x:c r="K357" s="112" t="str">
        <x:v>GÓI</x:v>
      </x:c>
      <x:c r="L357" s="112" t="n">
        <x:v>700</x:v>
      </x:c>
      <x:c r="M357" s="112" t="str">
        <x:v>g</x:v>
      </x:c>
      <x:c r="N357" s="112" t="str">
        <x:v>THÙNG</x:v>
      </x:c>
      <x:c r="O357" s="112" t="n">
        <x:v>35</x:v>
      </x:c>
      <x:c r="P357" s="112" t="str">
        <x:v>20 g / GÓI</x:v>
      </x:c>
      <x:c r="Q357" s="112" t="str">
        <x:v>35 GÓI / THÙNG</x:v>
      </x:c>
      <x:c r="R357" s="112" t="n">
        <x:v>776</x:v>
      </x:c>
      <x:c r="S357" s="113" t="n">
        <x:v>777</x:v>
      </x:c>
    </x:row>
    <x:row r="358">
      <x:c r="A358" s="111" t="n">
        <x:v>358</x:v>
      </x:c>
      <x:c r="B358" s="112" t="str">
        <x:v>NẮP CẦU VUÔNG 95</x:v>
      </x:c>
      <x:c r="C358" s="112" t="str">
        <x:v>NCVG95</x:v>
      </x:c>
      <x:c r="D358" s="112" t="str">
        <x:v>NCVG95T</x:v>
      </x:c>
      <x:c r="E358" s="120" t="n">
        <x:v>11000</x:v>
      </x:c>
      <x:c r="F358" s="120" t="n">
        <x:v>0</x:v>
      </x:c>
      <x:c r="G358" s="120" t="n">
        <x:v>11000</x:v>
      </x:c>
      <x:c r="H358" s="112" t="str">
        <x:v>DS SP GIÁ 0 - GIỮ GIÁ CŨ</x:v>
      </x:c>
      <x:c r="I358" s="112" t="n">
        <x:v>0</x:v>
      </x:c>
      <x:c r="J358" s="112" t="str">
        <x:v>g</x:v>
      </x:c>
      <x:c r="K358" s="112" t="str">
        <x:v>THÙNG</x:v>
      </x:c>
      <x:c r="L358" s="112" t="n">
        <x:v>10</x:v>
      </x:c>
      <x:c r="M358" s="112" t="str">
        <x:v>kg</x:v>
      </x:c>
      <x:c r="N358" s="112" t="str">
        <x:v>THÙNG</x:v>
      </x:c>
      <x:c r="O358" s="112" t="n">
        <x:v>40</x:v>
      </x:c>
      <x:c r="P358" s="112" t="str">
        <x:v>0 g / THÙNG</x:v>
      </x:c>
      <x:c r="Q358" s="112" t="str">
        <x:v>40 THÙNG / THÙNG</x:v>
      </x:c>
      <x:c r="R358" s="112" t="n">
        <x:v>779</x:v>
      </x:c>
      <x:c r="S358" s="113" t="n">
        <x:v>780</x:v>
      </x:c>
    </x:row>
    <x:row r="359">
      <x:c r="A359" s="111" t="n">
        <x:v>359</x:v>
      </x:c>
      <x:c r="B359" s="112" t="str">
        <x:v>NẮP CẦU TRÒN PHI 95</x:v>
      </x:c>
      <x:c r="C359" s="112" t="str">
        <x:v>NCTR95</x:v>
      </x:c>
      <x:c r="D359" s="112" t="str">
        <x:v>NCTR95T</x:v>
      </x:c>
      <x:c r="E359" s="120" t="n">
        <x:v>11000</x:v>
      </x:c>
      <x:c r="F359" s="120" t="n">
        <x:v>11000</x:v>
      </x:c>
      <x:c r="G359" s="120" t="n">
        <x:v>11000</x:v>
      </x:c>
      <x:c r="H359" s="112" t="str">
        <x:v>GIỮ NGUYÊN - ĐÃ KHỚP</x:v>
      </x:c>
      <x:c r="I359" s="112" t="n">
        <x:v>0</x:v>
      </x:c>
      <x:c r="J359" s="112" t="str">
        <x:v>g</x:v>
      </x:c>
      <x:c r="K359" s="112" t="str">
        <x:v>BỊCH</x:v>
      </x:c>
      <x:c r="L359" s="112" t="n">
        <x:v>10</x:v>
      </x:c>
      <x:c r="M359" s="112" t="str">
        <x:v>kg</x:v>
      </x:c>
      <x:c r="N359" s="112" t="str">
        <x:v>THÙNG</x:v>
      </x:c>
      <x:c r="O359" s="112" t="n">
        <x:v>40</x:v>
      </x:c>
      <x:c r="P359" s="112" t="str">
        <x:v>0 g / BỊCH</x:v>
      </x:c>
      <x:c r="Q359" s="112" t="str">
        <x:v>40 BỊCH / THÙNG</x:v>
      </x:c>
      <x:c r="R359" s="112" t="n">
        <x:v>781</x:v>
      </x:c>
      <x:c r="S359" s="113" t="n">
        <x:v>782</x:v>
      </x:c>
    </x:row>
    <x:row r="360">
      <x:c r="A360" s="111" t="n">
        <x:v>360</x:v>
      </x:c>
      <x:c r="B360" s="112" t="str">
        <x:v>MỨT VINA 1L XOÀI</x:v>
      </x:c>
      <x:c r="C360" s="112" t="str">
        <x:v>STV1XO</x:v>
      </x:c>
      <x:c r="D360" s="112" t="str">
        <x:v>STV1XOT</x:v>
      </x:c>
      <x:c r="E360" s="120"/>
      <x:c r="F360" s="120" t="n">
        <x:v>72000</x:v>
      </x:c>
      <x:c r="G360" s="120" t="n">
        <x:v>72000</x:v>
      </x:c>
      <x:c r="H360" s="112" t="str">
        <x:v>BỔ SUNG GIÁ</x:v>
      </x:c>
      <x:c r="I360" s="112" t="n">
        <x:v>1300</x:v>
      </x:c>
      <x:c r="J360" s="112" t="str">
        <x:v>g</x:v>
      </x:c>
      <x:c r="K360" s="112" t="str">
        <x:v>CHAI</x:v>
      </x:c>
      <x:c r="L360" s="112" t="n">
        <x:v>16000</x:v>
      </x:c>
      <x:c r="M360" s="112" t="str">
        <x:v>g</x:v>
      </x:c>
      <x:c r="N360" s="112" t="str">
        <x:v>THÙNG</x:v>
      </x:c>
      <x:c r="O360" s="112" t="n">
        <x:v>12</x:v>
      </x:c>
      <x:c r="P360" s="112" t="str">
        <x:v>1300 g / CHAI</x:v>
      </x:c>
      <x:c r="Q360" s="112" t="str">
        <x:v>12 CHAI / THÙNG</x:v>
      </x:c>
      <x:c r="R360" s="112" t="n">
        <x:v>785</x:v>
      </x:c>
      <x:c r="S360" s="113" t="n">
        <x:v>786</x:v>
      </x:c>
    </x:row>
    <x:row r="361">
      <x:c r="A361" s="111" t="n">
        <x:v>361</x:v>
      </x:c>
      <x:c r="B361" s="112" t="str">
        <x:v>MỨT GOLD XOÀI</x:v>
      </x:c>
      <x:c r="C361" s="112" t="str">
        <x:v>STGXOA</x:v>
      </x:c>
      <x:c r="D361" s="112" t="str">
        <x:v>STGXOAT</x:v>
      </x:c>
      <x:c r="E361" s="120" t="n">
        <x:v>100000</x:v>
      </x:c>
      <x:c r="F361" s="120" t="n">
        <x:v>100000</x:v>
      </x:c>
      <x:c r="G361" s="120" t="n">
        <x:v>100000</x:v>
      </x:c>
      <x:c r="H361" s="112" t="str">
        <x:v>GIỮ NGUYÊN - ĐÃ KHỚP</x:v>
      </x:c>
      <x:c r="I361" s="112" t="n">
        <x:v>1300</x:v>
      </x:c>
      <x:c r="J361" s="112" t="str">
        <x:v>g</x:v>
      </x:c>
      <x:c r="K361" s="112" t="str">
        <x:v>CHAI</x:v>
      </x:c>
      <x:c r="L361" s="112" t="n">
        <x:v>16000</x:v>
      </x:c>
      <x:c r="M361" s="112" t="str">
        <x:v>g</x:v>
      </x:c>
      <x:c r="N361" s="112" t="str">
        <x:v>THÙNG</x:v>
      </x:c>
      <x:c r="O361" s="112" t="n">
        <x:v>12</x:v>
      </x:c>
      <x:c r="P361" s="112" t="str">
        <x:v>1300 g / CHAI</x:v>
      </x:c>
      <x:c r="Q361" s="112" t="str">
        <x:v>12 CHAI / THÙNG</x:v>
      </x:c>
      <x:c r="R361" s="112" t="n">
        <x:v>787</x:v>
      </x:c>
      <x:c r="S361" s="113" t="n">
        <x:v>788</x:v>
      </x:c>
    </x:row>
    <x:row r="362">
      <x:c r="A362" s="111" t="n">
        <x:v>362</x:v>
      </x:c>
      <x:c r="B362" s="112" t="str">
        <x:v>MỨT VINA 650G VIỆT QUỐC</x:v>
      </x:c>
      <x:c r="C362" s="112" t="str">
        <x:v>STVHVQ</x:v>
      </x:c>
      <x:c r="D362" s="112" t="str">
        <x:v>STVHVQT</x:v>
      </x:c>
      <x:c r="E362" s="120" t="n">
        <x:v>60000</x:v>
      </x:c>
      <x:c r="F362" s="120" t="n">
        <x:v>65000</x:v>
      </x:c>
      <x:c r="G362" s="120" t="n">
        <x:v>65000</x:v>
      </x:c>
      <x:c r="H362" s="112" t="str">
        <x:v>CẬP NHẬT GIÁ</x:v>
      </x:c>
      <x:c r="I362" s="112" t="n">
        <x:v>0</x:v>
      </x:c>
      <x:c r="J362" s="112" t="str">
        <x:v>g</x:v>
      </x:c>
      <x:c r="K362" s="112" t="str">
        <x:v>HỦ</x:v>
      </x:c>
      <x:c r="L362" s="112" t="n">
        <x:v>16000</x:v>
      </x:c>
      <x:c r="M362" s="112" t="str">
        <x:v>g</x:v>
      </x:c>
      <x:c r="N362" s="112" t="str">
        <x:v>THÙNG</x:v>
      </x:c>
      <x:c r="O362" s="112" t="n">
        <x:v>24</x:v>
      </x:c>
      <x:c r="P362" s="112" t="str">
        <x:v>0 g / HỦ</x:v>
      </x:c>
      <x:c r="Q362" s="112" t="str">
        <x:v>24 HỦ / THÙNG</x:v>
      </x:c>
      <x:c r="R362" s="112" t="n">
        <x:v>789</x:v>
      </x:c>
      <x:c r="S362" s="113" t="n">
        <x:v>790</x:v>
      </x:c>
    </x:row>
    <x:row r="363">
      <x:c r="A363" s="111" t="n">
        <x:v>363</x:v>
      </x:c>
      <x:c r="B363" s="112" t="str">
        <x:v>MỨT VINA 650G DÂU</x:v>
      </x:c>
      <x:c r="C363" s="112" t="str">
        <x:v>STVHDA</x:v>
      </x:c>
      <x:c r="D363" s="112" t="str">
        <x:v>STVHDAT</x:v>
      </x:c>
      <x:c r="E363" s="120" t="n">
        <x:v>45000</x:v>
      </x:c>
      <x:c r="F363" s="120" t="n">
        <x:v>45000</x:v>
      </x:c>
      <x:c r="G363" s="120" t="n">
        <x:v>45000</x:v>
      </x:c>
      <x:c r="H363" s="112" t="str">
        <x:v>GIỮ NGUYÊN - ĐÃ KHỚP</x:v>
      </x:c>
      <x:c r="I363" s="112" t="n">
        <x:v>0</x:v>
      </x:c>
      <x:c r="J363" s="112" t="str">
        <x:v>g</x:v>
      </x:c>
      <x:c r="K363" s="112" t="str">
        <x:v>HỦ</x:v>
      </x:c>
      <x:c r="L363" s="112" t="n">
        <x:v>16000</x:v>
      </x:c>
      <x:c r="M363" s="112" t="str">
        <x:v>g</x:v>
      </x:c>
      <x:c r="N363" s="112" t="str">
        <x:v>THÙNG</x:v>
      </x:c>
      <x:c r="O363" s="112" t="n">
        <x:v>24</x:v>
      </x:c>
      <x:c r="P363" s="112" t="str">
        <x:v>0 g / HỦ</x:v>
      </x:c>
      <x:c r="Q363" s="112" t="str">
        <x:v>24 HỦ / THÙNG</x:v>
      </x:c>
      <x:c r="R363" s="112" t="n">
        <x:v>791</x:v>
      </x:c>
      <x:c r="S363" s="113" t="n">
        <x:v>792</x:v>
      </x:c>
    </x:row>
    <x:row r="364">
      <x:c r="A364" s="111" t="n">
        <x:v>364</x:v>
      </x:c>
      <x:c r="B364" s="112" t="str">
        <x:v>MỨT VINA 650G ỔI</x:v>
      </x:c>
      <x:c r="C364" s="112" t="str">
        <x:v>STVHOI</x:v>
      </x:c>
      <x:c r="D364" s="112" t="str">
        <x:v>STVHOIT</x:v>
      </x:c>
      <x:c r="E364" s="120" t="n">
        <x:v>45000</x:v>
      </x:c>
      <x:c r="F364" s="120" t="n">
        <x:v>45000</x:v>
      </x:c>
      <x:c r="G364" s="120" t="n">
        <x:v>45000</x:v>
      </x:c>
      <x:c r="H364" s="112" t="str">
        <x:v>GIỮ NGUYÊN - ĐÃ KHỚP</x:v>
      </x:c>
      <x:c r="I364" s="112" t="n">
        <x:v>0</x:v>
      </x:c>
      <x:c r="J364" s="112" t="str">
        <x:v>g</x:v>
      </x:c>
      <x:c r="K364" s="112" t="str">
        <x:v>HỦ</x:v>
      </x:c>
      <x:c r="L364" s="112" t="n">
        <x:v>16000</x:v>
      </x:c>
      <x:c r="M364" s="112" t="str">
        <x:v>g</x:v>
      </x:c>
      <x:c r="N364" s="112" t="str">
        <x:v>THÙNG</x:v>
      </x:c>
      <x:c r="O364" s="112" t="n">
        <x:v>24</x:v>
      </x:c>
      <x:c r="P364" s="112" t="str">
        <x:v>0 g / HỦ</x:v>
      </x:c>
      <x:c r="Q364" s="112" t="str">
        <x:v>24 HỦ / THÙNG</x:v>
      </x:c>
      <x:c r="R364" s="112" t="n">
        <x:v>793</x:v>
      </x:c>
      <x:c r="S364" s="113" t="n">
        <x:v>794</x:v>
      </x:c>
    </x:row>
    <x:row r="365">
      <x:c r="A365" s="111" t="n">
        <x:v>365</x:v>
      </x:c>
      <x:c r="B365" s="112" t="str">
        <x:v>MỨT VINA 650G ĐÀO</x:v>
      </x:c>
      <x:c r="C365" s="112" t="str">
        <x:v>STVHDO</x:v>
      </x:c>
      <x:c r="D365" s="112" t="str">
        <x:v>STVHDOT</x:v>
      </x:c>
      <x:c r="E365" s="120" t="n">
        <x:v>45000</x:v>
      </x:c>
      <x:c r="F365" s="120" t="n">
        <x:v>45000</x:v>
      </x:c>
      <x:c r="G365" s="120" t="n">
        <x:v>45000</x:v>
      </x:c>
      <x:c r="H365" s="112" t="str">
        <x:v>GIỮ NGUYÊN - ĐÃ KHỚP</x:v>
      </x:c>
      <x:c r="I365" s="112" t="n">
        <x:v>0</x:v>
      </x:c>
      <x:c r="J365" s="112" t="str">
        <x:v>g</x:v>
      </x:c>
      <x:c r="K365" s="112" t="str">
        <x:v>HỦ</x:v>
      </x:c>
      <x:c r="L365" s="112" t="n">
        <x:v>16000</x:v>
      </x:c>
      <x:c r="M365" s="112" t="str">
        <x:v>g</x:v>
      </x:c>
      <x:c r="N365" s="112" t="str">
        <x:v>THÙNG</x:v>
      </x:c>
      <x:c r="O365" s="112" t="n">
        <x:v>24</x:v>
      </x:c>
      <x:c r="P365" s="112" t="str">
        <x:v>0 g / HỦ</x:v>
      </x:c>
      <x:c r="Q365" s="112" t="str">
        <x:v>24 HỦ / THÙNG</x:v>
      </x:c>
      <x:c r="R365" s="112" t="n">
        <x:v>795</x:v>
      </x:c>
      <x:c r="S365" s="113" t="n">
        <x:v>796</x:v>
      </x:c>
    </x:row>
    <x:row r="366">
      <x:c r="A366" s="111" t="n">
        <x:v>366</x:v>
      </x:c>
      <x:c r="B366" s="112" t="str">
        <x:v>MỨT VINA 1L VIỆT QUỐC</x:v>
      </x:c>
      <x:c r="C366" s="112" t="str">
        <x:v>STV1VQ</x:v>
      </x:c>
      <x:c r="D366" s="112" t="str">
        <x:v>STV1VQT</x:v>
      </x:c>
      <x:c r="E366" s="120" t="n">
        <x:v>98000</x:v>
      </x:c>
      <x:c r="F366" s="120" t="n">
        <x:v>98000</x:v>
      </x:c>
      <x:c r="G366" s="120" t="n">
        <x:v>98000</x:v>
      </x:c>
      <x:c r="H366" s="112" t="str">
        <x:v>GIỮ NGUYÊN - ĐÃ KHỚP</x:v>
      </x:c>
      <x:c r="I366" s="112" t="n">
        <x:v>1300</x:v>
      </x:c>
      <x:c r="J366" s="112" t="str">
        <x:v>g</x:v>
      </x:c>
      <x:c r="K366" s="112" t="str">
        <x:v>CHAI</x:v>
      </x:c>
      <x:c r="L366" s="112" t="n">
        <x:v>16000</x:v>
      </x:c>
      <x:c r="M366" s="112" t="str">
        <x:v>g</x:v>
      </x:c>
      <x:c r="N366" s="112" t="str">
        <x:v>THÙNG</x:v>
      </x:c>
      <x:c r="O366" s="112" t="n">
        <x:v>12</x:v>
      </x:c>
      <x:c r="P366" s="112" t="str">
        <x:v>1300 g / CHAI</x:v>
      </x:c>
      <x:c r="Q366" s="112" t="str">
        <x:v>12 CHAI / THÙNG</x:v>
      </x:c>
      <x:c r="R366" s="112" t="n">
        <x:v>797</x:v>
      </x:c>
      <x:c r="S366" s="113" t="n">
        <x:v>798</x:v>
      </x:c>
    </x:row>
    <x:row r="367">
      <x:c r="A367" s="111" t="n">
        <x:v>367</x:v>
      </x:c>
      <x:c r="B367" s="112" t="str">
        <x:v>MỨT GOLD VIỆT QUỐC</x:v>
      </x:c>
      <x:c r="C367" s="112" t="str">
        <x:v>STGVQU</x:v>
      </x:c>
      <x:c r="D367" s="112" t="str">
        <x:v>STGVQUT</x:v>
      </x:c>
      <x:c r="E367" s="120" t="n">
        <x:v>125000</x:v>
      </x:c>
      <x:c r="F367" s="120" t="n">
        <x:v>125000</x:v>
      </x:c>
      <x:c r="G367" s="120" t="n">
        <x:v>125000</x:v>
      </x:c>
      <x:c r="H367" s="112" t="str">
        <x:v>GIỮ NGUYÊN - ĐÃ KHỚP</x:v>
      </x:c>
      <x:c r="I367" s="112" t="n">
        <x:v>1300</x:v>
      </x:c>
      <x:c r="J367" s="112" t="str">
        <x:v>g</x:v>
      </x:c>
      <x:c r="K367" s="112" t="str">
        <x:v>CHAI</x:v>
      </x:c>
      <x:c r="L367" s="112" t="n">
        <x:v>16000</x:v>
      </x:c>
      <x:c r="M367" s="112" t="str">
        <x:v>g</x:v>
      </x:c>
      <x:c r="N367" s="112" t="str">
        <x:v>THÙNG</x:v>
      </x:c>
      <x:c r="O367" s="112" t="n">
        <x:v>12</x:v>
      </x:c>
      <x:c r="P367" s="112" t="str">
        <x:v>1300 g / CHAI</x:v>
      </x:c>
      <x:c r="Q367" s="112" t="str">
        <x:v>12 CHAI / THÙNG</x:v>
      </x:c>
      <x:c r="R367" s="112" t="n">
        <x:v>799</x:v>
      </x:c>
      <x:c r="S367" s="113" t="n">
        <x:v>800</x:v>
      </x:c>
    </x:row>
    <x:row r="368">
      <x:c r="A368" s="111" t="n">
        <x:v>368</x:v>
      </x:c>
      <x:c r="B368" s="112" t="str">
        <x:v>MỨT ICEHOT VIỆT QUẤT</x:v>
      </x:c>
      <x:c r="C368" s="112" t="str">
        <x:v>MVQUIH</x:v>
      </x:c>
      <x:c r="D368" s="112" t="str">
        <x:v>MVQUIHT</x:v>
      </x:c>
      <x:c r="E368" s="120"/>
      <x:c r="F368" s="120" t="n">
        <x:v>90000</x:v>
      </x:c>
      <x:c r="G368" s="120" t="n">
        <x:v>90000</x:v>
      </x:c>
      <x:c r="H368" s="112" t="str">
        <x:v>BỔ SUNG GIÁ</x:v>
      </x:c>
      <x:c r="I368" s="112" t="n">
        <x:v>0</x:v>
      </x:c>
      <x:c r="J368" s="112" t="str">
        <x:v>g</x:v>
      </x:c>
      <x:c r="K368" s="112" t="str">
        <x:v>BỊCH</x:v>
      </x:c>
      <x:c r="L368" s="112" t="n">
        <x:v>9000</x:v>
      </x:c>
      <x:c r="M368" s="112" t="str">
        <x:v>g</x:v>
      </x:c>
      <x:c r="N368" s="112" t="str">
        <x:v>THÙNG</x:v>
      </x:c>
      <x:c r="O368" s="112" t="n">
        <x:v>8</x:v>
      </x:c>
      <x:c r="P368" s="112" t="str">
        <x:v>0 g / BỊCH</x:v>
      </x:c>
      <x:c r="Q368" s="112" t="str">
        <x:v>8 BỊCH / THÙNG</x:v>
      </x:c>
      <x:c r="R368" s="112" t="n">
        <x:v>801</x:v>
      </x:c>
      <x:c r="S368" s="113" t="n">
        <x:v>802</x:v>
      </x:c>
    </x:row>
    <x:row r="369">
      <x:c r="A369" s="111" t="n">
        <x:v>369</x:v>
      </x:c>
      <x:c r="B369" s="112" t="str">
        <x:v>MỨT VINA 1L VẢI</x:v>
      </x:c>
      <x:c r="C369" s="112" t="str">
        <x:v>STV1VA</x:v>
      </x:c>
      <x:c r="D369" s="112" t="str">
        <x:v>STV1VAT</x:v>
      </x:c>
      <x:c r="E369" s="120" t="n">
        <x:v>76000</x:v>
      </x:c>
      <x:c r="F369" s="120" t="n">
        <x:v>76000</x:v>
      </x:c>
      <x:c r="G369" s="120" t="n">
        <x:v>76000</x:v>
      </x:c>
      <x:c r="H369" s="112" t="str">
        <x:v>GIỮ NGUYÊN - ĐÃ KHỚP</x:v>
      </x:c>
      <x:c r="I369" s="112" t="n">
        <x:v>1300</x:v>
      </x:c>
      <x:c r="J369" s="112" t="str">
        <x:v>g</x:v>
      </x:c>
      <x:c r="K369" s="112" t="str">
        <x:v>CHAI</x:v>
      </x:c>
      <x:c r="L369" s="112" t="n">
        <x:v>16000</x:v>
      </x:c>
      <x:c r="M369" s="112" t="str">
        <x:v>g</x:v>
      </x:c>
      <x:c r="N369" s="112" t="str">
        <x:v>THÙNG</x:v>
      </x:c>
      <x:c r="O369" s="112" t="n">
        <x:v>12</x:v>
      </x:c>
      <x:c r="P369" s="112" t="str">
        <x:v>1300 g / CHAI</x:v>
      </x:c>
      <x:c r="Q369" s="112" t="str">
        <x:v>12 CHAI / THÙNG</x:v>
      </x:c>
      <x:c r="R369" s="112" t="n">
        <x:v>803</x:v>
      </x:c>
      <x:c r="S369" s="113" t="n">
        <x:v>804</x:v>
      </x:c>
    </x:row>
    <x:row r="370">
      <x:c r="A370" s="111" t="n">
        <x:v>370</x:v>
      </x:c>
      <x:c r="B370" s="112" t="str">
        <x:v>MỨT GOLD VẢI</x:v>
      </x:c>
      <x:c r="C370" s="112" t="str">
        <x:v>STGVAI</x:v>
      </x:c>
      <x:c r="D370" s="112" t="str">
        <x:v>STGVAIT</x:v>
      </x:c>
      <x:c r="E370" s="120" t="n">
        <x:v>122000</x:v>
      </x:c>
      <x:c r="F370" s="120" t="n">
        <x:v>122000</x:v>
      </x:c>
      <x:c r="G370" s="120" t="n">
        <x:v>122000</x:v>
      </x:c>
      <x:c r="H370" s="112" t="str">
        <x:v>GIỮ NGUYÊN - ĐÃ KHỚP</x:v>
      </x:c>
      <x:c r="I370" s="112" t="n">
        <x:v>1300</x:v>
      </x:c>
      <x:c r="J370" s="112" t="str">
        <x:v>g</x:v>
      </x:c>
      <x:c r="K370" s="112" t="str">
        <x:v>CHAI</x:v>
      </x:c>
      <x:c r="L370" s="112" t="n">
        <x:v>16000</x:v>
      </x:c>
      <x:c r="M370" s="112" t="str">
        <x:v>g</x:v>
      </x:c>
      <x:c r="N370" s="112" t="str">
        <x:v>THÙNG</x:v>
      </x:c>
      <x:c r="O370" s="112" t="n">
        <x:v>12</x:v>
      </x:c>
      <x:c r="P370" s="112" t="str">
        <x:v>1300 g / CHAI</x:v>
      </x:c>
      <x:c r="Q370" s="112" t="str">
        <x:v>12 CHAI / THÙNG</x:v>
      </x:c>
      <x:c r="R370" s="112" t="n">
        <x:v>805</x:v>
      </x:c>
      <x:c r="S370" s="113" t="n">
        <x:v>806</x:v>
      </x:c>
    </x:row>
    <x:row r="371">
      <x:c r="A371" s="111" t="n">
        <x:v>371</x:v>
      </x:c>
      <x:c r="B371" s="112" t="str">
        <x:v>MỨT VINA 1L THƠM</x:v>
      </x:c>
      <x:c r="C371" s="112" t="str">
        <x:v>STV1TH</x:v>
      </x:c>
      <x:c r="D371" s="112" t="str">
        <x:v>STV1THT</x:v>
      </x:c>
      <x:c r="E371" s="120"/>
      <x:c r="F371" s="120" t="n">
        <x:v>70000</x:v>
      </x:c>
      <x:c r="G371" s="120" t="n">
        <x:v>70000</x:v>
      </x:c>
      <x:c r="H371" s="112" t="str">
        <x:v>BỔ SUNG GIÁ</x:v>
      </x:c>
      <x:c r="I371" s="112" t="n">
        <x:v>1300</x:v>
      </x:c>
      <x:c r="J371" s="112" t="str">
        <x:v>g</x:v>
      </x:c>
      <x:c r="K371" s="112" t="str">
        <x:v>CHAI</x:v>
      </x:c>
      <x:c r="L371" s="112" t="n">
        <x:v>16000</x:v>
      </x:c>
      <x:c r="M371" s="112" t="str">
        <x:v>g</x:v>
      </x:c>
      <x:c r="N371" s="112" t="str">
        <x:v>THÙNG</x:v>
      </x:c>
      <x:c r="O371" s="112" t="n">
        <x:v>12</x:v>
      </x:c>
      <x:c r="P371" s="112" t="str">
        <x:v>1300 g / CHAI</x:v>
      </x:c>
      <x:c r="Q371" s="112" t="str">
        <x:v>12 CHAI / THÙNG</x:v>
      </x:c>
      <x:c r="R371" s="112" t="n">
        <x:v>807</x:v>
      </x:c>
      <x:c r="S371" s="113" t="n">
        <x:v>808</x:v>
      </x:c>
    </x:row>
    <x:row r="372">
      <x:c r="A372" s="111" t="n">
        <x:v>372</x:v>
      </x:c>
      <x:c r="B372" s="112" t="str">
        <x:v>MỨT GOLD THƠM</x:v>
      </x:c>
      <x:c r="C372" s="112" t="str">
        <x:v>STGTHM</x:v>
      </x:c>
      <x:c r="D372" s="112" t="str">
        <x:v>STGTHMT</x:v>
      </x:c>
      <x:c r="E372" s="120"/>
      <x:c r="F372" s="120" t="n">
        <x:v>105000</x:v>
      </x:c>
      <x:c r="G372" s="120" t="n">
        <x:v>105000</x:v>
      </x:c>
      <x:c r="H372" s="112" t="str">
        <x:v>BỔ SUNG GIÁ</x:v>
      </x:c>
      <x:c r="I372" s="112" t="n">
        <x:v>1300</x:v>
      </x:c>
      <x:c r="J372" s="112" t="str">
        <x:v>g</x:v>
      </x:c>
      <x:c r="K372" s="112" t="str">
        <x:v>CHAI</x:v>
      </x:c>
      <x:c r="L372" s="112" t="n">
        <x:v>16000</x:v>
      </x:c>
      <x:c r="M372" s="112" t="str">
        <x:v>g</x:v>
      </x:c>
      <x:c r="N372" s="112" t="str">
        <x:v>THÙNG</x:v>
      </x:c>
      <x:c r="O372" s="112" t="n">
        <x:v>12</x:v>
      </x:c>
      <x:c r="P372" s="112" t="str">
        <x:v>1300 g / CHAI</x:v>
      </x:c>
      <x:c r="Q372" s="112" t="str">
        <x:v>12 CHAI / THÙNG</x:v>
      </x:c>
      <x:c r="R372" s="112" t="n">
        <x:v>809</x:v>
      </x:c>
      <x:c r="S372" s="113" t="n">
        <x:v>810</x:v>
      </x:c>
    </x:row>
    <x:row r="373">
      <x:c r="A373" s="111" t="n">
        <x:v>373</x:v>
      </x:c>
      <x:c r="B373" s="112" t="str">
        <x:v>MỨT GOLD TÁO XANH</x:v>
      </x:c>
      <x:c r="C373" s="112" t="str">
        <x:v>STGTAO</x:v>
      </x:c>
      <x:c r="D373" s="112" t="str">
        <x:v>STGTAOT</x:v>
      </x:c>
      <x:c r="E373" s="120"/>
      <x:c r="F373" s="120" t="n">
        <x:v>100000</x:v>
      </x:c>
      <x:c r="G373" s="120" t="n">
        <x:v>100000</x:v>
      </x:c>
      <x:c r="H373" s="112" t="str">
        <x:v>BỔ SUNG GIÁ</x:v>
      </x:c>
      <x:c r="I373" s="112" t="n">
        <x:v>1300</x:v>
      </x:c>
      <x:c r="J373" s="112" t="str">
        <x:v>g</x:v>
      </x:c>
      <x:c r="K373" s="112" t="str">
        <x:v>CHAI</x:v>
      </x:c>
      <x:c r="L373" s="112" t="n">
        <x:v>16000</x:v>
      </x:c>
      <x:c r="M373" s="112" t="str">
        <x:v>g</x:v>
      </x:c>
      <x:c r="N373" s="112" t="str">
        <x:v>THÙNG</x:v>
      </x:c>
      <x:c r="O373" s="112" t="n">
        <x:v>12</x:v>
      </x:c>
      <x:c r="P373" s="112" t="str">
        <x:v>1300 g / CHAI</x:v>
      </x:c>
      <x:c r="Q373" s="112" t="str">
        <x:v>12 CHAI / THÙNG</x:v>
      </x:c>
      <x:c r="R373" s="112" t="n">
        <x:v>811</x:v>
      </x:c>
      <x:c r="S373" s="113" t="n">
        <x:v>812</x:v>
      </x:c>
    </x:row>
    <x:row r="374">
      <x:c r="A374" s="111" t="n">
        <x:v>374</x:v>
      </x:c>
      <x:c r="B374" s="112" t="str">
        <x:v>MỨT GOLD PHÚC BỒN TỬ</x:v>
      </x:c>
      <x:c r="C374" s="112" t="str">
        <x:v>STGPBT</x:v>
      </x:c>
      <x:c r="D374" s="112" t="str">
        <x:v>STGPBTT</x:v>
      </x:c>
      <x:c r="E374" s="120" t="n">
        <x:v>120000</x:v>
      </x:c>
      <x:c r="F374" s="120" t="n">
        <x:v>120000</x:v>
      </x:c>
      <x:c r="G374" s="120" t="n">
        <x:v>120000</x:v>
      </x:c>
      <x:c r="H374" s="112" t="str">
        <x:v>GIỮ NGUYÊN - ĐÃ KHỚP</x:v>
      </x:c>
      <x:c r="I374" s="112" t="n">
        <x:v>0</x:v>
      </x:c>
      <x:c r="J374" s="112" t="str">
        <x:v>g</x:v>
      </x:c>
      <x:c r="K374" s="112" t="str">
        <x:v>CHAI</x:v>
      </x:c>
      <x:c r="L374" s="112" t="n">
        <x:v>16000</x:v>
      </x:c>
      <x:c r="M374" s="112" t="str">
        <x:v>g</x:v>
      </x:c>
      <x:c r="N374" s="112" t="str">
        <x:v>THÙNG</x:v>
      </x:c>
      <x:c r="O374" s="112" t="n">
        <x:v>12</x:v>
      </x:c>
      <x:c r="P374" s="112" t="str">
        <x:v>0 g / CHAI</x:v>
      </x:c>
      <x:c r="Q374" s="112" t="str">
        <x:v>12 CHAI / THÙNG</x:v>
      </x:c>
      <x:c r="R374" s="112" t="n">
        <x:v>813</x:v>
      </x:c>
      <x:c r="S374" s="113" t="n">
        <x:v>814</x:v>
      </x:c>
    </x:row>
    <x:row r="375">
      <x:c r="A375" s="111" t="n">
        <x:v>375</x:v>
      </x:c>
      <x:c r="B375" s="112" t="str">
        <x:v>MỨT VINA 1L ỔI</x:v>
      </x:c>
      <x:c r="C375" s="112" t="str">
        <x:v>STV1OI</x:v>
      </x:c>
      <x:c r="D375" s="112" t="str">
        <x:v>STV1OIT</x:v>
      </x:c>
      <x:c r="E375" s="120" t="n">
        <x:v>70000</x:v>
      </x:c>
      <x:c r="F375" s="120" t="n">
        <x:v>70000</x:v>
      </x:c>
      <x:c r="G375" s="120" t="n">
        <x:v>70000</x:v>
      </x:c>
      <x:c r="H375" s="112" t="str">
        <x:v>GIỮ NGUYÊN - ĐÃ KHỚP</x:v>
      </x:c>
      <x:c r="I375" s="112" t="n">
        <x:v>1300</x:v>
      </x:c>
      <x:c r="J375" s="112" t="str">
        <x:v>g</x:v>
      </x:c>
      <x:c r="K375" s="112" t="str">
        <x:v>CHAI</x:v>
      </x:c>
      <x:c r="L375" s="112" t="n">
        <x:v>16000</x:v>
      </x:c>
      <x:c r="M375" s="112" t="str">
        <x:v>g</x:v>
      </x:c>
      <x:c r="N375" s="112" t="str">
        <x:v>THÙNG</x:v>
      </x:c>
      <x:c r="O375" s="112" t="n">
        <x:v>12</x:v>
      </x:c>
      <x:c r="P375" s="112" t="str">
        <x:v>1300 g / CHAI</x:v>
      </x:c>
      <x:c r="Q375" s="112" t="str">
        <x:v>12 CHAI / THÙNG</x:v>
      </x:c>
      <x:c r="R375" s="112" t="n">
        <x:v>815</x:v>
      </x:c>
      <x:c r="S375" s="113" t="n">
        <x:v>816</x:v>
      </x:c>
    </x:row>
    <x:row r="376">
      <x:c r="A376" s="111" t="n">
        <x:v>376</x:v>
      </x:c>
      <x:c r="B376" s="112" t="str">
        <x:v>MỨT GOLD ỔI</x:v>
      </x:c>
      <x:c r="C376" s="112" t="str">
        <x:v>STGOIH</x:v>
      </x:c>
      <x:c r="D376" s="112" t="str">
        <x:v>STGOIHT</x:v>
      </x:c>
      <x:c r="E376" s="120" t="n">
        <x:v>105000</x:v>
      </x:c>
      <x:c r="F376" s="120" t="n">
        <x:v>105000</x:v>
      </x:c>
      <x:c r="G376" s="120" t="n">
        <x:v>105000</x:v>
      </x:c>
      <x:c r="H376" s="112" t="str">
        <x:v>GIỮ NGUYÊN - ĐÃ KHỚP</x:v>
      </x:c>
      <x:c r="I376" s="112" t="n">
        <x:v>1300</x:v>
      </x:c>
      <x:c r="J376" s="112" t="str">
        <x:v>g</x:v>
      </x:c>
      <x:c r="K376" s="112" t="str">
        <x:v>CHAI</x:v>
      </x:c>
      <x:c r="L376" s="112" t="n">
        <x:v>16000</x:v>
      </x:c>
      <x:c r="M376" s="112" t="str">
        <x:v>g</x:v>
      </x:c>
      <x:c r="N376" s="112" t="str">
        <x:v>THÙNG</x:v>
      </x:c>
      <x:c r="O376" s="112" t="n">
        <x:v>12</x:v>
      </x:c>
      <x:c r="P376" s="112" t="str">
        <x:v>1300 g / CHAI</x:v>
      </x:c>
      <x:c r="Q376" s="112" t="str">
        <x:v>12 CHAI / THÙNG</x:v>
      </x:c>
      <x:c r="R376" s="112" t="n">
        <x:v>817</x:v>
      </x:c>
      <x:c r="S376" s="113" t="n">
        <x:v>818</x:v>
      </x:c>
    </x:row>
    <x:row r="377">
      <x:c r="A377" s="111" t="n">
        <x:v>377</x:v>
      </x:c>
      <x:c r="B377" s="112" t="str">
        <x:v>MỨT GOLD NHO</x:v>
      </x:c>
      <x:c r="C377" s="112" t="str">
        <x:v>STGNHO</x:v>
      </x:c>
      <x:c r="D377" s="112" t="str">
        <x:v>STGNHOT</x:v>
      </x:c>
      <x:c r="E377" s="120" t="n">
        <x:v>103000</x:v>
      </x:c>
      <x:c r="F377" s="120" t="n">
        <x:v>103000</x:v>
      </x:c>
      <x:c r="G377" s="120" t="n">
        <x:v>103000</x:v>
      </x:c>
      <x:c r="H377" s="112" t="str">
        <x:v>GIỮ NGUYÊN - ĐÃ KHỚP</x:v>
      </x:c>
      <x:c r="I377" s="112" t="n">
        <x:v>1300</x:v>
      </x:c>
      <x:c r="J377" s="112" t="str">
        <x:v>g</x:v>
      </x:c>
      <x:c r="K377" s="112" t="str">
        <x:v>CHAI</x:v>
      </x:c>
      <x:c r="L377" s="112" t="n">
        <x:v>16000</x:v>
      </x:c>
      <x:c r="M377" s="112" t="str">
        <x:v>g</x:v>
      </x:c>
      <x:c r="N377" s="112" t="str">
        <x:v>THÙNG</x:v>
      </x:c>
      <x:c r="O377" s="112" t="n">
        <x:v>12</x:v>
      </x:c>
      <x:c r="P377" s="112" t="str">
        <x:v>1300 g / CHAI</x:v>
      </x:c>
      <x:c r="Q377" s="112" t="str">
        <x:v>12 CHAI / THÙNG</x:v>
      </x:c>
      <x:c r="R377" s="112" t="n">
        <x:v>819</x:v>
      </x:c>
      <x:c r="S377" s="113" t="n">
        <x:v>820</x:v>
      </x:c>
    </x:row>
    <x:row r="378">
      <x:c r="A378" s="111" t="n">
        <x:v>378</x:v>
      </x:c>
      <x:c r="B378" s="112" t="str">
        <x:v>MỨT GOLD NHÃN</x:v>
      </x:c>
      <x:c r="C378" s="112" t="str">
        <x:v>STGNHN</x:v>
      </x:c>
      <x:c r="D378" s="112" t="str">
        <x:v>STGNHNT</x:v>
      </x:c>
      <x:c r="E378" s="120"/>
      <x:c r="F378" s="120" t="n">
        <x:v>120000</x:v>
      </x:c>
      <x:c r="G378" s="120" t="n">
        <x:v>120000</x:v>
      </x:c>
      <x:c r="H378" s="112" t="str">
        <x:v>BỔ SUNG GIÁ</x:v>
      </x:c>
      <x:c r="I378" s="112" t="n">
        <x:v>1300</x:v>
      </x:c>
      <x:c r="J378" s="112" t="str">
        <x:v>g</x:v>
      </x:c>
      <x:c r="K378" s="112" t="str">
        <x:v>CHAI</x:v>
      </x:c>
      <x:c r="L378" s="112" t="n">
        <x:v>16000</x:v>
      </x:c>
      <x:c r="M378" s="112" t="str">
        <x:v>g</x:v>
      </x:c>
      <x:c r="N378" s="112" t="str">
        <x:v>THÙNG</x:v>
      </x:c>
      <x:c r="O378" s="112" t="n">
        <x:v>12</x:v>
      </x:c>
      <x:c r="P378" s="112" t="str">
        <x:v>1300 g / CHAI</x:v>
      </x:c>
      <x:c r="Q378" s="112" t="str">
        <x:v>12 CHAI / THÙNG</x:v>
      </x:c>
      <x:c r="R378" s="112" t="n">
        <x:v>821</x:v>
      </x:c>
      <x:c r="S378" s="113" t="n">
        <x:v>822</x:v>
      </x:c>
    </x:row>
    <x:row r="379">
      <x:c r="A379" s="111" t="n">
        <x:v>379</x:v>
      </x:c>
      <x:c r="B379" s="112" t="str">
        <x:v>MỨT VINA 1L MÃNG CẦU</x:v>
      </x:c>
      <x:c r="C379" s="112" t="str">
        <x:v>STV1MC</x:v>
      </x:c>
      <x:c r="D379" s="112" t="str">
        <x:v>STV1MCT</x:v>
      </x:c>
      <x:c r="E379" s="120" t="n">
        <x:v>80000</x:v>
      </x:c>
      <x:c r="F379" s="120" t="n">
        <x:v>80000</x:v>
      </x:c>
      <x:c r="G379" s="120" t="n">
        <x:v>80000</x:v>
      </x:c>
      <x:c r="H379" s="112" t="str">
        <x:v>GIỮ NGUYÊN - ĐÃ KHỚP</x:v>
      </x:c>
      <x:c r="I379" s="112" t="n">
        <x:v>1300</x:v>
      </x:c>
      <x:c r="J379" s="112" t="str">
        <x:v>g</x:v>
      </x:c>
      <x:c r="K379" s="112" t="str">
        <x:v>CHAI</x:v>
      </x:c>
      <x:c r="L379" s="112" t="n">
        <x:v>16000</x:v>
      </x:c>
      <x:c r="M379" s="112" t="str">
        <x:v>g</x:v>
      </x:c>
      <x:c r="N379" s="112" t="str">
        <x:v>THÙNG</x:v>
      </x:c>
      <x:c r="O379" s="112" t="n">
        <x:v>12</x:v>
      </x:c>
      <x:c r="P379" s="112" t="str">
        <x:v>1300 g / CHAI</x:v>
      </x:c>
      <x:c r="Q379" s="112" t="str">
        <x:v>12 CHAI / THÙNG</x:v>
      </x:c>
      <x:c r="R379" s="112" t="n">
        <x:v>823</x:v>
      </x:c>
      <x:c r="S379" s="113" t="n">
        <x:v>824</x:v>
      </x:c>
    </x:row>
    <x:row r="380">
      <x:c r="A380" s="111" t="n">
        <x:v>380</x:v>
      </x:c>
      <x:c r="B380" s="112" t="str">
        <x:v>MỨT GOLD MÃNG CẦU</x:v>
      </x:c>
      <x:c r="C380" s="112" t="str">
        <x:v>STGMCA</x:v>
      </x:c>
      <x:c r="D380" s="112" t="str">
        <x:v>STGMCAT</x:v>
      </x:c>
      <x:c r="E380" s="120" t="n">
        <x:v>117000</x:v>
      </x:c>
      <x:c r="F380" s="120" t="n">
        <x:v>117000</x:v>
      </x:c>
      <x:c r="G380" s="120" t="n">
        <x:v>117000</x:v>
      </x:c>
      <x:c r="H380" s="112" t="str">
        <x:v>GIỮ NGUYÊN - ĐÃ KHỚP</x:v>
      </x:c>
      <x:c r="I380" s="112" t="n">
        <x:v>1300</x:v>
      </x:c>
      <x:c r="J380" s="112" t="str">
        <x:v>g</x:v>
      </x:c>
      <x:c r="K380" s="112" t="str">
        <x:v>CHAI</x:v>
      </x:c>
      <x:c r="L380" s="112" t="n">
        <x:v>16000</x:v>
      </x:c>
      <x:c r="M380" s="112" t="str">
        <x:v>g</x:v>
      </x:c>
      <x:c r="N380" s="112" t="str">
        <x:v>THÙNG</x:v>
      </x:c>
      <x:c r="O380" s="112" t="n">
        <x:v>12</x:v>
      </x:c>
      <x:c r="P380" s="112" t="str">
        <x:v>1300 g / CHAI</x:v>
      </x:c>
      <x:c r="Q380" s="112" t="str">
        <x:v>12 CHAI / THÙNG</x:v>
      </x:c>
      <x:c r="R380" s="112" t="n">
        <x:v>825</x:v>
      </x:c>
      <x:c r="S380" s="113" t="n">
        <x:v>826</x:v>
      </x:c>
    </x:row>
    <x:row r="381">
      <x:c r="A381" s="111" t="n">
        <x:v>381</x:v>
      </x:c>
      <x:c r="B381" s="112" t="str">
        <x:v>MỨT VINA 1L LỰU</x:v>
      </x:c>
      <x:c r="C381" s="112" t="str">
        <x:v>STV1LU</x:v>
      </x:c>
      <x:c r="D381" s="112" t="str">
        <x:v>STV1LUT</x:v>
      </x:c>
      <x:c r="E381" s="120"/>
      <x:c r="F381" s="120" t="n">
        <x:v>94000</x:v>
      </x:c>
      <x:c r="G381" s="120" t="n">
        <x:v>94000</x:v>
      </x:c>
      <x:c r="H381" s="112" t="str">
        <x:v>BỔ SUNG GIÁ</x:v>
      </x:c>
      <x:c r="I381" s="112" t="n">
        <x:v>1300</x:v>
      </x:c>
      <x:c r="J381" s="112" t="str">
        <x:v>g</x:v>
      </x:c>
      <x:c r="K381" s="112" t="str">
        <x:v>CHAI</x:v>
      </x:c>
      <x:c r="L381" s="112" t="n">
        <x:v>16000</x:v>
      </x:c>
      <x:c r="M381" s="112" t="str">
        <x:v>g</x:v>
      </x:c>
      <x:c r="N381" s="112" t="str">
        <x:v>THÙNG</x:v>
      </x:c>
      <x:c r="O381" s="112" t="n">
        <x:v>12</x:v>
      </x:c>
      <x:c r="P381" s="112" t="str">
        <x:v>1300 g / CHAI</x:v>
      </x:c>
      <x:c r="Q381" s="112" t="str">
        <x:v>12 CHAI / THÙNG</x:v>
      </x:c>
      <x:c r="R381" s="112" t="n">
        <x:v>827</x:v>
      </x:c>
      <x:c r="S381" s="113" t="n">
        <x:v>828</x:v>
      </x:c>
    </x:row>
    <x:row r="382">
      <x:c r="A382" s="111" t="n">
        <x:v>382</x:v>
      </x:c>
      <x:c r="B382" s="112" t="str">
        <x:v>MỨT VINA 1L KIWI</x:v>
      </x:c>
      <x:c r="C382" s="112" t="str">
        <x:v>STV1KW</x:v>
      </x:c>
      <x:c r="D382" s="112" t="str">
        <x:v>STV1KWT</x:v>
      </x:c>
      <x:c r="E382" s="120" t="n">
        <x:v>82000</x:v>
      </x:c>
      <x:c r="F382" s="120" t="n">
        <x:v>88000</x:v>
      </x:c>
      <x:c r="G382" s="120" t="n">
        <x:v>88000</x:v>
      </x:c>
      <x:c r="H382" s="112" t="str">
        <x:v>CẬP NHẬT GIÁ</x:v>
      </x:c>
      <x:c r="I382" s="112" t="n">
        <x:v>1300</x:v>
      </x:c>
      <x:c r="J382" s="112" t="str">
        <x:v>g</x:v>
      </x:c>
      <x:c r="K382" s="112" t="str">
        <x:v>CHAI</x:v>
      </x:c>
      <x:c r="L382" s="112" t="n">
        <x:v>16000</x:v>
      </x:c>
      <x:c r="M382" s="112" t="str">
        <x:v>g</x:v>
      </x:c>
      <x:c r="N382" s="112" t="str">
        <x:v>THÙNG</x:v>
      </x:c>
      <x:c r="O382" s="112" t="n">
        <x:v>12</x:v>
      </x:c>
      <x:c r="P382" s="112" t="str">
        <x:v>1300 g / CHAI</x:v>
      </x:c>
      <x:c r="Q382" s="112" t="str">
        <x:v>12 CHAI / THÙNG</x:v>
      </x:c>
      <x:c r="R382" s="112" t="n">
        <x:v>829</x:v>
      </x:c>
      <x:c r="S382" s="113" t="n">
        <x:v>830</x:v>
      </x:c>
    </x:row>
    <x:row r="383">
      <x:c r="A383" s="111" t="n">
        <x:v>383</x:v>
      </x:c>
      <x:c r="B383" s="112" t="str">
        <x:v>MỨT GOLD KIWI</x:v>
      </x:c>
      <x:c r="C383" s="112" t="str">
        <x:v>STGKWI</x:v>
      </x:c>
      <x:c r="D383" s="112" t="str">
        <x:v>STGKWIT</x:v>
      </x:c>
      <x:c r="E383" s="120" t="n">
        <x:v>100000</x:v>
      </x:c>
      <x:c r="F383" s="120" t="n">
        <x:v>100000</x:v>
      </x:c>
      <x:c r="G383" s="120" t="n">
        <x:v>100000</x:v>
      </x:c>
      <x:c r="H383" s="112" t="str">
        <x:v>GIỮ NGUYÊN - ĐÃ KHỚP</x:v>
      </x:c>
      <x:c r="I383" s="112" t="n">
        <x:v>1300</x:v>
      </x:c>
      <x:c r="J383" s="112" t="str">
        <x:v>g</x:v>
      </x:c>
      <x:c r="K383" s="112" t="str">
        <x:v>CHAI</x:v>
      </x:c>
      <x:c r="L383" s="112" t="n">
        <x:v>16000</x:v>
      </x:c>
      <x:c r="M383" s="112" t="str">
        <x:v>g</x:v>
      </x:c>
      <x:c r="N383" s="112" t="str">
        <x:v>THÙNG</x:v>
      </x:c>
      <x:c r="O383" s="112" t="n">
        <x:v>12</x:v>
      </x:c>
      <x:c r="P383" s="112" t="str">
        <x:v>1300 g / CHAI</x:v>
      </x:c>
      <x:c r="Q383" s="112" t="str">
        <x:v>12 CHAI / THÙNG</x:v>
      </x:c>
      <x:c r="R383" s="112" t="n">
        <x:v>831</x:v>
      </x:c>
      <x:c r="S383" s="113" t="n">
        <x:v>832</x:v>
      </x:c>
    </x:row>
    <x:row r="384">
      <x:c r="A384" s="111" t="n">
        <x:v>384</x:v>
      </x:c>
      <x:c r="B384" s="112" t="str">
        <x:v>MỨT VINA 1L ĐÀO</x:v>
      </x:c>
      <x:c r="C384" s="112" t="str">
        <x:v>STV1DO</x:v>
      </x:c>
      <x:c r="D384" s="112" t="str">
        <x:v>STV1DOT</x:v>
      </x:c>
      <x:c r="E384" s="120"/>
      <x:c r="F384" s="120" t="n">
        <x:v>70000</x:v>
      </x:c>
      <x:c r="G384" s="120" t="n">
        <x:v>70000</x:v>
      </x:c>
      <x:c r="H384" s="112" t="str">
        <x:v>BỔ SUNG GIÁ</x:v>
      </x:c>
      <x:c r="I384" s="112" t="n">
        <x:v>1300</x:v>
      </x:c>
      <x:c r="J384" s="112" t="str">
        <x:v>g</x:v>
      </x:c>
      <x:c r="K384" s="112" t="str">
        <x:v>CHAI</x:v>
      </x:c>
      <x:c r="L384" s="112" t="n">
        <x:v>16000</x:v>
      </x:c>
      <x:c r="M384" s="112" t="str">
        <x:v>g</x:v>
      </x:c>
      <x:c r="N384" s="112" t="str">
        <x:v>THÙNG</x:v>
      </x:c>
      <x:c r="O384" s="112" t="n">
        <x:v>12</x:v>
      </x:c>
      <x:c r="P384" s="112" t="str">
        <x:v>1300 g / CHAI</x:v>
      </x:c>
      <x:c r="Q384" s="112" t="str">
        <x:v>12 CHAI / THÙNG</x:v>
      </x:c>
      <x:c r="R384" s="112" t="n">
        <x:v>833</x:v>
      </x:c>
      <x:c r="S384" s="113" t="n">
        <x:v>834</x:v>
      </x:c>
    </x:row>
    <x:row r="385">
      <x:c r="A385" s="111" t="n">
        <x:v>385</x:v>
      </x:c>
      <x:c r="B385" s="112" t="str">
        <x:v>MỨT ICEHOT ĐÀO</x:v>
      </x:c>
      <x:c r="C385" s="112" t="str">
        <x:v>MDAOIH</x:v>
      </x:c>
      <x:c r="D385" s="112" t="str">
        <x:v>MDAOIHT</x:v>
      </x:c>
      <x:c r="E385" s="120"/>
      <x:c r="F385" s="120" t="n">
        <x:v>70000</x:v>
      </x:c>
      <x:c r="G385" s="120" t="n">
        <x:v>70000</x:v>
      </x:c>
      <x:c r="H385" s="112" t="str">
        <x:v>BỔ SUNG GIÁ</x:v>
      </x:c>
      <x:c r="I385" s="112" t="n">
        <x:v>0</x:v>
      </x:c>
      <x:c r="J385" s="112" t="str">
        <x:v>g</x:v>
      </x:c>
      <x:c r="K385" s="112" t="str">
        <x:v>BỊCH</x:v>
      </x:c>
      <x:c r="L385" s="112" t="n">
        <x:v>9000</x:v>
      </x:c>
      <x:c r="M385" s="112" t="str">
        <x:v>g</x:v>
      </x:c>
      <x:c r="N385" s="112" t="str">
        <x:v>THÙNG</x:v>
      </x:c>
      <x:c r="O385" s="112" t="n">
        <x:v>8</x:v>
      </x:c>
      <x:c r="P385" s="112" t="str">
        <x:v>0 g / BỊCH</x:v>
      </x:c>
      <x:c r="Q385" s="112" t="str">
        <x:v>8 BỊCH / THÙNG</x:v>
      </x:c>
      <x:c r="R385" s="112" t="n">
        <x:v>835</x:v>
      </x:c>
      <x:c r="S385" s="113" t="n">
        <x:v>836</x:v>
      </x:c>
    </x:row>
    <x:row r="386">
      <x:c r="A386" s="111" t="n">
        <x:v>386</x:v>
      </x:c>
      <x:c r="B386" s="112" t="str">
        <x:v>MỨT GOLD ĐÀO</x:v>
      </x:c>
      <x:c r="C386" s="112" t="str">
        <x:v>STGDAO</x:v>
      </x:c>
      <x:c r="D386" s="112" t="str">
        <x:v>STGDAOT</x:v>
      </x:c>
      <x:c r="E386" s="120" t="n">
        <x:v>95000</x:v>
      </x:c>
      <x:c r="F386" s="120" t="n">
        <x:v>95000</x:v>
      </x:c>
      <x:c r="G386" s="120" t="n">
        <x:v>95000</x:v>
      </x:c>
      <x:c r="H386" s="112" t="str">
        <x:v>GIỮ NGUYÊN - ĐÃ KHỚP</x:v>
      </x:c>
      <x:c r="I386" s="112" t="n">
        <x:v>1300</x:v>
      </x:c>
      <x:c r="J386" s="112" t="str">
        <x:v>g</x:v>
      </x:c>
      <x:c r="K386" s="112" t="str">
        <x:v>CHAI</x:v>
      </x:c>
      <x:c r="L386" s="112" t="n">
        <x:v>16000</x:v>
      </x:c>
      <x:c r="M386" s="112" t="str">
        <x:v>g</x:v>
      </x:c>
      <x:c r="N386" s="112" t="str">
        <x:v>THÙNG</x:v>
      </x:c>
      <x:c r="O386" s="112" t="n">
        <x:v>12</x:v>
      </x:c>
      <x:c r="P386" s="112" t="str">
        <x:v>1300 g / CHAI</x:v>
      </x:c>
      <x:c r="Q386" s="112" t="str">
        <x:v>12 CHAI / THÙNG</x:v>
      </x:c>
      <x:c r="R386" s="112" t="n">
        <x:v>837</x:v>
      </x:c>
      <x:c r="S386" s="113" t="n">
        <x:v>838</x:v>
      </x:c>
    </x:row>
    <x:row r="387">
      <x:c r="A387" s="111" t="n">
        <x:v>387</x:v>
      </x:c>
      <x:c r="B387" s="112" t="str">
        <x:v>MỨT GOLD DƯA LƯỚI XANH</x:v>
      </x:c>
      <x:c r="C387" s="112" t="str">
        <x:v>STGDLU</x:v>
      </x:c>
      <x:c r="D387" s="112" t="str">
        <x:v>STGDLUT</x:v>
      </x:c>
      <x:c r="E387" s="120"/>
      <x:c r="F387" s="120" t="n">
        <x:v>105000</x:v>
      </x:c>
      <x:c r="G387" s="120" t="n">
        <x:v>105000</x:v>
      </x:c>
      <x:c r="H387" s="112" t="str">
        <x:v>BỔ SUNG GIÁ</x:v>
      </x:c>
      <x:c r="I387" s="112" t="n">
        <x:v>0</x:v>
      </x:c>
      <x:c r="J387" s="112" t="str">
        <x:v>g</x:v>
      </x:c>
      <x:c r="K387" s="112" t="str">
        <x:v>CHAI</x:v>
      </x:c>
      <x:c r="L387" s="112" t="n">
        <x:v>16000</x:v>
      </x:c>
      <x:c r="M387" s="112" t="str">
        <x:v>g</x:v>
      </x:c>
      <x:c r="N387" s="112" t="str">
        <x:v>THÙNG</x:v>
      </x:c>
      <x:c r="O387" s="112" t="n">
        <x:v>12</x:v>
      </x:c>
      <x:c r="P387" s="112" t="str">
        <x:v>0 g / CHAI</x:v>
      </x:c>
      <x:c r="Q387" s="112" t="str">
        <x:v>12 CHAI / THÙNG</x:v>
      </x:c>
      <x:c r="R387" s="112" t="n">
        <x:v>839</x:v>
      </x:c>
      <x:c r="S387" s="113" t="n">
        <x:v>840</x:v>
      </x:c>
    </x:row>
    <x:row r="388">
      <x:c r="A388" s="111" t="n">
        <x:v>388</x:v>
      </x:c>
      <x:c r="B388" s="112" t="str">
        <x:v>MỨT VINA 1L DƯA LƯỚI</x:v>
      </x:c>
      <x:c r="C388" s="112" t="str">
        <x:v>STV1DL</x:v>
      </x:c>
      <x:c r="D388" s="112" t="str">
        <x:v>STV1DLT</x:v>
      </x:c>
      <x:c r="E388" s="120"/>
      <x:c r="F388" s="120" t="n">
        <x:v>80000</x:v>
      </x:c>
      <x:c r="G388" s="120" t="n">
        <x:v>80000</x:v>
      </x:c>
      <x:c r="H388" s="112" t="str">
        <x:v>BỔ SUNG GIÁ</x:v>
      </x:c>
      <x:c r="I388" s="112" t="n">
        <x:v>1300</x:v>
      </x:c>
      <x:c r="J388" s="112" t="str">
        <x:v>g</x:v>
      </x:c>
      <x:c r="K388" s="112" t="str">
        <x:v>CHAI</x:v>
      </x:c>
      <x:c r="L388" s="112" t="n">
        <x:v>16000</x:v>
      </x:c>
      <x:c r="M388" s="112" t="str">
        <x:v>g</x:v>
      </x:c>
      <x:c r="N388" s="112" t="str">
        <x:v>THÙNG</x:v>
      </x:c>
      <x:c r="O388" s="112" t="n">
        <x:v>12</x:v>
      </x:c>
      <x:c r="P388" s="112" t="str">
        <x:v>1300 g / CHAI</x:v>
      </x:c>
      <x:c r="Q388" s="112" t="str">
        <x:v>12 CHAI / THÙNG</x:v>
      </x:c>
      <x:c r="R388" s="112" t="n">
        <x:v>841</x:v>
      </x:c>
      <x:c r="S388" s="113" t="n">
        <x:v>842</x:v>
      </x:c>
    </x:row>
    <x:row r="389">
      <x:c r="A389" s="111" t="n">
        <x:v>389</x:v>
      </x:c>
      <x:c r="B389" s="112" t="str">
        <x:v>MỨT DOUXIAN ĐƯỜNG ĐEN</x:v>
      </x:c>
      <x:c r="C389" s="112" t="str">
        <x:v>STDXDD</x:v>
      </x:c>
      <x:c r="D389" s="112" t="str">
        <x:v>STDXDDT</x:v>
      </x:c>
      <x:c r="E389" s="120"/>
      <x:c r="F389" s="120" t="n">
        <x:v>0</x:v>
      </x:c>
      <x:c r="G389" s="120"/>
      <x:c r="H389" s="112" t="str">
        <x:v>DS SP GIÁ 0 - VẪN THIẾU GIÁ</x:v>
      </x:c>
      <x:c r="I389" s="112" t="n">
        <x:v>0</x:v>
      </x:c>
      <x:c r="J389" s="112" t="str">
        <x:v>g</x:v>
      </x:c>
      <x:c r="K389" s="112" t="str">
        <x:v>CHAI</x:v>
      </x:c>
      <x:c r="L389" s="112" t="n">
        <x:v>16000</x:v>
      </x:c>
      <x:c r="M389" s="112" t="str">
        <x:v>g</x:v>
      </x:c>
      <x:c r="N389" s="112" t="str">
        <x:v>THÙNG</x:v>
      </x:c>
      <x:c r="O389" s="112" t="n">
        <x:v>12</x:v>
      </x:c>
      <x:c r="P389" s="112" t="str">
        <x:v>0 g / CHAI</x:v>
      </x:c>
      <x:c r="Q389" s="112" t="str">
        <x:v>12 CHAI / THÙNG</x:v>
      </x:c>
      <x:c r="R389" s="112" t="n">
        <x:v>843</x:v>
      </x:c>
      <x:c r="S389" s="113" t="n">
        <x:v>844</x:v>
      </x:c>
    </x:row>
    <x:row r="390">
      <x:c r="A390" s="111" t="n">
        <x:v>390</x:v>
      </x:c>
      <x:c r="B390" s="112" t="str">
        <x:v>MỨT DOUXIAN ĐÀO</x:v>
      </x:c>
      <x:c r="C390" s="112" t="str">
        <x:v>STDXDO</x:v>
      </x:c>
      <x:c r="D390" s="112" t="str">
        <x:v>STDXDOT</x:v>
      </x:c>
      <x:c r="E390" s="120"/>
      <x:c r="F390" s="120" t="n">
        <x:v>0</x:v>
      </x:c>
      <x:c r="G390" s="120"/>
      <x:c r="H390" s="112" t="str">
        <x:v>DS SP GIÁ 0 - VẪN THIẾU GIÁ</x:v>
      </x:c>
      <x:c r="I390" s="112" t="n">
        <x:v>0</x:v>
      </x:c>
      <x:c r="J390" s="112" t="str">
        <x:v>g</x:v>
      </x:c>
      <x:c r="K390" s="112" t="str">
        <x:v>CHAI</x:v>
      </x:c>
      <x:c r="L390" s="112" t="n">
        <x:v>16000</x:v>
      </x:c>
      <x:c r="M390" s="112" t="str">
        <x:v>g</x:v>
      </x:c>
      <x:c r="N390" s="112" t="str">
        <x:v>THÙNG</x:v>
      </x:c>
      <x:c r="O390" s="112" t="n">
        <x:v>12</x:v>
      </x:c>
      <x:c r="P390" s="112" t="str">
        <x:v>0 g / CHAI</x:v>
      </x:c>
      <x:c r="Q390" s="112" t="str">
        <x:v>12 CHAI / THÙNG</x:v>
      </x:c>
      <x:c r="R390" s="112" t="n">
        <x:v>845</x:v>
      </x:c>
      <x:c r="S390" s="113" t="n">
        <x:v>846</x:v>
      </x:c>
    </x:row>
    <x:row r="391">
      <x:c r="A391" s="111" t="n">
        <x:v>391</x:v>
      </x:c>
      <x:c r="B391" s="112" t="str">
        <x:v>MỨT DOUXIAN DÂU</x:v>
      </x:c>
      <x:c r="C391" s="112" t="str">
        <x:v>STDXDA</x:v>
      </x:c>
      <x:c r="D391" s="112" t="str">
        <x:v>STDXDAT</x:v>
      </x:c>
      <x:c r="E391" s="120"/>
      <x:c r="F391" s="120" t="n">
        <x:v>0</x:v>
      </x:c>
      <x:c r="G391" s="120"/>
      <x:c r="H391" s="112" t="str">
        <x:v>DS SP GIÁ 0 - VẪN THIẾU GIÁ</x:v>
      </x:c>
      <x:c r="I391" s="112" t="n">
        <x:v>0</x:v>
      </x:c>
      <x:c r="J391" s="112" t="str">
        <x:v>g</x:v>
      </x:c>
      <x:c r="K391" s="112" t="str">
        <x:v>CHAI</x:v>
      </x:c>
      <x:c r="L391" s="112" t="n">
        <x:v>16000</x:v>
      </x:c>
      <x:c r="M391" s="112" t="str">
        <x:v>g</x:v>
      </x:c>
      <x:c r="N391" s="112" t="str">
        <x:v>THÙNG</x:v>
      </x:c>
      <x:c r="O391" s="112" t="n">
        <x:v>12</x:v>
      </x:c>
      <x:c r="P391" s="112" t="str">
        <x:v>0 g / CHAI</x:v>
      </x:c>
      <x:c r="Q391" s="112" t="str">
        <x:v>12 CHAI / THÙNG</x:v>
      </x:c>
      <x:c r="R391" s="112" t="n">
        <x:v>847</x:v>
      </x:c>
      <x:c r="S391" s="113" t="n">
        <x:v>848</x:v>
      </x:c>
    </x:row>
    <x:row r="392">
      <x:c r="A392" s="111" t="n">
        <x:v>392</x:v>
      </x:c>
      <x:c r="B392" s="112" t="str">
        <x:v>MỨT DOUXIAN CHANH DÂY</x:v>
      </x:c>
      <x:c r="C392" s="112" t="str">
        <x:v>STDXCD</x:v>
      </x:c>
      <x:c r="D392" s="112" t="str">
        <x:v>STDXCDT</x:v>
      </x:c>
      <x:c r="E392" s="120"/>
      <x:c r="F392" s="120" t="n">
        <x:v>0</x:v>
      </x:c>
      <x:c r="G392" s="120"/>
      <x:c r="H392" s="112" t="str">
        <x:v>DS SP GIÁ 0 - VẪN THIẾU GIÁ</x:v>
      </x:c>
      <x:c r="I392" s="112" t="n">
        <x:v>0</x:v>
      </x:c>
      <x:c r="J392" s="112" t="str">
        <x:v>g</x:v>
      </x:c>
      <x:c r="K392" s="112" t="str">
        <x:v>CHAI</x:v>
      </x:c>
      <x:c r="L392" s="112" t="n">
        <x:v>16000</x:v>
      </x:c>
      <x:c r="M392" s="112" t="str">
        <x:v>g</x:v>
      </x:c>
      <x:c r="N392" s="112" t="str">
        <x:v>THÙNG</x:v>
      </x:c>
      <x:c r="O392" s="112" t="n">
        <x:v>12</x:v>
      </x:c>
      <x:c r="P392" s="112" t="str">
        <x:v>0 g / CHAI</x:v>
      </x:c>
      <x:c r="Q392" s="112" t="str">
        <x:v>12 CHAI / THÙNG</x:v>
      </x:c>
      <x:c r="R392" s="112" t="n">
        <x:v>849</x:v>
      </x:c>
      <x:c r="S392" s="113" t="n">
        <x:v>850</x:v>
      </x:c>
    </x:row>
    <x:row r="393">
      <x:c r="A393" s="111" t="n">
        <x:v>393</x:v>
      </x:c>
      <x:c r="B393" s="112" t="str">
        <x:v>MỨT VINA 1L DÂU</x:v>
      </x:c>
      <x:c r="C393" s="112" t="str">
        <x:v>STV1DA</x:v>
      </x:c>
      <x:c r="D393" s="112" t="str">
        <x:v>STV1DAT</x:v>
      </x:c>
      <x:c r="E393" s="120" t="n">
        <x:v>70000</x:v>
      </x:c>
      <x:c r="F393" s="120" t="n">
        <x:v>70000</x:v>
      </x:c>
      <x:c r="G393" s="120" t="n">
        <x:v>70000</x:v>
      </x:c>
      <x:c r="H393" s="112" t="str">
        <x:v>GIỮ NGUYÊN - ĐÃ KHỚP</x:v>
      </x:c>
      <x:c r="I393" s="112" t="n">
        <x:v>1300</x:v>
      </x:c>
      <x:c r="J393" s="112" t="str">
        <x:v>g</x:v>
      </x:c>
      <x:c r="K393" s="112" t="str">
        <x:v>CHAI</x:v>
      </x:c>
      <x:c r="L393" s="112" t="n">
        <x:v>16000</x:v>
      </x:c>
      <x:c r="M393" s="112" t="str">
        <x:v>g</x:v>
      </x:c>
      <x:c r="N393" s="112" t="str">
        <x:v>THÙNG</x:v>
      </x:c>
      <x:c r="O393" s="112" t="n">
        <x:v>12</x:v>
      </x:c>
      <x:c r="P393" s="112" t="str">
        <x:v>1300 g / CHAI</x:v>
      </x:c>
      <x:c r="Q393" s="112" t="str">
        <x:v>12 CHAI / THÙNG</x:v>
      </x:c>
      <x:c r="R393" s="112" t="n">
        <x:v>851</x:v>
      </x:c>
      <x:c r="S393" s="113" t="n">
        <x:v>852</x:v>
      </x:c>
    </x:row>
    <x:row r="394">
      <x:c r="A394" s="111" t="n">
        <x:v>394</x:v>
      </x:c>
      <x:c r="B394" s="112" t="str">
        <x:v>MỨT VINA 1L DÂU TẰM</x:v>
      </x:c>
      <x:c r="C394" s="112" t="str">
        <x:v>STV1DT</x:v>
      </x:c>
      <x:c r="D394" s="112" t="str">
        <x:v>STV1DTT</x:v>
      </x:c>
      <x:c r="E394" s="120" t="n">
        <x:v>70000</x:v>
      </x:c>
      <x:c r="F394" s="120" t="n">
        <x:v>86000</x:v>
      </x:c>
      <x:c r="G394" s="120" t="n">
        <x:v>86000</x:v>
      </x:c>
      <x:c r="H394" s="112" t="str">
        <x:v>CẬP NHẬT GIÁ</x:v>
      </x:c>
      <x:c r="I394" s="112" t="n">
        <x:v>1300</x:v>
      </x:c>
      <x:c r="J394" s="112" t="str">
        <x:v>g</x:v>
      </x:c>
      <x:c r="K394" s="112" t="str">
        <x:v>CHAI</x:v>
      </x:c>
      <x:c r="L394" s="112" t="n">
        <x:v>16000</x:v>
      </x:c>
      <x:c r="M394" s="112" t="str">
        <x:v>g</x:v>
      </x:c>
      <x:c r="N394" s="112" t="str">
        <x:v>THÙNG</x:v>
      </x:c>
      <x:c r="O394" s="112" t="n">
        <x:v>12</x:v>
      </x:c>
      <x:c r="P394" s="112" t="str">
        <x:v>1300 g / CHAI</x:v>
      </x:c>
      <x:c r="Q394" s="112" t="str">
        <x:v>12 CHAI / THÙNG</x:v>
      </x:c>
      <x:c r="R394" s="112" t="n">
        <x:v>853</x:v>
      </x:c>
      <x:c r="S394" s="113" t="n">
        <x:v>854</x:v>
      </x:c>
    </x:row>
    <x:row r="395">
      <x:c r="A395" s="111" t="n">
        <x:v>395</x:v>
      </x:c>
      <x:c r="B395" s="112" t="str">
        <x:v>MỨT GOLD DÂU TẰM</x:v>
      </x:c>
      <x:c r="C395" s="112" t="str">
        <x:v>STGDTM</x:v>
      </x:c>
      <x:c r="D395" s="112" t="str">
        <x:v>STGDTMT</x:v>
      </x:c>
      <x:c r="E395" s="120" t="n">
        <x:v>100000</x:v>
      </x:c>
      <x:c r="F395" s="120" t="n">
        <x:v>100000</x:v>
      </x:c>
      <x:c r="G395" s="120" t="n">
        <x:v>100000</x:v>
      </x:c>
      <x:c r="H395" s="112" t="str">
        <x:v>GIỮ NGUYÊN - ĐÃ KHỚP</x:v>
      </x:c>
      <x:c r="I395" s="112" t="n">
        <x:v>1300</x:v>
      </x:c>
      <x:c r="J395" s="112" t="str">
        <x:v>g</x:v>
      </x:c>
      <x:c r="K395" s="112" t="str">
        <x:v>CHAI</x:v>
      </x:c>
      <x:c r="L395" s="112" t="n">
        <x:v>16000</x:v>
      </x:c>
      <x:c r="M395" s="112" t="str">
        <x:v>g</x:v>
      </x:c>
      <x:c r="N395" s="112" t="str">
        <x:v>THÙNG</x:v>
      </x:c>
      <x:c r="O395" s="112" t="n">
        <x:v>12</x:v>
      </x:c>
      <x:c r="P395" s="112" t="str">
        <x:v>1300 g / CHAI</x:v>
      </x:c>
      <x:c r="Q395" s="112" t="str">
        <x:v>12 CHAI / THÙNG</x:v>
      </x:c>
      <x:c r="R395" s="112" t="n">
        <x:v>855</x:v>
      </x:c>
      <x:c r="S395" s="113" t="n">
        <x:v>856</x:v>
      </x:c>
    </x:row>
    <x:row r="396">
      <x:c r="A396" s="111" t="n">
        <x:v>396</x:v>
      </x:c>
      <x:c r="B396" s="112" t="str">
        <x:v>MỨT GOLD DÂU</x:v>
      </x:c>
      <x:c r="C396" s="112" t="str">
        <x:v>STGDAU</x:v>
      </x:c>
      <x:c r="D396" s="112" t="str">
        <x:v>STGDAUT</x:v>
      </x:c>
      <x:c r="E396" s="120" t="n">
        <x:v>90000</x:v>
      </x:c>
      <x:c r="F396" s="120" t="n">
        <x:v>90000</x:v>
      </x:c>
      <x:c r="G396" s="120" t="n">
        <x:v>90000</x:v>
      </x:c>
      <x:c r="H396" s="112" t="str">
        <x:v>GIỮ NGUYÊN - ĐÃ KHỚP</x:v>
      </x:c>
      <x:c r="I396" s="112" t="n">
        <x:v>1300</x:v>
      </x:c>
      <x:c r="J396" s="112" t="str">
        <x:v>g</x:v>
      </x:c>
      <x:c r="K396" s="112" t="str">
        <x:v>CHAI</x:v>
      </x:c>
      <x:c r="L396" s="112" t="n">
        <x:v>16000</x:v>
      </x:c>
      <x:c r="M396" s="112" t="str">
        <x:v>g</x:v>
      </x:c>
      <x:c r="N396" s="112" t="str">
        <x:v>THÙNG</x:v>
      </x:c>
      <x:c r="O396" s="112" t="n">
        <x:v>12</x:v>
      </x:c>
      <x:c r="P396" s="112" t="str">
        <x:v>1300 g / CHAI</x:v>
      </x:c>
      <x:c r="Q396" s="112" t="str">
        <x:v>12 CHAI / THÙNG</x:v>
      </x:c>
      <x:c r="R396" s="112" t="n">
        <x:v>857</x:v>
      </x:c>
      <x:c r="S396" s="113" t="n">
        <x:v>858</x:v>
      </x:c>
    </x:row>
    <x:row r="397">
      <x:c r="A397" s="111" t="n">
        <x:v>397</x:v>
      </x:c>
      <x:c r="B397" s="112" t="str">
        <x:v>MỨT VINA 1L CHANH DÂY</x:v>
      </x:c>
      <x:c r="C397" s="112" t="str">
        <x:v>STV1CD</x:v>
      </x:c>
      <x:c r="D397" s="112" t="str">
        <x:v>STV1CDT</x:v>
      </x:c>
      <x:c r="E397" s="120" t="n">
        <x:v>72000</x:v>
      </x:c>
      <x:c r="F397" s="120" t="n">
        <x:v>72000</x:v>
      </x:c>
      <x:c r="G397" s="120" t="n">
        <x:v>72000</x:v>
      </x:c>
      <x:c r="H397" s="112" t="str">
        <x:v>GIỮ NGUYÊN - ĐÃ KHỚP</x:v>
      </x:c>
      <x:c r="I397" s="112" t="n">
        <x:v>1300</x:v>
      </x:c>
      <x:c r="J397" s="112" t="str">
        <x:v>g</x:v>
      </x:c>
      <x:c r="K397" s="112" t="str">
        <x:v>CHAI</x:v>
      </x:c>
      <x:c r="L397" s="112" t="n">
        <x:v>16000</x:v>
      </x:c>
      <x:c r="M397" s="112" t="str">
        <x:v>g</x:v>
      </x:c>
      <x:c r="N397" s="112" t="str">
        <x:v>THÙNG</x:v>
      </x:c>
      <x:c r="O397" s="112" t="n">
        <x:v>12</x:v>
      </x:c>
      <x:c r="P397" s="112" t="str">
        <x:v>1300 g / CHAI</x:v>
      </x:c>
      <x:c r="Q397" s="112" t="str">
        <x:v>12 CHAI / THÙNG</x:v>
      </x:c>
      <x:c r="R397" s="112" t="n">
        <x:v>859</x:v>
      </x:c>
      <x:c r="S397" s="113" t="n">
        <x:v>860</x:v>
      </x:c>
    </x:row>
    <x:row r="398">
      <x:c r="A398" s="111" t="n">
        <x:v>398</x:v>
      </x:c>
      <x:c r="B398" s="112" t="str">
        <x:v>MỨT GOLD CHANH DÂY</x:v>
      </x:c>
      <x:c r="C398" s="112" t="str">
        <x:v>STGCDA</x:v>
      </x:c>
      <x:c r="D398" s="112" t="str">
        <x:v>STGCDAT</x:v>
      </x:c>
      <x:c r="E398" s="120" t="n">
        <x:v>105000</x:v>
      </x:c>
      <x:c r="F398" s="120" t="n">
        <x:v>105000</x:v>
      </x:c>
      <x:c r="G398" s="120" t="n">
        <x:v>105000</x:v>
      </x:c>
      <x:c r="H398" s="112" t="str">
        <x:v>GIỮ NGUYÊN - ĐÃ KHỚP</x:v>
      </x:c>
      <x:c r="I398" s="112" t="n">
        <x:v>1300</x:v>
      </x:c>
      <x:c r="J398" s="112" t="str">
        <x:v>g</x:v>
      </x:c>
      <x:c r="K398" s="112" t="str">
        <x:v>CHAI</x:v>
      </x:c>
      <x:c r="L398" s="112" t="n">
        <x:v>16000</x:v>
      </x:c>
      <x:c r="M398" s="112" t="str">
        <x:v>g</x:v>
      </x:c>
      <x:c r="N398" s="112" t="str">
        <x:v>THÙNG</x:v>
      </x:c>
      <x:c r="O398" s="112" t="n">
        <x:v>12</x:v>
      </x:c>
      <x:c r="P398" s="112" t="str">
        <x:v>1300 g / CHAI</x:v>
      </x:c>
      <x:c r="Q398" s="112" t="str">
        <x:v>12 CHAI / THÙNG</x:v>
      </x:c>
      <x:c r="R398" s="112" t="n">
        <x:v>861</x:v>
      </x:c>
      <x:c r="S398" s="113" t="n">
        <x:v>862</x:v>
      </x:c>
    </x:row>
    <x:row r="399">
      <x:c r="A399" s="111" t="n">
        <x:v>399</x:v>
      </x:c>
      <x:c r="B399" s="112" t="str">
        <x:v>MUỖNG UKP</x:v>
      </x:c>
      <x:c r="C399" s="112" t="str">
        <x:v>MUOUKP</x:v>
      </x:c>
      <x:c r="D399" s="112" t="str">
        <x:v>MUOUKPT</x:v>
      </x:c>
      <x:c r="E399" s="120" t="n">
        <x:v>6000</x:v>
      </x:c>
      <x:c r="F399" s="120" t="n">
        <x:v>6000</x:v>
      </x:c>
      <x:c r="G399" s="120" t="n">
        <x:v>6000</x:v>
      </x:c>
      <x:c r="H399" s="112" t="str">
        <x:v>GIỮ NGUYÊN - ĐÃ KHỚP</x:v>
      </x:c>
      <x:c r="I399" s="112" t="n">
        <x:v>0</x:v>
      </x:c>
      <x:c r="J399" s="112" t="str">
        <x:v>g</x:v>
      </x:c>
      <x:c r="K399" s="112" t="str">
        <x:v>BỊCH</x:v>
      </x:c>
      <x:c r="L399" s="112" t="n">
        <x:v>10</x:v>
      </x:c>
      <x:c r="M399" s="112" t="str">
        <x:v>kg</x:v>
      </x:c>
      <x:c r="N399" s="112" t="str">
        <x:v>THÙNG</x:v>
      </x:c>
      <x:c r="O399" s="112" t="n">
        <x:v>100</x:v>
      </x:c>
      <x:c r="P399" s="112" t="str">
        <x:v>0 g / BỊCH</x:v>
      </x:c>
      <x:c r="Q399" s="112" t="str">
        <x:v>100 BỊCH / THÙNG</x:v>
      </x:c>
      <x:c r="R399" s="112" t="n">
        <x:v>867</x:v>
      </x:c>
      <x:c r="S399" s="113" t="n">
        <x:v>868</x:v>
      </x:c>
    </x:row>
    <x:row r="400">
      <x:c r="A400" s="111" t="n">
        <x:v>400</x:v>
      </x:c>
      <x:c r="B400" s="112" t="str">
        <x:v>MUỖNG NGẮN XANH</x:v>
      </x:c>
      <x:c r="C400" s="112" t="str">
        <x:v>MUXANG</x:v>
      </x:c>
      <x:c r="D400" s="112" t="str">
        <x:v>MUXANGT</x:v>
      </x:c>
      <x:c r="E400" s="120" t="n">
        <x:v>6000</x:v>
      </x:c>
      <x:c r="F400" s="120" t="n">
        <x:v>6000</x:v>
      </x:c>
      <x:c r="G400" s="120" t="n">
        <x:v>6000</x:v>
      </x:c>
      <x:c r="H400" s="112" t="str">
        <x:v>GIỮ NGUYÊN - ĐÃ KHỚP</x:v>
      </x:c>
      <x:c r="I400" s="112" t="n">
        <x:v>0</x:v>
      </x:c>
      <x:c r="J400" s="112" t="str">
        <x:v>g</x:v>
      </x:c>
      <x:c r="K400" s="112" t="str">
        <x:v>BỊCH</x:v>
      </x:c>
      <x:c r="L400" s="112" t="n">
        <x:v>0</x:v>
      </x:c>
      <x:c r="M400" s="112" t="str">
        <x:v>g</x:v>
      </x:c>
      <x:c r="N400" s="112" t="str">
        <x:v>THÙNG</x:v>
      </x:c>
      <x:c r="O400" s="112" t="n">
        <x:v>100</x:v>
      </x:c>
      <x:c r="P400" s="112" t="str">
        <x:v>0 g / BỊCH</x:v>
      </x:c>
      <x:c r="Q400" s="112" t="str">
        <x:v>100 BỊCH / THÙNG</x:v>
      </x:c>
      <x:c r="R400" s="112" t="n">
        <x:v>869</x:v>
      </x:c>
      <x:c r="S400" s="113" t="n">
        <x:v>870</x:v>
      </x:c>
    </x:row>
    <x:row r="401">
      <x:c r="A401" s="111" t="n">
        <x:v>401</x:v>
      </x:c>
      <x:c r="B401" s="112" t="str">
        <x:v>MUỖNG NGẮN VÀNG</x:v>
      </x:c>
      <x:c r="C401" s="112" t="str">
        <x:v>MUVANG</x:v>
      </x:c>
      <x:c r="D401" s="112" t="str">
        <x:v>MUVANGT</x:v>
      </x:c>
      <x:c r="E401" s="120" t="n">
        <x:v>6000</x:v>
      </x:c>
      <x:c r="F401" s="120" t="n">
        <x:v>6000</x:v>
      </x:c>
      <x:c r="G401" s="120" t="n">
        <x:v>6000</x:v>
      </x:c>
      <x:c r="H401" s="112" t="str">
        <x:v>GIỮ NGUYÊN - ĐÃ KHỚP</x:v>
      </x:c>
      <x:c r="I401" s="112" t="n">
        <x:v>0</x:v>
      </x:c>
      <x:c r="J401" s="112" t="str">
        <x:v>g</x:v>
      </x:c>
      <x:c r="K401" s="112" t="str">
        <x:v>BỊCH</x:v>
      </x:c>
      <x:c r="L401" s="112" t="n">
        <x:v>0</x:v>
      </x:c>
      <x:c r="M401" s="112" t="str">
        <x:v>g</x:v>
      </x:c>
      <x:c r="N401" s="112" t="str">
        <x:v>THÙNG</x:v>
      </x:c>
      <x:c r="O401" s="112" t="n">
        <x:v>100</x:v>
      </x:c>
      <x:c r="P401" s="112" t="str">
        <x:v>0 g / BỊCH</x:v>
      </x:c>
      <x:c r="Q401" s="112" t="str">
        <x:v>100 BỊCH / THÙNG</x:v>
      </x:c>
      <x:c r="R401" s="112" t="n">
        <x:v>871</x:v>
      </x:c>
      <x:c r="S401" s="113" t="n">
        <x:v>872</x:v>
      </x:c>
    </x:row>
    <x:row r="402">
      <x:c r="A402" s="111" t="n">
        <x:v>402</x:v>
      </x:c>
      <x:c r="B402" s="112" t="str">
        <x:v>MUỖNG NGẮN TRẮNG</x:v>
      </x:c>
      <x:c r="C402" s="112" t="str">
        <x:v>MUTRNG</x:v>
      </x:c>
      <x:c r="D402" s="112" t="str">
        <x:v>MUTRNGT</x:v>
      </x:c>
      <x:c r="E402" s="120" t="n">
        <x:v>6000</x:v>
      </x:c>
      <x:c r="F402" s="120" t="n">
        <x:v>6000</x:v>
      </x:c>
      <x:c r="G402" s="120" t="n">
        <x:v>6000</x:v>
      </x:c>
      <x:c r="H402" s="112" t="str">
        <x:v>GIỮ NGUYÊN - ĐÃ KHỚP</x:v>
      </x:c>
      <x:c r="I402" s="112" t="n">
        <x:v>0</x:v>
      </x:c>
      <x:c r="J402" s="112" t="str">
        <x:v>g</x:v>
      </x:c>
      <x:c r="K402" s="112" t="str">
        <x:v>BỊCH</x:v>
      </x:c>
      <x:c r="L402" s="112" t="n">
        <x:v>10</x:v>
      </x:c>
      <x:c r="M402" s="112" t="str">
        <x:v>kg</x:v>
      </x:c>
      <x:c r="N402" s="112" t="str">
        <x:v>THÙNG</x:v>
      </x:c>
      <x:c r="O402" s="112" t="n">
        <x:v>100</x:v>
      </x:c>
      <x:c r="P402" s="112" t="str">
        <x:v>0 g / BỊCH</x:v>
      </x:c>
      <x:c r="Q402" s="112" t="str">
        <x:v>100 BỊCH / THÙNG</x:v>
      </x:c>
      <x:c r="R402" s="112" t="n">
        <x:v>873</x:v>
      </x:c>
      <x:c r="S402" s="113" t="n">
        <x:v>874</x:v>
      </x:c>
    </x:row>
    <x:row r="403">
      <x:c r="A403" s="111" t="n">
        <x:v>403</x:v>
      </x:c>
      <x:c r="B403" s="112" t="str">
        <x:v>MUỖNG NGẮN HỒNG</x:v>
      </x:c>
      <x:c r="C403" s="112" t="str">
        <x:v>MUHONG</x:v>
      </x:c>
      <x:c r="D403" s="112" t="str">
        <x:v>MUHONGT</x:v>
      </x:c>
      <x:c r="E403" s="120" t="n">
        <x:v>6000</x:v>
      </x:c>
      <x:c r="F403" s="120" t="n">
        <x:v>6000</x:v>
      </x:c>
      <x:c r="G403" s="120" t="n">
        <x:v>6000</x:v>
      </x:c>
      <x:c r="H403" s="112" t="str">
        <x:v>GIỮ NGUYÊN - ĐÃ KHỚP</x:v>
      </x:c>
      <x:c r="I403" s="112" t="n">
        <x:v>0</x:v>
      </x:c>
      <x:c r="J403" s="112" t="str">
        <x:v>g</x:v>
      </x:c>
      <x:c r="K403" s="112" t="str">
        <x:v>BỊCH</x:v>
      </x:c>
      <x:c r="L403" s="112" t="n">
        <x:v>0</x:v>
      </x:c>
      <x:c r="M403" s="112" t="str">
        <x:v>g</x:v>
      </x:c>
      <x:c r="N403" s="112" t="str">
        <x:v>THÙNG</x:v>
      </x:c>
      <x:c r="O403" s="112" t="n">
        <x:v>100</x:v>
      </x:c>
      <x:c r="P403" s="112" t="str">
        <x:v>0 g / BỊCH</x:v>
      </x:c>
      <x:c r="Q403" s="112" t="str">
        <x:v>100 BỊCH / THÙNG</x:v>
      </x:c>
      <x:c r="R403" s="112" t="n">
        <x:v>875</x:v>
      </x:c>
      <x:c r="S403" s="113" t="n">
        <x:v>876</x:v>
      </x:c>
    </x:row>
    <x:row r="404">
      <x:c r="A404" s="111" t="n">
        <x:v>404</x:v>
      </x:c>
      <x:c r="B404" s="112" t="str">
        <x:v>MUỖNG NGẮN ĐEN</x:v>
      </x:c>
      <x:c r="C404" s="112" t="str">
        <x:v>MUDENG</x:v>
      </x:c>
      <x:c r="D404" s="112" t="str">
        <x:v>MUDENGT</x:v>
      </x:c>
      <x:c r="E404" s="120" t="n">
        <x:v>6000</x:v>
      </x:c>
      <x:c r="F404" s="120" t="n">
        <x:v>6000</x:v>
      </x:c>
      <x:c r="G404" s="120" t="n">
        <x:v>6000</x:v>
      </x:c>
      <x:c r="H404" s="112" t="str">
        <x:v>GIỮ NGUYÊN - ĐÃ KHỚP</x:v>
      </x:c>
      <x:c r="I404" s="112" t="n">
        <x:v>0</x:v>
      </x:c>
      <x:c r="J404" s="112" t="str">
        <x:v>g</x:v>
      </x:c>
      <x:c r="K404" s="112" t="str">
        <x:v>BỊCH</x:v>
      </x:c>
      <x:c r="L404" s="112" t="n">
        <x:v>0</x:v>
      </x:c>
      <x:c r="M404" s="112" t="str">
        <x:v>g</x:v>
      </x:c>
      <x:c r="N404" s="112" t="str">
        <x:v>THÙNG</x:v>
      </x:c>
      <x:c r="O404" s="112" t="n">
        <x:v>100</x:v>
      </x:c>
      <x:c r="P404" s="112" t="str">
        <x:v>0 g / BỊCH</x:v>
      </x:c>
      <x:c r="Q404" s="112" t="str">
        <x:v>100 BỊCH / THÙNG</x:v>
      </x:c>
      <x:c r="R404" s="112" t="n">
        <x:v>877</x:v>
      </x:c>
      <x:c r="S404" s="113" t="n">
        <x:v>878</x:v>
      </x:c>
    </x:row>
    <x:row r="405">
      <x:c r="A405" s="111" t="n">
        <x:v>405</x:v>
      </x:c>
      <x:c r="B405" s="112" t="str">
        <x:v>MUỔNG DÀI XANH</x:v>
      </x:c>
      <x:c r="C405" s="112" t="str">
        <x:v>MUXADA</x:v>
      </x:c>
      <x:c r="D405" s="112" t="str">
        <x:v>MUXADAT</x:v>
      </x:c>
      <x:c r="E405" s="120" t="n">
        <x:v>11000</x:v>
      </x:c>
      <x:c r="F405" s="120" t="n">
        <x:v>10000</x:v>
      </x:c>
      <x:c r="G405" s="120" t="n">
        <x:v>10000</x:v>
      </x:c>
      <x:c r="H405" s="112" t="str">
        <x:v>CẬP NHẬT GIÁ</x:v>
      </x:c>
      <x:c r="I405" s="112" t="n">
        <x:v>0</x:v>
      </x:c>
      <x:c r="J405" s="112" t="str">
        <x:v>g</x:v>
      </x:c>
      <x:c r="K405" s="112" t="str">
        <x:v>BỊCH</x:v>
      </x:c>
      <x:c r="L405" s="112" t="n">
        <x:v>0</x:v>
      </x:c>
      <x:c r="M405" s="112" t="str">
        <x:v>g</x:v>
      </x:c>
      <x:c r="N405" s="112" t="str">
        <x:v>THÙNG</x:v>
      </x:c>
      <x:c r="O405" s="112" t="n">
        <x:v>50</x:v>
      </x:c>
      <x:c r="P405" s="112" t="str">
        <x:v>0 g / BỊCH</x:v>
      </x:c>
      <x:c r="Q405" s="112" t="str">
        <x:v>50 BỊCH / THÙNG</x:v>
      </x:c>
      <x:c r="R405" s="112" t="n">
        <x:v>879</x:v>
      </x:c>
      <x:c r="S405" s="113" t="n">
        <x:v>880</x:v>
      </x:c>
    </x:row>
    <x:row r="406">
      <x:c r="A406" s="111" t="n">
        <x:v>406</x:v>
      </x:c>
      <x:c r="B406" s="112" t="str">
        <x:v>MUỖNG DÀI VÀNG</x:v>
      </x:c>
      <x:c r="C406" s="112" t="str">
        <x:v>MUVADA</x:v>
      </x:c>
      <x:c r="D406" s="112" t="str">
        <x:v>MUVADAT</x:v>
      </x:c>
      <x:c r="E406" s="120" t="n">
        <x:v>11000</x:v>
      </x:c>
      <x:c r="F406" s="120" t="n">
        <x:v>10000</x:v>
      </x:c>
      <x:c r="G406" s="120" t="n">
        <x:v>10000</x:v>
      </x:c>
      <x:c r="H406" s="112" t="str">
        <x:v>CẬP NHẬT GIÁ</x:v>
      </x:c>
      <x:c r="I406" s="112" t="n">
        <x:v>0</x:v>
      </x:c>
      <x:c r="J406" s="112" t="str">
        <x:v>g</x:v>
      </x:c>
      <x:c r="K406" s="112" t="str">
        <x:v>BỊCH</x:v>
      </x:c>
      <x:c r="L406" s="112" t="n">
        <x:v>0</x:v>
      </x:c>
      <x:c r="M406" s="112" t="str">
        <x:v>g</x:v>
      </x:c>
      <x:c r="N406" s="112" t="str">
        <x:v>THÙNG</x:v>
      </x:c>
      <x:c r="O406" s="112" t="n">
        <x:v>50</x:v>
      </x:c>
      <x:c r="P406" s="112" t="str">
        <x:v>0 g / BỊCH</x:v>
      </x:c>
      <x:c r="Q406" s="112" t="str">
        <x:v>50 BỊCH / THÙNG</x:v>
      </x:c>
      <x:c r="R406" s="112" t="n">
        <x:v>881</x:v>
      </x:c>
      <x:c r="S406" s="113" t="n">
        <x:v>882</x:v>
      </x:c>
    </x:row>
    <x:row r="407">
      <x:c r="A407" s="111" t="n">
        <x:v>407</x:v>
      </x:c>
      <x:c r="B407" s="112" t="str">
        <x:v>MUỖNG DÀI TRẮNG ĐÔI</x:v>
      </x:c>
      <x:c r="C407" s="112" t="str">
        <x:v>MDTDOI</x:v>
      </x:c>
      <x:c r="D407" s="112" t="str">
        <x:v>MDTDOIT</x:v>
      </x:c>
      <x:c r="E407" s="120"/>
      <x:c r="F407" s="120" t="n">
        <x:v>20000</x:v>
      </x:c>
      <x:c r="G407" s="120" t="n">
        <x:v>20000</x:v>
      </x:c>
      <x:c r="H407" s="112" t="str">
        <x:v>BỔ SUNG GIÁ</x:v>
      </x:c>
      <x:c r="I407" s="112" t="n">
        <x:v>0</x:v>
      </x:c>
      <x:c r="J407" s="112" t="str">
        <x:v>g</x:v>
      </x:c>
      <x:c r="K407" s="112" t="str">
        <x:v>BỊCH</x:v>
      </x:c>
      <x:c r="L407" s="112" t="n">
        <x:v>10</x:v>
      </x:c>
      <x:c r="M407" s="112" t="str">
        <x:v>kg</x:v>
      </x:c>
      <x:c r="N407" s="112" t="str">
        <x:v>THÙNG</x:v>
      </x:c>
      <x:c r="O407" s="112" t="n">
        <x:v>25</x:v>
      </x:c>
      <x:c r="P407" s="112" t="str">
        <x:v>0 g / BỊCH</x:v>
      </x:c>
      <x:c r="Q407" s="112" t="str">
        <x:v>25 BỊCH / THÙNG</x:v>
      </x:c>
      <x:c r="R407" s="112" t="n">
        <x:v>883</x:v>
      </x:c>
      <x:c r="S407" s="113" t="n">
        <x:v>884</x:v>
      </x:c>
    </x:row>
    <x:row r="408">
      <x:c r="A408" s="111" t="n">
        <x:v>408</x:v>
      </x:c>
      <x:c r="B408" s="112" t="str">
        <x:v>MUỖNG DÀI TRẮNG</x:v>
      </x:c>
      <x:c r="C408" s="112" t="str">
        <x:v>MUTRDA</x:v>
      </x:c>
      <x:c r="D408" s="112" t="str">
        <x:v>MUTRDAT</x:v>
      </x:c>
      <x:c r="E408" s="120" t="n">
        <x:v>11000</x:v>
      </x:c>
      <x:c r="F408" s="120" t="n">
        <x:v>10000</x:v>
      </x:c>
      <x:c r="G408" s="120" t="n">
        <x:v>10000</x:v>
      </x:c>
      <x:c r="H408" s="112" t="str">
        <x:v>CẬP NHẬT GIÁ</x:v>
      </x:c>
      <x:c r="I408" s="112" t="n">
        <x:v>0</x:v>
      </x:c>
      <x:c r="J408" s="112" t="str">
        <x:v>g</x:v>
      </x:c>
      <x:c r="K408" s="112" t="str">
        <x:v>BỊCH</x:v>
      </x:c>
      <x:c r="L408" s="112" t="n">
        <x:v>10</x:v>
      </x:c>
      <x:c r="M408" s="112" t="str">
        <x:v>kg</x:v>
      </x:c>
      <x:c r="N408" s="112" t="str">
        <x:v>THÙNG</x:v>
      </x:c>
      <x:c r="O408" s="112" t="n">
        <x:v>50</x:v>
      </x:c>
      <x:c r="P408" s="112" t="str">
        <x:v>0 g / BỊCH</x:v>
      </x:c>
      <x:c r="Q408" s="112" t="str">
        <x:v>50 BỊCH / THÙNG</x:v>
      </x:c>
      <x:c r="R408" s="112" t="n">
        <x:v>885</x:v>
      </x:c>
      <x:c r="S408" s="113" t="n">
        <x:v>886</x:v>
      </x:c>
    </x:row>
    <x:row r="409">
      <x:c r="A409" s="111" t="n">
        <x:v>409</x:v>
      </x:c>
      <x:c r="B409" s="112" t="str">
        <x:v>MUỖNG DÀI HỒNG</x:v>
      </x:c>
      <x:c r="C409" s="112" t="str">
        <x:v>MUHODA</x:v>
      </x:c>
      <x:c r="D409" s="112" t="str">
        <x:v>MUHODAT</x:v>
      </x:c>
      <x:c r="E409" s="120" t="n">
        <x:v>11000</x:v>
      </x:c>
      <x:c r="F409" s="120" t="n">
        <x:v>10000</x:v>
      </x:c>
      <x:c r="G409" s="120" t="n">
        <x:v>10000</x:v>
      </x:c>
      <x:c r="H409" s="112" t="str">
        <x:v>CẬP NHẬT GIÁ</x:v>
      </x:c>
      <x:c r="I409" s="112" t="n">
        <x:v>0</x:v>
      </x:c>
      <x:c r="J409" s="112" t="str">
        <x:v>g</x:v>
      </x:c>
      <x:c r="K409" s="112" t="str">
        <x:v>BỊCH</x:v>
      </x:c>
      <x:c r="L409" s="112" t="n">
        <x:v>0</x:v>
      </x:c>
      <x:c r="M409" s="112" t="str">
        <x:v>g</x:v>
      </x:c>
      <x:c r="N409" s="112" t="str">
        <x:v>THÙNG</x:v>
      </x:c>
      <x:c r="O409" s="112" t="n">
        <x:v>50</x:v>
      </x:c>
      <x:c r="P409" s="112" t="str">
        <x:v>0 g / BỊCH</x:v>
      </x:c>
      <x:c r="Q409" s="112" t="str">
        <x:v>50 BỊCH / THÙNG</x:v>
      </x:c>
      <x:c r="R409" s="112" t="n">
        <x:v>887</x:v>
      </x:c>
      <x:c r="S409" s="113" t="n">
        <x:v>888</x:v>
      </x:c>
    </x:row>
    <x:row r="410">
      <x:c r="A410" s="111" t="n">
        <x:v>410</x:v>
      </x:c>
      <x:c r="B410" s="112" t="str">
        <x:v>MUỖNG DÀI ĐỎ</x:v>
      </x:c>
      <x:c r="C410" s="112" t="str">
        <x:v>MUDODA</x:v>
      </x:c>
      <x:c r="D410" s="112" t="str">
        <x:v>MUDODAT</x:v>
      </x:c>
      <x:c r="E410" s="120" t="n">
        <x:v>11000</x:v>
      </x:c>
      <x:c r="F410" s="120" t="n">
        <x:v>10000</x:v>
      </x:c>
      <x:c r="G410" s="120" t="n">
        <x:v>10000</x:v>
      </x:c>
      <x:c r="H410" s="112" t="str">
        <x:v>CẬP NHẬT GIÁ</x:v>
      </x:c>
      <x:c r="I410" s="112" t="n">
        <x:v>0</x:v>
      </x:c>
      <x:c r="J410" s="112" t="str">
        <x:v>g</x:v>
      </x:c>
      <x:c r="K410" s="112" t="str">
        <x:v>BỊCH</x:v>
      </x:c>
      <x:c r="L410" s="112" t="n">
        <x:v>0</x:v>
      </x:c>
      <x:c r="M410" s="112" t="str">
        <x:v>g</x:v>
      </x:c>
      <x:c r="N410" s="112" t="str">
        <x:v>THÙNG</x:v>
      </x:c>
      <x:c r="O410" s="112" t="n">
        <x:v>50</x:v>
      </x:c>
      <x:c r="P410" s="112" t="str">
        <x:v>0 g / BỊCH</x:v>
      </x:c>
      <x:c r="Q410" s="112" t="str">
        <x:v>50 BỊCH / THÙNG</x:v>
      </x:c>
      <x:c r="R410" s="112" t="n">
        <x:v>889</x:v>
      </x:c>
      <x:c r="S410" s="113" t="n">
        <x:v>890</x:v>
      </x:c>
    </x:row>
    <x:row r="411">
      <x:c r="A411" s="111" t="n">
        <x:v>411</x:v>
      </x:c>
      <x:c r="B411" s="112" t="str">
        <x:v>MUỖNG DÀI ĐEN</x:v>
      </x:c>
      <x:c r="C411" s="112" t="str">
        <x:v>MUDEDA</x:v>
      </x:c>
      <x:c r="D411" s="112" t="str">
        <x:v>MUDEDAT</x:v>
      </x:c>
      <x:c r="E411" s="120" t="n">
        <x:v>11000</x:v>
      </x:c>
      <x:c r="F411" s="120" t="n">
        <x:v>10000</x:v>
      </x:c>
      <x:c r="G411" s="120" t="n">
        <x:v>10000</x:v>
      </x:c>
      <x:c r="H411" s="112" t="str">
        <x:v>CẬP NHẬT GIÁ</x:v>
      </x:c>
      <x:c r="I411" s="112" t="n">
        <x:v>0</x:v>
      </x:c>
      <x:c r="J411" s="112" t="str">
        <x:v>g</x:v>
      </x:c>
      <x:c r="K411" s="112" t="str">
        <x:v>BỊCH</x:v>
      </x:c>
      <x:c r="L411" s="112" t="n">
        <x:v>0</x:v>
      </x:c>
      <x:c r="M411" s="112" t="str">
        <x:v>g</x:v>
      </x:c>
      <x:c r="N411" s="112" t="str">
        <x:v>THÙNG</x:v>
      </x:c>
      <x:c r="O411" s="112" t="n">
        <x:v>50</x:v>
      </x:c>
      <x:c r="P411" s="112" t="str">
        <x:v>0 g / BỊCH</x:v>
      </x:c>
      <x:c r="Q411" s="112" t="str">
        <x:v>50 BỊCH / THÙNG</x:v>
      </x:c>
      <x:c r="R411" s="112" t="n">
        <x:v>891</x:v>
      </x:c>
      <x:c r="S411" s="113" t="n">
        <x:v>892</x:v>
      </x:c>
    </x:row>
    <x:row r="412">
      <x:c r="A412" s="111" t="n">
        <x:v>412</x:v>
      </x:c>
      <x:c r="B412" s="112" t="str">
        <x:v>MT35</x:v>
      </x:c>
      <x:c r="C412" s="112" t="str">
        <x:v>BSMT35</x:v>
      </x:c>
      <x:c r="D412" s="112" t="str">
        <x:v>BSMT35T</x:v>
      </x:c>
      <x:c r="E412" s="120" t="n">
        <x:v>118000</x:v>
      </x:c>
      <x:c r="F412" s="120" t="n">
        <x:v>118000</x:v>
      </x:c>
      <x:c r="G412" s="120" t="n">
        <x:v>118000</x:v>
      </x:c>
      <x:c r="H412" s="112" t="str">
        <x:v>GIỮ NGUYÊN - ĐÃ KHỚP</x:v>
      </x:c>
      <x:c r="I412" s="112" t="n">
        <x:v>0</x:v>
      </x:c>
      <x:c r="J412" s="112" t="str">
        <x:v>g</x:v>
      </x:c>
      <x:c r="K412" s="112" t="str">
        <x:v>BỊCH</x:v>
      </x:c>
      <x:c r="L412" s="112" t="n">
        <x:v>1</x:v>
      </x:c>
      <x:c r="M412" s="112" t="str">
        <x:v>kg</x:v>
      </x:c>
      <x:c r="N412" s="112" t="str">
        <x:v>THÙNG</x:v>
      </x:c>
      <x:c r="O412" s="112" t="n">
        <x:v>10</x:v>
      </x:c>
      <x:c r="P412" s="112" t="str">
        <x:v>0 g / BỊCH</x:v>
      </x:c>
      <x:c r="Q412" s="112" t="str">
        <x:v>10 BỊCH / THÙNG</x:v>
      </x:c>
      <x:c r="R412" s="112" t="n">
        <x:v>893</x:v>
      </x:c>
      <x:c r="S412" s="113" t="n">
        <x:v>894</x:v>
      </x:c>
    </x:row>
    <x:row r="413">
      <x:c r="A413" s="111" t="n">
        <x:v>413</x:v>
      </x:c>
      <x:c r="B413" s="112" t="str">
        <x:v>MILKFOAM MUỐI BIỂN ĐỎ</x:v>
      </x:c>
      <x:c r="C413" s="112" t="str">
        <x:v>MUOIBD</x:v>
      </x:c>
      <x:c r="D413" s="112" t="str">
        <x:v>MUOIBDT</x:v>
      </x:c>
      <x:c r="E413" s="120" t="n">
        <x:v>92000</x:v>
      </x:c>
      <x:c r="F413" s="120" t="n">
        <x:v>92000</x:v>
      </x:c>
      <x:c r="G413" s="120" t="n">
        <x:v>92000</x:v>
      </x:c>
      <x:c r="H413" s="112" t="str">
        <x:v>GIỮ NGUYÊN - ĐÃ KHỚP</x:v>
      </x:c>
      <x:c r="I413" s="112" t="n">
        <x:v>1</x:v>
      </x:c>
      <x:c r="J413" s="112" t="str">
        <x:v>kg</x:v>
      </x:c>
      <x:c r="K413" s="112" t="str">
        <x:v>BỊCH</x:v>
      </x:c>
      <x:c r="L413" s="112" t="n">
        <x:v>21</x:v>
      </x:c>
      <x:c r="M413" s="112" t="str">
        <x:v>kg</x:v>
      </x:c>
      <x:c r="N413" s="112" t="str">
        <x:v>THÙNG</x:v>
      </x:c>
      <x:c r="O413" s="112" t="n">
        <x:v>20</x:v>
      </x:c>
      <x:c r="P413" s="112" t="str">
        <x:v>1 kg / BỊCH</x:v>
      </x:c>
      <x:c r="Q413" s="112" t="str">
        <x:v>20 BỊCH / THÙNG</x:v>
      </x:c>
      <x:c r="R413" s="112" t="n">
        <x:v>895</x:v>
      </x:c>
      <x:c r="S413" s="113" t="n">
        <x:v>896</x:v>
      </x:c>
    </x:row>
    <x:row r="414">
      <x:c r="A414" s="111" t="n">
        <x:v>414</x:v>
      </x:c>
      <x:c r="B414" s="112" t="str">
        <x:v>MÌ KIM CHI 100 GÓI</x:v>
      </x:c>
      <x:c r="C414" s="112" t="str">
        <x:v>MIKC10</x:v>
      </x:c>
      <x:c r="D414" s="112" t="str">
        <x:v>MIKC10T</x:v>
      </x:c>
      <x:c r="E414" s="120" t="n">
        <x:v>68000</x:v>
      </x:c>
      <x:c r="F414" s="120" t="n">
        <x:v>68000</x:v>
      </x:c>
      <x:c r="G414" s="120" t="n">
        <x:v>68000</x:v>
      </x:c>
      <x:c r="H414" s="112" t="str">
        <x:v>GIỮ NGUYÊN - ĐÃ KHỚP</x:v>
      </x:c>
      <x:c r="I414" s="112" t="n">
        <x:v>1100</x:v>
      </x:c>
      <x:c r="J414" s="112" t="str">
        <x:v>g</x:v>
      </x:c>
      <x:c r="K414" s="112" t="str">
        <x:v>LỐC</x:v>
      </x:c>
      <x:c r="L414" s="112" t="n">
        <x:v>11000</x:v>
      </x:c>
      <x:c r="M414" s="112" t="str">
        <x:v>g</x:v>
      </x:c>
      <x:c r="N414" s="112" t="str">
        <x:v>THÙNG</x:v>
      </x:c>
      <x:c r="O414" s="112" t="n">
        <x:v>10</x:v>
      </x:c>
      <x:c r="P414" s="112" t="str">
        <x:v>1100 g / LỐC</x:v>
      </x:c>
      <x:c r="Q414" s="112" t="str">
        <x:v>10 LỐC / THÙNG</x:v>
      </x:c>
      <x:c r="R414" s="112" t="n">
        <x:v>898</x:v>
      </x:c>
      <x:c r="S414" s="113" t="n">
        <x:v>899</x:v>
      </x:c>
    </x:row>
    <x:row r="415">
      <x:c r="A415" s="111" t="n">
        <x:v>415</x:v>
      </x:c>
      <x:c r="B415" s="112" t="str">
        <x:v>MÌ BÒ 100 GÓI</x:v>
      </x:c>
      <x:c r="C415" s="112" t="str">
        <x:v>MIBO10</x:v>
      </x:c>
      <x:c r="D415" s="112" t="str">
        <x:v>MIBO10T</x:v>
      </x:c>
      <x:c r="E415" s="120"/>
      <x:c r="F415" s="120" t="n">
        <x:v>68000</x:v>
      </x:c>
      <x:c r="G415" s="120" t="n">
        <x:v>68000</x:v>
      </x:c>
      <x:c r="H415" s="112" t="str">
        <x:v>BỔ SUNG GIÁ</x:v>
      </x:c>
      <x:c r="I415" s="112" t="n">
        <x:v>1100</x:v>
      </x:c>
      <x:c r="J415" s="112" t="str">
        <x:v>g</x:v>
      </x:c>
      <x:c r="K415" s="112" t="str">
        <x:v>LỐC</x:v>
      </x:c>
      <x:c r="L415" s="112" t="n">
        <x:v>11000</x:v>
      </x:c>
      <x:c r="M415" s="112" t="str">
        <x:v>g</x:v>
      </x:c>
      <x:c r="N415" s="112" t="str">
        <x:v>THÙNG</x:v>
      </x:c>
      <x:c r="O415" s="112" t="n">
        <x:v>10</x:v>
      </x:c>
      <x:c r="P415" s="112" t="str">
        <x:v>1100 g / LỐC</x:v>
      </x:c>
      <x:c r="Q415" s="112" t="str">
        <x:v>10 LỐC / THÙNG</x:v>
      </x:c>
      <x:c r="R415" s="112" t="n">
        <x:v>901</x:v>
      </x:c>
      <x:c r="S415" s="113" t="n">
        <x:v>902</x:v>
      </x:c>
    </x:row>
    <x:row r="416">
      <x:c r="A416" s="111" t="n">
        <x:v>416</x:v>
      </x:c>
      <x:c r="B416" s="112" t="str">
        <x:v>SIRO VINA MẬT ONG</x:v>
      </x:c>
      <x:c r="C416" s="112" t="str">
        <x:v>MOGVNA</x:v>
      </x:c>
      <x:c r="D416" s="112" t="str">
        <x:v>MOGVNAT</x:v>
      </x:c>
      <x:c r="E416" s="120" t="n">
        <x:v>40000</x:v>
      </x:c>
      <x:c r="F416" s="120" t="n">
        <x:v>55000</x:v>
      </x:c>
      <x:c r="G416" s="120" t="n">
        <x:v>55000</x:v>
      </x:c>
      <x:c r="H416" s="112" t="str">
        <x:v>CẬP NHẬT GIÁ</x:v>
      </x:c>
      <x:c r="I416" s="112" t="n">
        <x:v>1000</x:v>
      </x:c>
      <x:c r="J416" s="112" t="str">
        <x:v>g</x:v>
      </x:c>
      <x:c r="K416" s="112" t="str">
        <x:v>BÌNH</x:v>
      </x:c>
      <x:c r="L416" s="112" t="n">
        <x:v>13000</x:v>
      </x:c>
      <x:c r="M416" s="112" t="str">
        <x:v>g</x:v>
      </x:c>
      <x:c r="N416" s="112" t="str">
        <x:v>THÙNG</x:v>
      </x:c>
      <x:c r="O416" s="112" t="n">
        <x:v>12</x:v>
      </x:c>
      <x:c r="P416" s="112" t="str">
        <x:v>1000 g / BÌNH</x:v>
      </x:c>
      <x:c r="Q416" s="112" t="str">
        <x:v>12 BÌNH / THÙNG</x:v>
      </x:c>
      <x:c r="R416" s="112" t="n">
        <x:v>903</x:v>
      </x:c>
      <x:c r="S416" s="113" t="n">
        <x:v>904</x:v>
      </x:c>
    </x:row>
    <x:row r="417">
      <x:c r="A417" s="111" t="n">
        <x:v>417</x:v>
      </x:c>
      <x:c r="B417" s="112" t="str">
        <x:v>SIRO TRÒN MẬT ONG</x:v>
      </x:c>
      <x:c r="C417" s="112" t="str">
        <x:v>SRMOGT</x:v>
      </x:c>
      <x:c r="D417" s="112" t="str">
        <x:v>SRMOGTT</x:v>
      </x:c>
      <x:c r="E417" s="120"/>
      <x:c r="F417" s="120" t="n">
        <x:v>125000</x:v>
      </x:c>
      <x:c r="G417" s="120" t="n">
        <x:v>125000</x:v>
      </x:c>
      <x:c r="H417" s="112" t="str">
        <x:v>BỔ SUNG GIÁ</x:v>
      </x:c>
      <x:c r="I417" s="112" t="n">
        <x:v>2650</x:v>
      </x:c>
      <x:c r="J417" s="112" t="str">
        <x:v>g</x:v>
      </x:c>
      <x:c r="K417" s="112" t="str">
        <x:v>BÌNH</x:v>
      </x:c>
      <x:c r="L417" s="112" t="n">
        <x:v>16000</x:v>
      </x:c>
      <x:c r="M417" s="112" t="str">
        <x:v>g</x:v>
      </x:c>
      <x:c r="N417" s="112" t="str">
        <x:v>THÙNG</x:v>
      </x:c>
      <x:c r="O417" s="112" t="n">
        <x:v>6</x:v>
      </x:c>
      <x:c r="P417" s="112" t="str">
        <x:v>2650 g / BÌNH</x:v>
      </x:c>
      <x:c r="Q417" s="112" t="str">
        <x:v>6 BÌNH / THÙNG</x:v>
      </x:c>
      <x:c r="R417" s="112" t="n">
        <x:v>905</x:v>
      </x:c>
      <x:c r="S417" s="113" t="n">
        <x:v>906</x:v>
      </x:c>
    </x:row>
    <x:row r="418">
      <x:c r="A418" s="111" t="n">
        <x:v>418</x:v>
      </x:c>
      <x:c r="B418" s="112" t="str">
        <x:v>MẬT ONG ERODELI</x:v>
      </x:c>
      <x:c r="C418" s="112" t="str">
        <x:v>MOGEUR</x:v>
      </x:c>
      <x:c r="D418" s="112" t="str">
        <x:v>MOGEURT</x:v>
      </x:c>
      <x:c r="E418" s="120"/>
      <x:c r="F418" s="120" t="n">
        <x:v>210000</x:v>
      </x:c>
      <x:c r="G418" s="120" t="n">
        <x:v>210000</x:v>
      </x:c>
      <x:c r="H418" s="112" t="str">
        <x:v>BỔ SUNG GIÁ</x:v>
      </x:c>
      <x:c r="I418" s="112" t="n">
        <x:v>3</x:v>
      </x:c>
      <x:c r="J418" s="112" t="str">
        <x:v>kg</x:v>
      </x:c>
      <x:c r="K418" s="112" t="str">
        <x:v>BÌNH</x:v>
      </x:c>
      <x:c r="L418" s="112" t="n">
        <x:v>30</x:v>
      </x:c>
      <x:c r="M418" s="112" t="str">
        <x:v>kg</x:v>
      </x:c>
      <x:c r="N418" s="112" t="str">
        <x:v>THÙNG</x:v>
      </x:c>
      <x:c r="O418" s="112" t="n">
        <x:v>10</x:v>
      </x:c>
      <x:c r="P418" s="112" t="str">
        <x:v>3 kg / BÌNH</x:v>
      </x:c>
      <x:c r="Q418" s="112" t="str">
        <x:v>10 BÌNH / THÙNG</x:v>
      </x:c>
      <x:c r="R418" s="112" t="n">
        <x:v>907</x:v>
      </x:c>
      <x:c r="S418" s="113" t="n">
        <x:v>908</x:v>
      </x:c>
    </x:row>
    <x:row r="419">
      <x:c r="A419" s="111" t="n">
        <x:v>419</x:v>
      </x:c>
      <x:c r="B419" s="112" t="str">
        <x:v>SIRO MAMA VIỆT QUỐC</x:v>
      </x:c>
      <x:c r="C419" s="112" t="str">
        <x:v>SRMMVQ</x:v>
      </x:c>
      <x:c r="D419" s="112" t="str">
        <x:v>SRMMVQT</x:v>
      </x:c>
      <x:c r="E419" s="120"/>
      <x:c r="F419" s="120" t="n">
        <x:v>53000</x:v>
      </x:c>
      <x:c r="G419" s="120" t="n">
        <x:v>53000</x:v>
      </x:c>
      <x:c r="H419" s="112" t="str">
        <x:v>BỔ SUNG GIÁ</x:v>
      </x:c>
      <x:c r="I419" s="112" t="n">
        <x:v>1000</x:v>
      </x:c>
      <x:c r="J419" s="112" t="str">
        <x:v>g</x:v>
      </x:c>
      <x:c r="K419" s="112" t="str">
        <x:v>CHAI</x:v>
      </x:c>
      <x:c r="L419" s="112" t="n">
        <x:v>13000</x:v>
      </x:c>
      <x:c r="M419" s="112" t="str">
        <x:v>g</x:v>
      </x:c>
      <x:c r="N419" s="112" t="str">
        <x:v>THÙNG</x:v>
      </x:c>
      <x:c r="O419" s="112" t="n">
        <x:v>12</x:v>
      </x:c>
      <x:c r="P419" s="112" t="str">
        <x:v>1000 g / CHAI</x:v>
      </x:c>
      <x:c r="Q419" s="112" t="str">
        <x:v>12 CHAI / THÙNG</x:v>
      </x:c>
      <x:c r="R419" s="112" t="n">
        <x:v>909</x:v>
      </x:c>
      <x:c r="S419" s="113" t="n">
        <x:v>910</x:v>
      </x:c>
    </x:row>
    <x:row r="420">
      <x:c r="A420" s="111" t="n">
        <x:v>420</x:v>
      </x:c>
      <x:c r="B420" s="112" t="str">
        <x:v>SIRO MAMA VẢI</x:v>
      </x:c>
      <x:c r="C420" s="112" t="str">
        <x:v>SRMMVA</x:v>
      </x:c>
      <x:c r="D420" s="112" t="str">
        <x:v>SRMMVAT</x:v>
      </x:c>
      <x:c r="E420" s="120"/>
      <x:c r="F420" s="120" t="n">
        <x:v>53000</x:v>
      </x:c>
      <x:c r="G420" s="120" t="n">
        <x:v>53000</x:v>
      </x:c>
      <x:c r="H420" s="112" t="str">
        <x:v>BỔ SUNG GIÁ</x:v>
      </x:c>
      <x:c r="I420" s="112" t="n">
        <x:v>1000</x:v>
      </x:c>
      <x:c r="J420" s="112" t="str">
        <x:v>g</x:v>
      </x:c>
      <x:c r="K420" s="112" t="str">
        <x:v>CHAI</x:v>
      </x:c>
      <x:c r="L420" s="112" t="n">
        <x:v>13000</x:v>
      </x:c>
      <x:c r="M420" s="112" t="str">
        <x:v>g</x:v>
      </x:c>
      <x:c r="N420" s="112" t="str">
        <x:v>THÙNG</x:v>
      </x:c>
      <x:c r="O420" s="112" t="n">
        <x:v>12</x:v>
      </x:c>
      <x:c r="P420" s="112" t="str">
        <x:v>1000 g / CHAI</x:v>
      </x:c>
      <x:c r="Q420" s="112" t="str">
        <x:v>12 CHAI / THÙNG</x:v>
      </x:c>
      <x:c r="R420" s="112" t="n">
        <x:v>911</x:v>
      </x:c>
      <x:c r="S420" s="113" t="n">
        <x:v>912</x:v>
      </x:c>
    </x:row>
    <x:row r="421">
      <x:c r="A421" s="111" t="n">
        <x:v>421</x:v>
      </x:c>
      <x:c r="B421" s="112" t="str">
        <x:v>SIRO MAMA TÁO</x:v>
      </x:c>
      <x:c r="C421" s="112" t="str">
        <x:v>SRMMTA</x:v>
      </x:c>
      <x:c r="D421" s="112" t="str">
        <x:v>SRMMTAT</x:v>
      </x:c>
      <x:c r="E421" s="120"/>
      <x:c r="F421" s="120" t="n">
        <x:v>53000</x:v>
      </x:c>
      <x:c r="G421" s="120" t="n">
        <x:v>53000</x:v>
      </x:c>
      <x:c r="H421" s="112" t="str">
        <x:v>BỔ SUNG GIÁ</x:v>
      </x:c>
      <x:c r="I421" s="112" t="n">
        <x:v>1000</x:v>
      </x:c>
      <x:c r="J421" s="112" t="str">
        <x:v>g</x:v>
      </x:c>
      <x:c r="K421" s="112" t="str">
        <x:v>CHAI</x:v>
      </x:c>
      <x:c r="L421" s="112" t="n">
        <x:v>13000</x:v>
      </x:c>
      <x:c r="M421" s="112" t="str">
        <x:v>g</x:v>
      </x:c>
      <x:c r="N421" s="112" t="str">
        <x:v>THÙNG</x:v>
      </x:c>
      <x:c r="O421" s="112" t="n">
        <x:v>12</x:v>
      </x:c>
      <x:c r="P421" s="112" t="str">
        <x:v>1000 g / CHAI</x:v>
      </x:c>
      <x:c r="Q421" s="112" t="str">
        <x:v>12 CHAI / THÙNG</x:v>
      </x:c>
      <x:c r="R421" s="112" t="n">
        <x:v>913</x:v>
      </x:c>
      <x:c r="S421" s="113" t="n">
        <x:v>914</x:v>
      </x:c>
    </x:row>
    <x:row r="422">
      <x:c r="A422" s="111" t="n">
        <x:v>422</x:v>
      </x:c>
      <x:c r="B422" s="112" t="str">
        <x:v>SIRO MAMA SẦU RIÊNG</x:v>
      </x:c>
      <x:c r="C422" s="112" t="str">
        <x:v>SRMMSR</x:v>
      </x:c>
      <x:c r="D422" s="112" t="str">
        <x:v>SRMMSRT</x:v>
      </x:c>
      <x:c r="E422" s="120"/>
      <x:c r="F422" s="120" t="n">
        <x:v>53000</x:v>
      </x:c>
      <x:c r="G422" s="120" t="n">
        <x:v>53000</x:v>
      </x:c>
      <x:c r="H422" s="112" t="str">
        <x:v>BỔ SUNG GIÁ</x:v>
      </x:c>
      <x:c r="I422" s="112" t="n">
        <x:v>1000</x:v>
      </x:c>
      <x:c r="J422" s="112" t="str">
        <x:v>g</x:v>
      </x:c>
      <x:c r="K422" s="112" t="str">
        <x:v>CHAI</x:v>
      </x:c>
      <x:c r="L422" s="112" t="n">
        <x:v>13000</x:v>
      </x:c>
      <x:c r="M422" s="112" t="str">
        <x:v>g</x:v>
      </x:c>
      <x:c r="N422" s="112" t="str">
        <x:v>THÙNG</x:v>
      </x:c>
      <x:c r="O422" s="112" t="n">
        <x:v>12</x:v>
      </x:c>
      <x:c r="P422" s="112" t="str">
        <x:v>1000 g / CHAI</x:v>
      </x:c>
      <x:c r="Q422" s="112" t="str">
        <x:v>12 CHAI / THÙNG</x:v>
      </x:c>
      <x:c r="R422" s="112" t="n">
        <x:v>915</x:v>
      </x:c>
      <x:c r="S422" s="113" t="n">
        <x:v>916</x:v>
      </x:c>
    </x:row>
    <x:row r="423">
      <x:c r="A423" s="111" t="n">
        <x:v>423</x:v>
      </x:c>
      <x:c r="B423" s="112" t="str">
        <x:v>SIRO MAMA SÂM DỨA</x:v>
      </x:c>
      <x:c r="C423" s="112" t="str">
        <x:v>SRMMSD</x:v>
      </x:c>
      <x:c r="D423" s="112" t="str">
        <x:v>SRMMSDT</x:v>
      </x:c>
      <x:c r="E423" s="120"/>
      <x:c r="F423" s="120" t="n">
        <x:v>53000</x:v>
      </x:c>
      <x:c r="G423" s="120" t="n">
        <x:v>53000</x:v>
      </x:c>
      <x:c r="H423" s="112" t="str">
        <x:v>BỔ SUNG GIÁ</x:v>
      </x:c>
      <x:c r="I423" s="112" t="n">
        <x:v>1000</x:v>
      </x:c>
      <x:c r="J423" s="112" t="str">
        <x:v>g</x:v>
      </x:c>
      <x:c r="K423" s="112" t="str">
        <x:v>CHAI</x:v>
      </x:c>
      <x:c r="L423" s="112" t="n">
        <x:v>13000</x:v>
      </x:c>
      <x:c r="M423" s="112" t="str">
        <x:v>g</x:v>
      </x:c>
      <x:c r="N423" s="112" t="str">
        <x:v>THÙNG</x:v>
      </x:c>
      <x:c r="O423" s="112" t="n">
        <x:v>12</x:v>
      </x:c>
      <x:c r="P423" s="112" t="str">
        <x:v>1000 g / CHAI</x:v>
      </x:c>
      <x:c r="Q423" s="112" t="str">
        <x:v>12 CHAI / THÙNG</x:v>
      </x:c>
      <x:c r="R423" s="112" t="n">
        <x:v>917</x:v>
      </x:c>
      <x:c r="S423" s="113" t="n">
        <x:v>918</x:v>
      </x:c>
    </x:row>
    <x:row r="424">
      <x:c r="A424" s="111" t="n">
        <x:v>424</x:v>
      </x:c>
      <x:c r="B424" s="112" t="str">
        <x:v>SIRO MAMA ỔI</x:v>
      </x:c>
      <x:c r="C424" s="112" t="str">
        <x:v>SRMMOI</x:v>
      </x:c>
      <x:c r="D424" s="112" t="str">
        <x:v>SRMMOIT</x:v>
      </x:c>
      <x:c r="E424" s="120"/>
      <x:c r="F424" s="120" t="n">
        <x:v>53000</x:v>
      </x:c>
      <x:c r="G424" s="120" t="n">
        <x:v>53000</x:v>
      </x:c>
      <x:c r="H424" s="112" t="str">
        <x:v>BỔ SUNG GIÁ</x:v>
      </x:c>
      <x:c r="I424" s="112" t="n">
        <x:v>1000</x:v>
      </x:c>
      <x:c r="J424" s="112" t="str">
        <x:v>g</x:v>
      </x:c>
      <x:c r="K424" s="112" t="str">
        <x:v>CHAI</x:v>
      </x:c>
      <x:c r="L424" s="112" t="n">
        <x:v>13000</x:v>
      </x:c>
      <x:c r="M424" s="112" t="str">
        <x:v>g</x:v>
      </x:c>
      <x:c r="N424" s="112" t="str">
        <x:v>THÙNG</x:v>
      </x:c>
      <x:c r="O424" s="112" t="n">
        <x:v>12</x:v>
      </x:c>
      <x:c r="P424" s="112" t="str">
        <x:v>1000 g / CHAI</x:v>
      </x:c>
      <x:c r="Q424" s="112" t="str">
        <x:v>12 CHAI / THÙNG</x:v>
      </x:c>
      <x:c r="R424" s="112" t="n">
        <x:v>919</x:v>
      </x:c>
      <x:c r="S424" s="113" t="n">
        <x:v>920</x:v>
      </x:c>
    </x:row>
    <x:row r="425">
      <x:c r="A425" s="111" t="n">
        <x:v>425</x:v>
      </x:c>
      <x:c r="B425" s="112" t="str">
        <x:v>SIRO MAMA NHO</x:v>
      </x:c>
      <x:c r="C425" s="112" t="str">
        <x:v>SRMMNO</x:v>
      </x:c>
      <x:c r="D425" s="112" t="str">
        <x:v>SRMMNOT</x:v>
      </x:c>
      <x:c r="E425" s="120"/>
      <x:c r="F425" s="120" t="n">
        <x:v>53000</x:v>
      </x:c>
      <x:c r="G425" s="120" t="n">
        <x:v>53000</x:v>
      </x:c>
      <x:c r="H425" s="112" t="str">
        <x:v>BỔ SUNG GIÁ</x:v>
      </x:c>
      <x:c r="I425" s="112" t="n">
        <x:v>1000</x:v>
      </x:c>
      <x:c r="J425" s="112" t="str">
        <x:v>g</x:v>
      </x:c>
      <x:c r="K425" s="112" t="str">
        <x:v>CHAI</x:v>
      </x:c>
      <x:c r="L425" s="112" t="n">
        <x:v>13000</x:v>
      </x:c>
      <x:c r="M425" s="112" t="str">
        <x:v>g</x:v>
      </x:c>
      <x:c r="N425" s="112" t="str">
        <x:v>THÙNG</x:v>
      </x:c>
      <x:c r="O425" s="112" t="n">
        <x:v>12</x:v>
      </x:c>
      <x:c r="P425" s="112" t="str">
        <x:v>1000 g / CHAI</x:v>
      </x:c>
      <x:c r="Q425" s="112" t="str">
        <x:v>12 CHAI / THÙNG</x:v>
      </x:c>
      <x:c r="R425" s="112" t="n">
        <x:v>921</x:v>
      </x:c>
      <x:c r="S425" s="113" t="n">
        <x:v>922</x:v>
      </x:c>
    </x:row>
    <x:row r="426">
      <x:c r="A426" s="111" t="n">
        <x:v>426</x:v>
      </x:c>
      <x:c r="B426" s="112" t="str">
        <x:v>SIRO MAMA NHÃN</x:v>
      </x:c>
      <x:c r="C426" s="112" t="str">
        <x:v>SRMMNA</x:v>
      </x:c>
      <x:c r="D426" s="112" t="str">
        <x:v>SRMMNAT</x:v>
      </x:c>
      <x:c r="E426" s="120"/>
      <x:c r="F426" s="120" t="n">
        <x:v>53000</x:v>
      </x:c>
      <x:c r="G426" s="120" t="n">
        <x:v>53000</x:v>
      </x:c>
      <x:c r="H426" s="112" t="str">
        <x:v>BỔ SUNG GIÁ</x:v>
      </x:c>
      <x:c r="I426" s="112" t="n">
        <x:v>1000</x:v>
      </x:c>
      <x:c r="J426" s="112" t="str">
        <x:v>g</x:v>
      </x:c>
      <x:c r="K426" s="112" t="str">
        <x:v>CHAI</x:v>
      </x:c>
      <x:c r="L426" s="112" t="n">
        <x:v>13000</x:v>
      </x:c>
      <x:c r="M426" s="112" t="str">
        <x:v>g</x:v>
      </x:c>
      <x:c r="N426" s="112" t="str">
        <x:v>THÙNG</x:v>
      </x:c>
      <x:c r="O426" s="112" t="n">
        <x:v>12</x:v>
      </x:c>
      <x:c r="P426" s="112" t="str">
        <x:v>1000 g / CHAI</x:v>
      </x:c>
      <x:c r="Q426" s="112" t="str">
        <x:v>12 CHAI / THÙNG</x:v>
      </x:c>
      <x:c r="R426" s="112" t="n">
        <x:v>923</x:v>
      </x:c>
      <x:c r="S426" s="113" t="n">
        <x:v>924</x:v>
      </x:c>
    </x:row>
    <x:row r="427">
      <x:c r="A427" s="111" t="n">
        <x:v>427</x:v>
      </x:c>
      <x:c r="B427" s="112" t="str">
        <x:v>SIRO MAMA MÔN</x:v>
      </x:c>
      <x:c r="C427" s="112" t="str">
        <x:v>SRMMMN</x:v>
      </x:c>
      <x:c r="D427" s="112" t="str">
        <x:v>SRMMMNT</x:v>
      </x:c>
      <x:c r="E427" s="120"/>
      <x:c r="F427" s="120" t="n">
        <x:v>53000</x:v>
      </x:c>
      <x:c r="G427" s="120" t="n">
        <x:v>53000</x:v>
      </x:c>
      <x:c r="H427" s="112" t="str">
        <x:v>BỔ SUNG GIÁ</x:v>
      </x:c>
      <x:c r="I427" s="112" t="n">
        <x:v>0</x:v>
      </x:c>
      <x:c r="J427" s="112" t="str">
        <x:v>g</x:v>
      </x:c>
      <x:c r="K427" s="112" t="str">
        <x:v>CHAI</x:v>
      </x:c>
      <x:c r="L427" s="112" t="n">
        <x:v>13000</x:v>
      </x:c>
      <x:c r="M427" s="112" t="str">
        <x:v>g</x:v>
      </x:c>
      <x:c r="N427" s="112" t="str">
        <x:v>THÙNG</x:v>
      </x:c>
      <x:c r="O427" s="112" t="n">
        <x:v>12</x:v>
      </x:c>
      <x:c r="P427" s="112" t="str">
        <x:v>0 g / CHAI</x:v>
      </x:c>
      <x:c r="Q427" s="112" t="str">
        <x:v>12 CHAI / THÙNG</x:v>
      </x:c>
      <x:c r="R427" s="112" t="n">
        <x:v>925</x:v>
      </x:c>
      <x:c r="S427" s="113" t="n">
        <x:v>926</x:v>
      </x:c>
    </x:row>
    <x:row r="428">
      <x:c r="A428" s="111" t="n">
        <x:v>428</x:v>
      </x:c>
      <x:c r="B428" s="112" t="str">
        <x:v>SIRO MAMA ĐÀO</x:v>
      </x:c>
      <x:c r="C428" s="112" t="str">
        <x:v>SRMMDO</x:v>
      </x:c>
      <x:c r="D428" s="112" t="str">
        <x:v>SRMMDOT</x:v>
      </x:c>
      <x:c r="E428" s="120"/>
      <x:c r="F428" s="120" t="n">
        <x:v>53000</x:v>
      </x:c>
      <x:c r="G428" s="120" t="n">
        <x:v>53000</x:v>
      </x:c>
      <x:c r="H428" s="112" t="str">
        <x:v>BỔ SUNG GIÁ</x:v>
      </x:c>
      <x:c r="I428" s="112" t="n">
        <x:v>1000</x:v>
      </x:c>
      <x:c r="J428" s="112" t="str">
        <x:v>g</x:v>
      </x:c>
      <x:c r="K428" s="112" t="str">
        <x:v>CHAI</x:v>
      </x:c>
      <x:c r="L428" s="112" t="n">
        <x:v>13000</x:v>
      </x:c>
      <x:c r="M428" s="112" t="str">
        <x:v>g</x:v>
      </x:c>
      <x:c r="N428" s="112" t="str">
        <x:v>THÙNG</x:v>
      </x:c>
      <x:c r="O428" s="112" t="n">
        <x:v>12</x:v>
      </x:c>
      <x:c r="P428" s="112" t="str">
        <x:v>1000 g / CHAI</x:v>
      </x:c>
      <x:c r="Q428" s="112" t="str">
        <x:v>12 CHAI / THÙNG</x:v>
      </x:c>
      <x:c r="R428" s="112" t="n">
        <x:v>927</x:v>
      </x:c>
      <x:c r="S428" s="113" t="n">
        <x:v>928</x:v>
      </x:c>
    </x:row>
    <x:row r="429">
      <x:c r="A429" s="111" t="n">
        <x:v>429</x:v>
      </x:c>
      <x:c r="B429" s="112" t="str">
        <x:v>SIRO MAMA DƯA LƯỚI</x:v>
      </x:c>
      <x:c r="C429" s="112" t="str">
        <x:v>SRMMDL</x:v>
      </x:c>
      <x:c r="D429" s="112" t="str">
        <x:v>SRMMDLT</x:v>
      </x:c>
      <x:c r="E429" s="120"/>
      <x:c r="F429" s="120" t="n">
        <x:v>53000</x:v>
      </x:c>
      <x:c r="G429" s="120" t="n">
        <x:v>53000</x:v>
      </x:c>
      <x:c r="H429" s="112" t="str">
        <x:v>BỔ SUNG GIÁ</x:v>
      </x:c>
      <x:c r="I429" s="112" t="n">
        <x:v>1000</x:v>
      </x:c>
      <x:c r="J429" s="112" t="str">
        <x:v>g</x:v>
      </x:c>
      <x:c r="K429" s="112" t="str">
        <x:v>CHAI</x:v>
      </x:c>
      <x:c r="L429" s="112" t="n">
        <x:v>13000</x:v>
      </x:c>
      <x:c r="M429" s="112" t="str">
        <x:v>g</x:v>
      </x:c>
      <x:c r="N429" s="112" t="str">
        <x:v>THÙNG</x:v>
      </x:c>
      <x:c r="O429" s="112" t="n">
        <x:v>12</x:v>
      </x:c>
      <x:c r="P429" s="112" t="str">
        <x:v>1000 g / CHAI</x:v>
      </x:c>
      <x:c r="Q429" s="112" t="str">
        <x:v>12 CHAI / THÙNG</x:v>
      </x:c>
      <x:c r="R429" s="112" t="n">
        <x:v>929</x:v>
      </x:c>
      <x:c r="S429" s="113" t="n">
        <x:v>930</x:v>
      </x:c>
    </x:row>
    <x:row r="430">
      <x:c r="A430" s="111" t="n">
        <x:v>430</x:v>
      </x:c>
      <x:c r="B430" s="112" t="str">
        <x:v>SIRO MAMA DÂU</x:v>
      </x:c>
      <x:c r="C430" s="112" t="str">
        <x:v>SRMMDA</x:v>
      </x:c>
      <x:c r="D430" s="112" t="str">
        <x:v>SRMMDAT</x:v>
      </x:c>
      <x:c r="E430" s="120"/>
      <x:c r="F430" s="120" t="n">
        <x:v>53000</x:v>
      </x:c>
      <x:c r="G430" s="120" t="n">
        <x:v>53000</x:v>
      </x:c>
      <x:c r="H430" s="112" t="str">
        <x:v>BỔ SUNG GIÁ</x:v>
      </x:c>
      <x:c r="I430" s="112" t="n">
        <x:v>1000</x:v>
      </x:c>
      <x:c r="J430" s="112" t="str">
        <x:v>g</x:v>
      </x:c>
      <x:c r="K430" s="112" t="str">
        <x:v>CHAI</x:v>
      </x:c>
      <x:c r="L430" s="112" t="n">
        <x:v>13000</x:v>
      </x:c>
      <x:c r="M430" s="112" t="str">
        <x:v>g</x:v>
      </x:c>
      <x:c r="N430" s="112" t="str">
        <x:v>THÙNG</x:v>
      </x:c>
      <x:c r="O430" s="112" t="n">
        <x:v>12</x:v>
      </x:c>
      <x:c r="P430" s="112" t="str">
        <x:v>1000 g / CHAI</x:v>
      </x:c>
      <x:c r="Q430" s="112" t="str">
        <x:v>12 CHAI / THÙNG</x:v>
      </x:c>
      <x:c r="R430" s="112" t="n">
        <x:v>931</x:v>
      </x:c>
      <x:c r="S430" s="113" t="n">
        <x:v>932</x:v>
      </x:c>
    </x:row>
    <x:row r="431">
      <x:c r="A431" s="111" t="n">
        <x:v>431</x:v>
      </x:c>
      <x:c r="B431" s="112" t="str">
        <x:v>SIRO MAMA BẠC HÀ</x:v>
      </x:c>
      <x:c r="C431" s="112" t="str">
        <x:v>SRMMBH</x:v>
      </x:c>
      <x:c r="D431" s="112" t="str">
        <x:v>SRMMBHT</x:v>
      </x:c>
      <x:c r="E431" s="120"/>
      <x:c r="F431" s="120" t="n">
        <x:v>53000</x:v>
      </x:c>
      <x:c r="G431" s="120" t="n">
        <x:v>53000</x:v>
      </x:c>
      <x:c r="H431" s="112" t="str">
        <x:v>BỔ SUNG GIÁ</x:v>
      </x:c>
      <x:c r="I431" s="112" t="n">
        <x:v>1000</x:v>
      </x:c>
      <x:c r="J431" s="112" t="str">
        <x:v>g</x:v>
      </x:c>
      <x:c r="K431" s="112" t="str">
        <x:v>CHAI</x:v>
      </x:c>
      <x:c r="L431" s="112" t="n">
        <x:v>13000</x:v>
      </x:c>
      <x:c r="M431" s="112" t="str">
        <x:v>g</x:v>
      </x:c>
      <x:c r="N431" s="112" t="str">
        <x:v>THÙNG</x:v>
      </x:c>
      <x:c r="O431" s="112" t="n">
        <x:v>12</x:v>
      </x:c>
      <x:c r="P431" s="112" t="str">
        <x:v>1000 g / CHAI</x:v>
      </x:c>
      <x:c r="Q431" s="112" t="str">
        <x:v>12 CHAI / THÙNG</x:v>
      </x:c>
      <x:c r="R431" s="112" t="n">
        <x:v>933</x:v>
      </x:c>
      <x:c r="S431" s="113" t="n">
        <x:v>934</x:v>
      </x:c>
    </x:row>
    <x:row r="432">
      <x:c r="A432" s="111" t="n">
        <x:v>432</x:v>
      </x:c>
      <x:c r="B432" s="112" t="str">
        <x:v>LY 700 IN</x:v>
      </x:c>
      <x:c r="C432" s="112" t="str">
        <x:v>LYI700</x:v>
      </x:c>
      <x:c r="D432" s="112" t="str">
        <x:v>LYI700T</x:v>
      </x:c>
      <x:c r="E432" s="120"/>
      <x:c r="F432" s="120" t="n">
        <x:v>0</x:v>
      </x:c>
      <x:c r="G432" s="120"/>
      <x:c r="H432" s="112" t="str">
        <x:v>DS SP GIÁ 0 - VẪN THIẾU GIÁ</x:v>
      </x:c>
      <x:c r="I432" s="112" t="n">
        <x:v>0</x:v>
      </x:c>
      <x:c r="J432" s="112" t="str">
        <x:v>g</x:v>
      </x:c>
      <x:c r="K432" s="112" t="str">
        <x:v>CÂY</x:v>
      </x:c>
      <x:c r="L432" s="112" t="n">
        <x:v>0</x:v>
      </x:c>
      <x:c r="M432" s="112" t="str">
        <x:v>g</x:v>
      </x:c>
      <x:c r="N432" s="112" t="str">
        <x:v>THÙNG</x:v>
      </x:c>
      <x:c r="O432" s="112" t="n">
        <x:v>20</x:v>
      </x:c>
      <x:c r="P432" s="112" t="str">
        <x:v>0 g / CÂY</x:v>
      </x:c>
      <x:c r="Q432" s="112" t="str">
        <x:v>20 CÂY / THÙNG</x:v>
      </x:c>
      <x:c r="R432" s="112" t="n">
        <x:v>939</x:v>
      </x:c>
      <x:c r="S432" s="113" t="n">
        <x:v>940</x:v>
      </x:c>
    </x:row>
    <x:row r="433">
      <x:c r="A433" s="111" t="n">
        <x:v>433</x:v>
      </x:c>
      <x:c r="B433" s="112" t="str">
        <x:v>LY 650 UKP</x:v>
      </x:c>
      <x:c r="C433" s="112" t="str">
        <x:v>LYU650</x:v>
      </x:c>
      <x:c r="D433" s="112" t="str">
        <x:v>LYU650T</x:v>
      </x:c>
      <x:c r="E433" s="120"/>
      <x:c r="F433" s="120" t="n">
        <x:v>0</x:v>
      </x:c>
      <x:c r="G433" s="120"/>
      <x:c r="H433" s="112" t="str">
        <x:v>DS SP GIÁ 0 - VẪN THIẾU GIÁ</x:v>
      </x:c>
      <x:c r="I433" s="112" t="n">
        <x:v>0</x:v>
      </x:c>
      <x:c r="J433" s="112" t="str">
        <x:v>g</x:v>
      </x:c>
      <x:c r="K433" s="112" t="str">
        <x:v>CÂY</x:v>
      </x:c>
      <x:c r="L433" s="112" t="n">
        <x:v>0</x:v>
      </x:c>
      <x:c r="M433" s="112" t="str">
        <x:v>g</x:v>
      </x:c>
      <x:c r="N433" s="112" t="str">
        <x:v>THÙNG</x:v>
      </x:c>
      <x:c r="O433" s="112" t="n">
        <x:v>20</x:v>
      </x:c>
      <x:c r="P433" s="112" t="str">
        <x:v>0 g / CÂY</x:v>
      </x:c>
      <x:c r="Q433" s="112" t="str">
        <x:v>20 CÂY / THÙNG</x:v>
      </x:c>
      <x:c r="R433" s="112" t="n">
        <x:v>941</x:v>
      </x:c>
      <x:c r="S433" s="113" t="n">
        <x:v>942</x:v>
      </x:c>
    </x:row>
    <x:row r="434">
      <x:c r="A434" s="111" t="n">
        <x:v>434</x:v>
      </x:c>
      <x:c r="B434" s="112" t="str">
        <x:v>LY 500 IN</x:v>
      </x:c>
      <x:c r="C434" s="112" t="str">
        <x:v>LYI500</x:v>
      </x:c>
      <x:c r="D434" s="112" t="str">
        <x:v>LYI500T</x:v>
      </x:c>
      <x:c r="E434" s="120"/>
      <x:c r="F434" s="120" t="n">
        <x:v>0</x:v>
      </x:c>
      <x:c r="G434" s="120"/>
      <x:c r="H434" s="112" t="str">
        <x:v>DS SP GIÁ 0 - VẪN THIẾU GIÁ</x:v>
      </x:c>
      <x:c r="I434" s="112" t="n">
        <x:v>0</x:v>
      </x:c>
      <x:c r="J434" s="112" t="str">
        <x:v>g</x:v>
      </x:c>
      <x:c r="K434" s="112" t="str">
        <x:v>CÂY</x:v>
      </x:c>
      <x:c r="L434" s="112" t="n">
        <x:v>0</x:v>
      </x:c>
      <x:c r="M434" s="112" t="str">
        <x:v>g</x:v>
      </x:c>
      <x:c r="N434" s="112" t="str">
        <x:v>THÙNG</x:v>
      </x:c>
      <x:c r="O434" s="112" t="n">
        <x:v>20</x:v>
      </x:c>
      <x:c r="P434" s="112" t="str">
        <x:v>0 g / CÂY</x:v>
      </x:c>
      <x:c r="Q434" s="112" t="str">
        <x:v>20 CÂY / THÙNG</x:v>
      </x:c>
      <x:c r="R434" s="112" t="n">
        <x:v>943</x:v>
      </x:c>
      <x:c r="S434" s="113" t="n">
        <x:v>944</x:v>
      </x:c>
    </x:row>
    <x:row r="435">
      <x:c r="A435" s="111" t="n">
        <x:v>435</x:v>
      </x:c>
      <x:c r="B435" s="112" t="str">
        <x:v>LY 500 UKP</x:v>
      </x:c>
      <x:c r="C435" s="112" t="str">
        <x:v>LYU500</x:v>
      </x:c>
      <x:c r="D435" s="112" t="str">
        <x:v>LYU500T</x:v>
      </x:c>
      <x:c r="E435" s="120"/>
      <x:c r="F435" s="120" t="n">
        <x:v>23000</x:v>
      </x:c>
      <x:c r="G435" s="120" t="n">
        <x:v>23000</x:v>
      </x:c>
      <x:c r="H435" s="112" t="str">
        <x:v>BỔ SUNG GIÁ</x:v>
      </x:c>
      <x:c r="I435" s="112" t="n">
        <x:v>0</x:v>
      </x:c>
      <x:c r="J435" s="112" t="str">
        <x:v>g</x:v>
      </x:c>
      <x:c r="K435" s="112" t="str">
        <x:v>CÂY</x:v>
      </x:c>
      <x:c r="L435" s="112" t="n">
        <x:v>0</x:v>
      </x:c>
      <x:c r="M435" s="112" t="str">
        <x:v>g</x:v>
      </x:c>
      <x:c r="N435" s="112" t="str">
        <x:v>THÙNG</x:v>
      </x:c>
      <x:c r="O435" s="112" t="n">
        <x:v>20</x:v>
      </x:c>
      <x:c r="P435" s="112" t="str">
        <x:v>0 g / CÂY</x:v>
      </x:c>
      <x:c r="Q435" s="112" t="str">
        <x:v>20 CÂY / THÙNG</x:v>
      </x:c>
      <x:c r="R435" s="112" t="n">
        <x:v>945</x:v>
      </x:c>
      <x:c r="S435" s="113" t="n">
        <x:v>946</x:v>
      </x:c>
    </x:row>
    <x:row r="436">
      <x:c r="A436" s="111" t="n">
        <x:v>436</x:v>
      </x:c>
      <x:c r="B436" s="112" t="str">
        <x:v>COZY LIPTON</x:v>
      </x:c>
      <x:c r="C436" s="112" t="str">
        <x:v>LIPTON</x:v>
      </x:c>
      <x:c r="D436" s="112" t="str">
        <x:v>LIPTONT</x:v>
      </x:c>
      <x:c r="E436" s="120" t="n">
        <x:v>79000</x:v>
      </x:c>
      <x:c r="F436" s="120" t="n">
        <x:v>79000</x:v>
      </x:c>
      <x:c r="G436" s="120" t="n">
        <x:v>79000</x:v>
      </x:c>
      <x:c r="H436" s="112" t="str">
        <x:v>GIỮ NGUYÊN - ĐÃ KHỚP</x:v>
      </x:c>
      <x:c r="I436" s="112" t="n">
        <x:v>200</x:v>
      </x:c>
      <x:c r="J436" s="112" t="str">
        <x:v>g</x:v>
      </x:c>
      <x:c r="K436" s="112" t="str">
        <x:v>HỘP</x:v>
      </x:c>
      <x:c r="L436" s="112" t="n">
        <x:v>6.5</x:v>
      </x:c>
      <x:c r="M436" s="112" t="str">
        <x:v>kg</x:v>
      </x:c>
      <x:c r="N436" s="112" t="str">
        <x:v>THÙNG</x:v>
      </x:c>
      <x:c r="O436" s="112" t="n">
        <x:v>28</x:v>
      </x:c>
      <x:c r="P436" s="112" t="str">
        <x:v>200 g / HỘP</x:v>
      </x:c>
      <x:c r="Q436" s="112" t="str">
        <x:v>28 HỘP / THÙNG</x:v>
      </x:c>
      <x:c r="R436" s="112" t="n">
        <x:v>950</x:v>
      </x:c>
      <x:c r="S436" s="113" t="n">
        <x:v>951</x:v>
      </x:c>
    </x:row>
    <x:row r="437">
      <x:c r="A437" s="111" t="n">
        <x:v>437</x:v>
      </x:c>
      <x:c r="B437" s="112" t="str">
        <x:v>KHOAI TÂY 2KG</x:v>
      </x:c>
      <x:c r="C437" s="112" t="str">
        <x:v>KTAY2K</x:v>
      </x:c>
      <x:c r="D437" s="112" t="str">
        <x:v>KTAY2KT</x:v>
      </x:c>
      <x:c r="E437" s="120" t="n">
        <x:v>130000</x:v>
      </x:c>
      <x:c r="F437" s="120" t="n">
        <x:v>130000</x:v>
      </x:c>
      <x:c r="G437" s="120" t="n">
        <x:v>130000</x:v>
      </x:c>
      <x:c r="H437" s="112" t="str">
        <x:v>GIỮ NGUYÊN - ĐÃ KHỚP</x:v>
      </x:c>
      <x:c r="I437" s="112" t="n">
        <x:v>2</x:v>
      </x:c>
      <x:c r="J437" s="112" t="str">
        <x:v>kg</x:v>
      </x:c>
      <x:c r="K437" s="112" t="str">
        <x:v>BỊCH</x:v>
      </x:c>
      <x:c r="L437" s="112" t="n">
        <x:v>12</x:v>
      </x:c>
      <x:c r="M437" s="112" t="str">
        <x:v>kg</x:v>
      </x:c>
      <x:c r="N437" s="112" t="str">
        <x:v>THÙNG</x:v>
      </x:c>
      <x:c r="O437" s="112" t="n">
        <x:v>6</x:v>
      </x:c>
      <x:c r="P437" s="112" t="str">
        <x:v>2 kg / BỊCH</x:v>
      </x:c>
      <x:c r="Q437" s="112" t="str">
        <x:v>6 BỊCH / THÙNG</x:v>
      </x:c>
      <x:c r="R437" s="112" t="n">
        <x:v>958</x:v>
      </x:c>
      <x:c r="S437" s="113" t="n">
        <x:v>959</x:v>
      </x:c>
    </x:row>
    <x:row r="438">
      <x:c r="A438" s="111" t="n">
        <x:v>438</x:v>
      </x:c>
      <x:c r="B438" s="112" t="str">
        <x:v>ICEHOT KEM BÉO TRÀ SỮA</x:v>
      </x:c>
      <x:c r="C438" s="112" t="str">
        <x:v>KBTSIH</x:v>
      </x:c>
      <x:c r="D438" s="112" t="str">
        <x:v>KBTSIHT</x:v>
      </x:c>
      <x:c r="E438" s="120"/>
      <x:c r="F438" s="120" t="n">
        <x:v>52000</x:v>
      </x:c>
      <x:c r="G438" s="120" t="n">
        <x:v>52000</x:v>
      </x:c>
      <x:c r="H438" s="112" t="str">
        <x:v>BỔ SUNG GIÁ</x:v>
      </x:c>
      <x:c r="I438" s="112" t="n">
        <x:v>1100</x:v>
      </x:c>
      <x:c r="J438" s="112" t="str">
        <x:v>g</x:v>
      </x:c>
      <x:c r="K438" s="112" t="str">
        <x:v>HỘP 1KG</x:v>
      </x:c>
      <x:c r="L438" s="112" t="n">
        <x:v>13000</x:v>
      </x:c>
      <x:c r="M438" s="112" t="str">
        <x:v>g</x:v>
      </x:c>
      <x:c r="N438" s="112" t="str">
        <x:v>THÙNG</x:v>
      </x:c>
      <x:c r="O438" s="112" t="n">
        <x:v>12</x:v>
      </x:c>
      <x:c r="P438" s="112" t="str">
        <x:v>1100 g / HỘP 1KG</x:v>
      </x:c>
      <x:c r="Q438" s="112" t="str">
        <x:v>12 HỘP 1KG / THÙNG</x:v>
      </x:c>
      <x:c r="R438" s="112" t="n">
        <x:v>963</x:v>
      </x:c>
      <x:c r="S438" s="113" t="n">
        <x:v>964</x:v>
      </x:c>
    </x:row>
    <x:row r="439">
      <x:c r="A439" s="111" t="n">
        <x:v>439</x:v>
      </x:c>
      <x:c r="B439" s="112" t="str">
        <x:v>HÚT XANH PHI 12</x:v>
      </x:c>
      <x:c r="C439" s="112" t="str">
        <x:v>HXANH12</x:v>
      </x:c>
      <x:c r="D439" s="112" t="str">
        <x:v>HXANH12T</x:v>
      </x:c>
      <x:c r="E439" s="120"/>
      <x:c r="F439" s="120" t="n">
        <x:v>25000</x:v>
      </x:c>
      <x:c r="G439" s="120" t="n">
        <x:v>25000</x:v>
      </x:c>
      <x:c r="H439" s="112" t="str">
        <x:v>BỔ SUNG GIÁ</x:v>
      </x:c>
      <x:c r="I439" s="112" t="n">
        <x:v>0</x:v>
      </x:c>
      <x:c r="J439" s="112" t="str">
        <x:v>g</x:v>
      </x:c>
      <x:c r="K439" s="112" t="str">
        <x:v>BỊCH</x:v>
      </x:c>
      <x:c r="L439" s="112" t="n">
        <x:v>0</x:v>
      </x:c>
      <x:c r="M439" s="112" t="str">
        <x:v>g</x:v>
      </x:c>
      <x:c r="N439" s="112" t="str">
        <x:v>CÂY</x:v>
      </x:c>
      <x:c r="O439" s="112" t="n">
        <x:v>10</x:v>
      </x:c>
      <x:c r="P439" s="112" t="str">
        <x:v>0 g / BỊCH</x:v>
      </x:c>
      <x:c r="Q439" s="112" t="str">
        <x:v>10 BỊCH / CÂY</x:v>
      </x:c>
      <x:c r="R439" s="112" t="n">
        <x:v>971</x:v>
      </x:c>
      <x:c r="S439" s="113" t="n">
        <x:v>972</x:v>
      </x:c>
    </x:row>
    <x:row r="440">
      <x:c r="A440" s="111" t="n">
        <x:v>440</x:v>
      </x:c>
      <x:c r="B440" s="112" t="str">
        <x:v>HÚT VÀNG PHI 12</x:v>
      </x:c>
      <x:c r="C440" s="112" t="str">
        <x:v>HVANG12</x:v>
      </x:c>
      <x:c r="D440" s="112" t="str">
        <x:v>HVANG12T</x:v>
      </x:c>
      <x:c r="E440" s="120"/>
      <x:c r="F440" s="120" t="n">
        <x:v>25000</x:v>
      </x:c>
      <x:c r="G440" s="120" t="n">
        <x:v>25000</x:v>
      </x:c>
      <x:c r="H440" s="112" t="str">
        <x:v>BỔ SUNG GIÁ</x:v>
      </x:c>
      <x:c r="I440" s="112" t="n">
        <x:v>0</x:v>
      </x:c>
      <x:c r="J440" s="112" t="str">
        <x:v>g</x:v>
      </x:c>
      <x:c r="K440" s="112" t="str">
        <x:v>BỊCH</x:v>
      </x:c>
      <x:c r="L440" s="112" t="n">
        <x:v>0</x:v>
      </x:c>
      <x:c r="M440" s="112" t="str">
        <x:v>g</x:v>
      </x:c>
      <x:c r="N440" s="112" t="str">
        <x:v>CÂY</x:v>
      </x:c>
      <x:c r="O440" s="112" t="n">
        <x:v>10</x:v>
      </x:c>
      <x:c r="P440" s="112" t="str">
        <x:v>0 g / BỊCH</x:v>
      </x:c>
      <x:c r="Q440" s="112" t="str">
        <x:v>10 BỊCH / CÂY</x:v>
      </x:c>
      <x:c r="R440" s="112" t="n">
        <x:v>973</x:v>
      </x:c>
      <x:c r="S440" s="113" t="n">
        <x:v>974</x:v>
      </x:c>
    </x:row>
    <x:row r="441">
      <x:c r="A441" s="111" t="n">
        <x:v>441</x:v>
      </x:c>
      <x:c r="B441" s="112" t="str">
        <x:v>HÚT TRẮNG PHI 8</x:v>
      </x:c>
      <x:c r="C441" s="112" t="str">
        <x:v>HTRGP8</x:v>
      </x:c>
      <x:c r="D441" s="112" t="str">
        <x:v>HTRGP8T</x:v>
      </x:c>
      <x:c r="E441" s="120" t="n">
        <x:v>28000</x:v>
      </x:c>
      <x:c r="F441" s="120" t="n">
        <x:v>25000</x:v>
      </x:c>
      <x:c r="G441" s="120" t="n">
        <x:v>25000</x:v>
      </x:c>
      <x:c r="H441" s="112" t="str">
        <x:v>CẬP NHẬT GIÁ</x:v>
      </x:c>
      <x:c r="I441" s="112" t="n">
        <x:v>0</x:v>
      </x:c>
      <x:c r="J441" s="112" t="str">
        <x:v>g</x:v>
      </x:c>
      <x:c r="K441" s="112" t="str">
        <x:v>BỊCH</x:v>
      </x:c>
      <x:c r="L441" s="112" t="n">
        <x:v>5</x:v>
      </x:c>
      <x:c r="M441" s="112" t="str">
        <x:v>kg</x:v>
      </x:c>
      <x:c r="N441" s="112" t="str">
        <x:v>CÂY</x:v>
      </x:c>
      <x:c r="O441" s="112" t="n">
        <x:v>10</x:v>
      </x:c>
      <x:c r="P441" s="112" t="str">
        <x:v>0 g / BỊCH</x:v>
      </x:c>
      <x:c r="Q441" s="112" t="str">
        <x:v>10 BỊCH / CÂY</x:v>
      </x:c>
      <x:c r="R441" s="112" t="n">
        <x:v>975</x:v>
      </x:c>
      <x:c r="S441" s="113" t="n">
        <x:v>976</x:v>
      </x:c>
    </x:row>
    <x:row r="442">
      <x:c r="A442" s="111" t="n">
        <x:v>442</x:v>
      </x:c>
      <x:c r="B442" s="112" t="str">
        <x:v>HÚT TRẮNG PHI 6</x:v>
      </x:c>
      <x:c r="C442" s="112" t="str">
        <x:v>HTRGP6</x:v>
      </x:c>
      <x:c r="D442" s="112" t="str">
        <x:v>HTRGP6T</x:v>
      </x:c>
      <x:c r="E442" s="120" t="n">
        <x:v>28000</x:v>
      </x:c>
      <x:c r="F442" s="120" t="n">
        <x:v>25000</x:v>
      </x:c>
      <x:c r="G442" s="120" t="n">
        <x:v>25000</x:v>
      </x:c>
      <x:c r="H442" s="112" t="str">
        <x:v>CẬP NHẬT GIÁ</x:v>
      </x:c>
      <x:c r="I442" s="112" t="n">
        <x:v>0</x:v>
      </x:c>
      <x:c r="J442" s="112" t="str">
        <x:v>g</x:v>
      </x:c>
      <x:c r="K442" s="112" t="str">
        <x:v>BỊCH</x:v>
      </x:c>
      <x:c r="L442" s="112" t="n">
        <x:v>5</x:v>
      </x:c>
      <x:c r="M442" s="112" t="str">
        <x:v>kg</x:v>
      </x:c>
      <x:c r="N442" s="112" t="str">
        <x:v>CÂY</x:v>
      </x:c>
      <x:c r="O442" s="112" t="n">
        <x:v>10</x:v>
      </x:c>
      <x:c r="P442" s="112" t="str">
        <x:v>0 g / BỊCH</x:v>
      </x:c>
      <x:c r="Q442" s="112" t="str">
        <x:v>10 BỊCH / CÂY</x:v>
      </x:c>
      <x:c r="R442" s="112" t="n">
        <x:v>977</x:v>
      </x:c>
      <x:c r="S442" s="113" t="n">
        <x:v>978</x:v>
      </x:c>
    </x:row>
    <x:row r="443">
      <x:c r="A443" s="111" t="n">
        <x:v>443</x:v>
      </x:c>
      <x:c r="B443" s="112" t="str">
        <x:v>HÚT TRẮNG PHI 12</x:v>
      </x:c>
      <x:c r="C443" s="112" t="str">
        <x:v>HTRP12</x:v>
      </x:c>
      <x:c r="D443" s="112" t="str">
        <x:v>HTRP12T</x:v>
      </x:c>
      <x:c r="E443" s="120" t="n">
        <x:v>28000</x:v>
      </x:c>
      <x:c r="F443" s="120" t="n">
        <x:v>25000</x:v>
      </x:c>
      <x:c r="G443" s="120" t="n">
        <x:v>25000</x:v>
      </x:c>
      <x:c r="H443" s="112" t="str">
        <x:v>CẬP NHẬT GIÁ</x:v>
      </x:c>
      <x:c r="I443" s="112" t="n">
        <x:v>0</x:v>
      </x:c>
      <x:c r="J443" s="112" t="str">
        <x:v>g</x:v>
      </x:c>
      <x:c r="K443" s="112" t="str">
        <x:v>BỊCH</x:v>
      </x:c>
      <x:c r="L443" s="112" t="n">
        <x:v>0</x:v>
      </x:c>
      <x:c r="M443" s="112" t="str">
        <x:v>g</x:v>
      </x:c>
      <x:c r="N443" s="112" t="str">
        <x:v>CÂY</x:v>
      </x:c>
      <x:c r="O443" s="112" t="n">
        <x:v>10</x:v>
      </x:c>
      <x:c r="P443" s="112" t="str">
        <x:v>0 g / BỊCH</x:v>
      </x:c>
      <x:c r="Q443" s="112" t="str">
        <x:v>10 BỊCH / CÂY</x:v>
      </x:c>
      <x:c r="R443" s="112" t="n">
        <x:v>979</x:v>
      </x:c>
      <x:c r="S443" s="113" t="n">
        <x:v>980</x:v>
      </x:c>
    </x:row>
    <x:row r="444">
      <x:c r="A444" s="111" t="n">
        <x:v>444</x:v>
      </x:c>
      <x:c r="B444" s="112" t="str">
        <x:v>HÚT TRẮNG MÀNG 8</x:v>
      </x:c>
      <x:c r="C444" s="112" t="str">
        <x:v>HTRGM8</x:v>
      </x:c>
      <x:c r="D444" s="112" t="str">
        <x:v>HTRGM8T</x:v>
      </x:c>
      <x:c r="E444" s="120" t="n">
        <x:v>30000</x:v>
      </x:c>
      <x:c r="F444" s="120" t="n">
        <x:v>30000</x:v>
      </x:c>
      <x:c r="G444" s="120" t="n">
        <x:v>30000</x:v>
      </x:c>
      <x:c r="H444" s="112" t="str">
        <x:v>GIỮ NGUYÊN - ĐÃ KHỚP</x:v>
      </x:c>
      <x:c r="I444" s="112" t="n">
        <x:v>0</x:v>
      </x:c>
      <x:c r="J444" s="112" t="str">
        <x:v>g</x:v>
      </x:c>
      <x:c r="K444" s="112" t="str">
        <x:v>BỊCH</x:v>
      </x:c>
      <x:c r="L444" s="112" t="n">
        <x:v>0</x:v>
      </x:c>
      <x:c r="M444" s="112" t="str">
        <x:v>g</x:v>
      </x:c>
      <x:c r="N444" s="112" t="str">
        <x:v>CÂY</x:v>
      </x:c>
      <x:c r="O444" s="112" t="n">
        <x:v>10</x:v>
      </x:c>
      <x:c r="P444" s="112" t="str">
        <x:v>0 g / BỊCH</x:v>
      </x:c>
      <x:c r="Q444" s="112" t="str">
        <x:v>10 BỊCH / CÂY</x:v>
      </x:c>
      <x:c r="R444" s="112" t="n">
        <x:v>981</x:v>
      </x:c>
      <x:c r="S444" s="113" t="n">
        <x:v>982</x:v>
      </x:c>
    </x:row>
    <x:row r="445">
      <x:c r="A445" s="111" t="n">
        <x:v>445</x:v>
      </x:c>
      <x:c r="B445" s="112" t="str">
        <x:v>HÚT TRẮNG MÀNG 6</x:v>
      </x:c>
      <x:c r="C445" s="112" t="str">
        <x:v>HTRGM6</x:v>
      </x:c>
      <x:c r="D445" s="112" t="str">
        <x:v>HTRGM6T</x:v>
      </x:c>
      <x:c r="E445" s="120" t="n">
        <x:v>30000</x:v>
      </x:c>
      <x:c r="F445" s="120" t="n">
        <x:v>30000</x:v>
      </x:c>
      <x:c r="G445" s="120" t="n">
        <x:v>30000</x:v>
      </x:c>
      <x:c r="H445" s="112" t="str">
        <x:v>GIỮ NGUYÊN - ĐÃ KHỚP</x:v>
      </x:c>
      <x:c r="I445" s="112" t="n">
        <x:v>0</x:v>
      </x:c>
      <x:c r="J445" s="112" t="str">
        <x:v>g</x:v>
      </x:c>
      <x:c r="K445" s="112" t="str">
        <x:v>BỊCH</x:v>
      </x:c>
      <x:c r="L445" s="112" t="n">
        <x:v>0</x:v>
      </x:c>
      <x:c r="M445" s="112" t="str">
        <x:v>g</x:v>
      </x:c>
      <x:c r="N445" s="112" t="str">
        <x:v>CÂY</x:v>
      </x:c>
      <x:c r="O445" s="112" t="n">
        <x:v>10</x:v>
      </x:c>
      <x:c r="P445" s="112" t="str">
        <x:v>0 g / BỊCH</x:v>
      </x:c>
      <x:c r="Q445" s="112" t="str">
        <x:v>10 BỊCH / CÂY</x:v>
      </x:c>
      <x:c r="R445" s="112" t="n">
        <x:v>983</x:v>
      </x:c>
      <x:c r="S445" s="113" t="n">
        <x:v>984</x:v>
      </x:c>
    </x:row>
    <x:row r="446">
      <x:c r="A446" s="111" t="n">
        <x:v>446</x:v>
      </x:c>
      <x:c r="B446" s="112" t="str">
        <x:v>HÚT TRẮNG MÀNG 12</x:v>
      </x:c>
      <x:c r="C446" s="112" t="str">
        <x:v>HTRM12</x:v>
      </x:c>
      <x:c r="D446" s="112" t="str">
        <x:v>HTRM12T</x:v>
      </x:c>
      <x:c r="E446" s="120" t="n">
        <x:v>30000</x:v>
      </x:c>
      <x:c r="F446" s="120" t="n">
        <x:v>30000</x:v>
      </x:c>
      <x:c r="G446" s="120" t="n">
        <x:v>30000</x:v>
      </x:c>
      <x:c r="H446" s="112" t="str">
        <x:v>GIỮ NGUYÊN - ĐÃ KHỚP</x:v>
      </x:c>
      <x:c r="I446" s="112" t="n">
        <x:v>0</x:v>
      </x:c>
      <x:c r="J446" s="112" t="str">
        <x:v>g</x:v>
      </x:c>
      <x:c r="K446" s="112" t="str">
        <x:v>BỊCH</x:v>
      </x:c>
      <x:c r="L446" s="112" t="n">
        <x:v>0</x:v>
      </x:c>
      <x:c r="M446" s="112" t="str">
        <x:v>g</x:v>
      </x:c>
      <x:c r="N446" s="112" t="str">
        <x:v>CÂY</x:v>
      </x:c>
      <x:c r="O446" s="112" t="n">
        <x:v>10</x:v>
      </x:c>
      <x:c r="P446" s="112" t="str">
        <x:v>0 g / BỊCH</x:v>
      </x:c>
      <x:c r="Q446" s="112" t="str">
        <x:v>10 BỊCH / CÂY</x:v>
      </x:c>
      <x:c r="R446" s="112" t="n">
        <x:v>985</x:v>
      </x:c>
      <x:c r="S446" s="113" t="n">
        <x:v>986</x:v>
      </x:c>
    </x:row>
    <x:row r="447">
      <x:c r="A447" s="111" t="n">
        <x:v>447</x:v>
      </x:c>
      <x:c r="B447" s="112" t="str">
        <x:v>HÚT ĐEN PHI 8</x:v>
      </x:c>
      <x:c r="C447" s="112" t="str">
        <x:v>HDENP8</x:v>
      </x:c>
      <x:c r="D447" s="112" t="str">
        <x:v>HDENP8T</x:v>
      </x:c>
      <x:c r="E447" s="120" t="n">
        <x:v>25000</x:v>
      </x:c>
      <x:c r="F447" s="120" t="n">
        <x:v>25000</x:v>
      </x:c>
      <x:c r="G447" s="120" t="n">
        <x:v>25000</x:v>
      </x:c>
      <x:c r="H447" s="112" t="str">
        <x:v>GIỮ NGUYÊN - ĐÃ KHỚP</x:v>
      </x:c>
      <x:c r="I447" s="112" t="n">
        <x:v>500</x:v>
      </x:c>
      <x:c r="J447" s="112" t="str">
        <x:v>g</x:v>
      </x:c>
      <x:c r="K447" s="112" t="str">
        <x:v>BỊCH</x:v>
      </x:c>
      <x:c r="L447" s="112" t="n">
        <x:v>5000</x:v>
      </x:c>
      <x:c r="M447" s="112" t="str">
        <x:v>g</x:v>
      </x:c>
      <x:c r="N447" s="112" t="str">
        <x:v>CÂY</x:v>
      </x:c>
      <x:c r="O447" s="112" t="n">
        <x:v>10</x:v>
      </x:c>
      <x:c r="P447" s="112" t="str">
        <x:v>500 g / BỊCH</x:v>
      </x:c>
      <x:c r="Q447" s="112" t="str">
        <x:v>10 BỊCH / CÂY</x:v>
      </x:c>
      <x:c r="R447" s="112" t="n">
        <x:v>987</x:v>
      </x:c>
      <x:c r="S447" s="113" t="n">
        <x:v>988</x:v>
      </x:c>
    </x:row>
    <x:row r="448">
      <x:c r="A448" s="111" t="n">
        <x:v>448</x:v>
      </x:c>
      <x:c r="B448" s="112" t="str">
        <x:v>HÚT ĐEN PHI 6</x:v>
      </x:c>
      <x:c r="C448" s="112" t="str">
        <x:v>HDENP6</x:v>
      </x:c>
      <x:c r="D448" s="112" t="str">
        <x:v>HDENP6T</x:v>
      </x:c>
      <x:c r="E448" s="120" t="n">
        <x:v>25000</x:v>
      </x:c>
      <x:c r="F448" s="120" t="n">
        <x:v>25000</x:v>
      </x:c>
      <x:c r="G448" s="120" t="n">
        <x:v>25000</x:v>
      </x:c>
      <x:c r="H448" s="112" t="str">
        <x:v>GIỮ NGUYÊN - ĐÃ KHỚP</x:v>
      </x:c>
      <x:c r="I448" s="112" t="n">
        <x:v>500</x:v>
      </x:c>
      <x:c r="J448" s="112" t="str">
        <x:v>g</x:v>
      </x:c>
      <x:c r="K448" s="112" t="str">
        <x:v>BỊCH</x:v>
      </x:c>
      <x:c r="L448" s="112" t="n">
        <x:v>5</x:v>
      </x:c>
      <x:c r="M448" s="112" t="str">
        <x:v>kg</x:v>
      </x:c>
      <x:c r="N448" s="112" t="str">
        <x:v>CÂY</x:v>
      </x:c>
      <x:c r="O448" s="112" t="n">
        <x:v>10</x:v>
      </x:c>
      <x:c r="P448" s="112" t="str">
        <x:v>500 g / BỊCH</x:v>
      </x:c>
      <x:c r="Q448" s="112" t="str">
        <x:v>10 BỊCH / CÂY</x:v>
      </x:c>
      <x:c r="R448" s="112" t="n">
        <x:v>989</x:v>
      </x:c>
      <x:c r="S448" s="113" t="n">
        <x:v>990</x:v>
      </x:c>
    </x:row>
    <x:row r="449">
      <x:c r="A449" s="111" t="n">
        <x:v>449</x:v>
      </x:c>
      <x:c r="B449" s="112" t="str">
        <x:v>HÚT ĐEN PHI 12</x:v>
      </x:c>
      <x:c r="C449" s="112" t="str">
        <x:v>HDEP12</x:v>
      </x:c>
      <x:c r="D449" s="112" t="str">
        <x:v>HDEP12T</x:v>
      </x:c>
      <x:c r="E449" s="120"/>
      <x:c r="F449" s="120" t="n">
        <x:v>25000</x:v>
      </x:c>
      <x:c r="G449" s="120" t="n">
        <x:v>25000</x:v>
      </x:c>
      <x:c r="H449" s="112" t="str">
        <x:v>BỔ SUNG GIÁ</x:v>
      </x:c>
      <x:c r="I449" s="112" t="n">
        <x:v>500</x:v>
      </x:c>
      <x:c r="J449" s="112" t="str">
        <x:v>g</x:v>
      </x:c>
      <x:c r="K449" s="112" t="str">
        <x:v>BỊCH</x:v>
      </x:c>
      <x:c r="L449" s="112" t="n">
        <x:v>1</x:v>
      </x:c>
      <x:c r="M449" s="112" t="str">
        <x:v>kg</x:v>
      </x:c>
      <x:c r="N449" s="112" t="str">
        <x:v>CÂY</x:v>
      </x:c>
      <x:c r="O449" s="112" t="n">
        <x:v>10</x:v>
      </x:c>
      <x:c r="P449" s="112" t="str">
        <x:v>500 g / BỊCH</x:v>
      </x:c>
      <x:c r="Q449" s="112" t="str">
        <x:v>10 BỊCH / CÂY</x:v>
      </x:c>
      <x:c r="R449" s="112" t="n">
        <x:v>991</x:v>
      </x:c>
      <x:c r="S449" s="113" t="n">
        <x:v>992</x:v>
      </x:c>
    </x:row>
    <x:row r="450">
      <x:c r="A450" s="111" t="n">
        <x:v>450</x:v>
      </x:c>
      <x:c r="B450" s="112" t="str">
        <x:v>HÚT ĐEN MÀNG PHI 12</x:v>
      </x:c>
      <x:c r="C450" s="112" t="str">
        <x:v>HDEM12</x:v>
      </x:c>
      <x:c r="D450" s="112" t="str">
        <x:v>HDEM12T</x:v>
      </x:c>
      <x:c r="E450" s="120"/>
      <x:c r="F450" s="120" t="n">
        <x:v>30000</x:v>
      </x:c>
      <x:c r="G450" s="120" t="n">
        <x:v>30000</x:v>
      </x:c>
      <x:c r="H450" s="112" t="str">
        <x:v>BỔ SUNG GIÁ</x:v>
      </x:c>
      <x:c r="I450" s="112" t="n">
        <x:v>500</x:v>
      </x:c>
      <x:c r="J450" s="112" t="str">
        <x:v>g</x:v>
      </x:c>
      <x:c r="K450" s="112" t="str">
        <x:v>BỊCH</x:v>
      </x:c>
      <x:c r="L450" s="112" t="n">
        <x:v>5</x:v>
      </x:c>
      <x:c r="M450" s="112" t="str">
        <x:v>kg</x:v>
      </x:c>
      <x:c r="N450" s="112" t="str">
        <x:v>CÂY</x:v>
      </x:c>
      <x:c r="O450" s="112" t="n">
        <x:v>10</x:v>
      </x:c>
      <x:c r="P450" s="112" t="str">
        <x:v>500 g / BỊCH</x:v>
      </x:c>
      <x:c r="Q450" s="112" t="str">
        <x:v>10 BỊCH / CÂY</x:v>
      </x:c>
      <x:c r="R450" s="112" t="n">
        <x:v>993</x:v>
      </x:c>
      <x:c r="S450" s="113" t="n">
        <x:v>994</x:v>
      </x:c>
    </x:row>
    <x:row r="451">
      <x:c r="A451" s="111" t="n">
        <x:v>451</x:v>
      </x:c>
      <x:c r="B451" s="112" t="str">
        <x:v>HÚT ĐEN MÀNG 8</x:v>
      </x:c>
      <x:c r="C451" s="112" t="str">
        <x:v>HDENM8</x:v>
      </x:c>
      <x:c r="D451" s="112" t="str">
        <x:v>HDENM8T</x:v>
      </x:c>
      <x:c r="E451" s="120"/>
      <x:c r="F451" s="120" t="n">
        <x:v>30000</x:v>
      </x:c>
      <x:c r="G451" s="120" t="n">
        <x:v>30000</x:v>
      </x:c>
      <x:c r="H451" s="112" t="str">
        <x:v>BỔ SUNG GIÁ</x:v>
      </x:c>
      <x:c r="I451" s="112" t="n">
        <x:v>0</x:v>
      </x:c>
      <x:c r="J451" s="112" t="str">
        <x:v>g</x:v>
      </x:c>
      <x:c r="K451" s="112" t="str">
        <x:v>BỊCH</x:v>
      </x:c>
      <x:c r="L451" s="112" t="n">
        <x:v>0</x:v>
      </x:c>
      <x:c r="M451" s="112" t="str">
        <x:v>g</x:v>
      </x:c>
      <x:c r="N451" s="112" t="str">
        <x:v>CÂY</x:v>
      </x:c>
      <x:c r="O451" s="112" t="n">
        <x:v>10</x:v>
      </x:c>
      <x:c r="P451" s="112" t="str">
        <x:v>0 g / BỊCH</x:v>
      </x:c>
      <x:c r="Q451" s="112" t="str">
        <x:v>10 BỊCH / CÂY</x:v>
      </x:c>
      <x:c r="R451" s="112" t="n">
        <x:v>995</x:v>
      </x:c>
      <x:c r="S451" s="113" t="n">
        <x:v>996</x:v>
      </x:c>
    </x:row>
    <x:row r="452">
      <x:c r="A452" s="111" t="n">
        <x:v>452</x:v>
      </x:c>
      <x:c r="B452" s="112" t="str">
        <x:v>HỒNG TRÀ TÂN NAM BẮC</x:v>
      </x:c>
      <x:c r="C452" s="112" t="str">
        <x:v>HTRTNB</x:v>
      </x:c>
      <x:c r="D452" s="112" t="str">
        <x:v>HTRTNBT</x:v>
      </x:c>
      <x:c r="E452" s="120" t="n">
        <x:v>30000</x:v>
      </x:c>
      <x:c r="F452" s="120" t="n">
        <x:v>29000</x:v>
      </x:c>
      <x:c r="G452" s="120" t="n">
        <x:v>29000</x:v>
      </x:c>
      <x:c r="H452" s="112" t="str">
        <x:v>CẬP NHẬT GIÁ</x:v>
      </x:c>
      <x:c r="I452" s="112" t="n">
        <x:v>300</x:v>
      </x:c>
      <x:c r="J452" s="112" t="str">
        <x:v>g</x:v>
      </x:c>
      <x:c r="K452" s="112" t="str">
        <x:v>BỊCH</x:v>
      </x:c>
      <x:c r="L452" s="112" t="n">
        <x:v>20000</x:v>
      </x:c>
      <x:c r="M452" s="112" t="str">
        <x:v>g</x:v>
      </x:c>
      <x:c r="N452" s="112" t="str">
        <x:v>THÙNG</x:v>
      </x:c>
      <x:c r="O452" s="112" t="n">
        <x:v>50</x:v>
      </x:c>
      <x:c r="P452" s="112" t="str">
        <x:v>300 g / BỊCH</x:v>
      </x:c>
      <x:c r="Q452" s="112" t="str">
        <x:v>50 BỊCH / THÙNG</x:v>
      </x:c>
      <x:c r="R452" s="112" t="n">
        <x:v>997</x:v>
      </x:c>
      <x:c r="S452" s="113" t="n">
        <x:v>998</x:v>
      </x:c>
    </x:row>
    <x:row r="453">
      <x:c r="A453" s="111" t="n">
        <x:v>453</x:v>
      </x:c>
      <x:c r="B453" s="112" t="str">
        <x:v>HỒNG TRÀ LỘC PHÁT</x:v>
      </x:c>
      <x:c r="C453" s="112" t="str">
        <x:v>HTRLPH</x:v>
      </x:c>
      <x:c r="D453" s="112" t="str">
        <x:v>HTRLPHT</x:v>
      </x:c>
      <x:c r="E453" s="120"/>
      <x:c r="F453" s="120" t="n">
        <x:v>155000</x:v>
      </x:c>
      <x:c r="G453" s="120" t="n">
        <x:v>155000</x:v>
      </x:c>
      <x:c r="H453" s="112" t="str">
        <x:v>BỔ SUNG GIÁ</x:v>
      </x:c>
      <x:c r="I453" s="112" t="n">
        <x:v>1000</x:v>
      </x:c>
      <x:c r="J453" s="112" t="str">
        <x:v>g</x:v>
      </x:c>
      <x:c r="K453" s="112" t="str">
        <x:v>BỊCH</x:v>
      </x:c>
      <x:c r="L453" s="112" t="n">
        <x:v>13000</x:v>
      </x:c>
      <x:c r="M453" s="112" t="str">
        <x:v>g</x:v>
      </x:c>
      <x:c r="N453" s="112" t="str">
        <x:v>THÙNG</x:v>
      </x:c>
      <x:c r="O453" s="112" t="n">
        <x:v>12</x:v>
      </x:c>
      <x:c r="P453" s="112" t="str">
        <x:v>1000 g / BỊCH</x:v>
      </x:c>
      <x:c r="Q453" s="112" t="str">
        <x:v>12 BỊCH / THÙNG</x:v>
      </x:c>
      <x:c r="R453" s="112" t="n">
        <x:v>999</x:v>
      </x:c>
      <x:c r="S453" s="113" t="n">
        <x:v>1000</x:v>
      </x:c>
    </x:row>
    <x:row r="454">
      <x:c r="A454" s="111" t="n">
        <x:v>454</x:v>
      </x:c>
      <x:c r="B454" s="112" t="str">
        <x:v>HỒNG TRÀ KING</x:v>
      </x:c>
      <x:c r="C454" s="112" t="str">
        <x:v>HTRKIG</x:v>
      </x:c>
      <x:c r="D454" s="112" t="str">
        <x:v>HTRKIGT</x:v>
      </x:c>
      <x:c r="E454" s="120" t="n">
        <x:v>118000</x:v>
      </x:c>
      <x:c r="F454" s="120" t="n">
        <x:v>120000</x:v>
      </x:c>
      <x:c r="G454" s="120" t="n">
        <x:v>120000</x:v>
      </x:c>
      <x:c r="H454" s="112" t="str">
        <x:v>CẬP NHẬT GIÁ</x:v>
      </x:c>
      <x:c r="I454" s="112" t="n">
        <x:v>0</x:v>
      </x:c>
      <x:c r="J454" s="112" t="str">
        <x:v>kg</x:v>
      </x:c>
      <x:c r="K454" s="112" t="str">
        <x:v>BỊCH</x:v>
      </x:c>
      <x:c r="L454" s="112" t="n">
        <x:v>30</x:v>
      </x:c>
      <x:c r="M454" s="112" t="str">
        <x:v>kg</x:v>
      </x:c>
      <x:c r="N454" s="112" t="str">
        <x:v>BAO</x:v>
      </x:c>
      <x:c r="O454" s="112" t="n">
        <x:v>30</x:v>
      </x:c>
      <x:c r="P454" s="112" t="str">
        <x:v>0 kg / BỊCH</x:v>
      </x:c>
      <x:c r="Q454" s="112" t="str">
        <x:v>30 BỊCH / BAO</x:v>
      </x:c>
      <x:c r="R454" s="112" t="n">
        <x:v>1001</x:v>
      </x:c>
      <x:c r="S454" s="113" t="n">
        <x:v>1002</x:v>
      </x:c>
    </x:row>
    <x:row r="455">
      <x:c r="A455" s="111" t="n">
        <x:v>455</x:v>
      </x:c>
      <x:c r="B455" s="112" t="str">
        <x:v>COZY TÚI LỌC DÂU</x:v>
      </x:c>
      <x:c r="C455" s="112" t="str">
        <x:v>COTLDA</x:v>
      </x:c>
      <x:c r="D455" s="112" t="str">
        <x:v>COTLDAT</x:v>
      </x:c>
      <x:c r="E455" s="120" t="n">
        <x:v>38000</x:v>
      </x:c>
      <x:c r="F455" s="120" t="n">
        <x:v>39000</x:v>
      </x:c>
      <x:c r="G455" s="120" t="n">
        <x:v>39000</x:v>
      </x:c>
      <x:c r="H455" s="112" t="str">
        <x:v>CẬP NHẬT GIÁ</x:v>
      </x:c>
      <x:c r="I455" s="112" t="n">
        <x:v>10</x:v>
      </x:c>
      <x:c r="J455" s="112" t="str">
        <x:v>g</x:v>
      </x:c>
      <x:c r="K455" s="112" t="str">
        <x:v>HỘP</x:v>
      </x:c>
      <x:c r="L455" s="112" t="n">
        <x:v>5000</x:v>
      </x:c>
      <x:c r="M455" s="112" t="str">
        <x:v>g</x:v>
      </x:c>
      <x:c r="N455" s="112" t="str">
        <x:v>THÙNG</x:v>
      </x:c>
      <x:c r="O455" s="112" t="n">
        <x:v>36</x:v>
      </x:c>
      <x:c r="P455" s="112" t="str">
        <x:v>10 g / HỘP</x:v>
      </x:c>
      <x:c r="Q455" s="112" t="str">
        <x:v>36 HỘP / THÙNG</x:v>
      </x:c>
      <x:c r="R455" s="112" t="n">
        <x:v>1005</x:v>
      </x:c>
      <x:c r="S455" s="113" t="n">
        <x:v>1006</x:v>
      </x:c>
    </x:row>
    <x:row r="456">
      <x:c r="A456" s="111" t="n">
        <x:v>456</x:v>
      </x:c>
      <x:c r="B456" s="112" t="str">
        <x:v>HẠT THỦY TINH YAUOT</x:v>
      </x:c>
      <x:c r="C456" s="112" t="str">
        <x:v>HTTYAU</x:v>
      </x:c>
      <x:c r="D456" s="112" t="str">
        <x:v>HTTYAUT</x:v>
      </x:c>
      <x:c r="E456" s="120"/>
      <x:c r="F456" s="120" t="n">
        <x:v>200000</x:v>
      </x:c>
      <x:c r="G456" s="120" t="n">
        <x:v>200000</x:v>
      </x:c>
      <x:c r="H456" s="112" t="str">
        <x:v>BỔ SUNG GIÁ</x:v>
      </x:c>
      <x:c r="I456" s="112" t="n">
        <x:v>3</x:v>
      </x:c>
      <x:c r="J456" s="112" t="str">
        <x:v>kg</x:v>
      </x:c>
      <x:c r="K456" s="112" t="str">
        <x:v>HỦ</x:v>
      </x:c>
      <x:c r="L456" s="112" t="n">
        <x:v>16</x:v>
      </x:c>
      <x:c r="M456" s="112" t="str">
        <x:v>kg</x:v>
      </x:c>
      <x:c r="N456" s="112" t="str">
        <x:v>THÙNG</x:v>
      </x:c>
      <x:c r="O456" s="112" t="n">
        <x:v>4</x:v>
      </x:c>
      <x:c r="P456" s="112" t="str">
        <x:v>3 kg / HỦ</x:v>
      </x:c>
      <x:c r="Q456" s="112" t="str">
        <x:v>4 HỦ / THÙNG</x:v>
      </x:c>
      <x:c r="R456" s="112" t="n">
        <x:v>1009</x:v>
      </x:c>
      <x:c r="S456" s="113" t="n">
        <x:v>1010</x:v>
      </x:c>
    </x:row>
    <x:row r="457">
      <x:c r="A457" s="111" t="n">
        <x:v>457</x:v>
      </x:c>
      <x:c r="B457" s="112" t="str">
        <x:v>HẠT THỦY TINH VIỆT QUỐC</x:v>
      </x:c>
      <x:c r="C457" s="112" t="str">
        <x:v>HTTVQU</x:v>
      </x:c>
      <x:c r="D457" s="112" t="str">
        <x:v>HTTVQUT</x:v>
      </x:c>
      <x:c r="E457" s="120"/>
      <x:c r="F457" s="120" t="n">
        <x:v>200000</x:v>
      </x:c>
      <x:c r="G457" s="120" t="n">
        <x:v>200000</x:v>
      </x:c>
      <x:c r="H457" s="112" t="str">
        <x:v>BỔ SUNG GIÁ</x:v>
      </x:c>
      <x:c r="I457" s="112" t="n">
        <x:v>3</x:v>
      </x:c>
      <x:c r="J457" s="112" t="str">
        <x:v>kg</x:v>
      </x:c>
      <x:c r="K457" s="112" t="str">
        <x:v>HỦ</x:v>
      </x:c>
      <x:c r="L457" s="112" t="n">
        <x:v>13</x:v>
      </x:c>
      <x:c r="M457" s="112" t="str">
        <x:v>kg</x:v>
      </x:c>
      <x:c r="N457" s="112" t="str">
        <x:v>THÙNG</x:v>
      </x:c>
      <x:c r="O457" s="112" t="n">
        <x:v>4</x:v>
      </x:c>
      <x:c r="P457" s="112" t="str">
        <x:v>3 kg / HỦ</x:v>
      </x:c>
      <x:c r="Q457" s="112" t="str">
        <x:v>4 HỦ / THÙNG</x:v>
      </x:c>
      <x:c r="R457" s="112" t="n">
        <x:v>1011</x:v>
      </x:c>
      <x:c r="S457" s="113" t="n">
        <x:v>1012</x:v>
      </x:c>
    </x:row>
    <x:row r="458">
      <x:c r="A458" s="111" t="n">
        <x:v>458</x:v>
      </x:c>
      <x:c r="B458" s="112" t="str">
        <x:v>HẠT THỦY TINH NHO</x:v>
      </x:c>
      <x:c r="C458" s="112" t="str">
        <x:v>HTTNHO</x:v>
      </x:c>
      <x:c r="D458" s="112" t="str">
        <x:v>HTTNHOT</x:v>
      </x:c>
      <x:c r="E458" s="120"/>
      <x:c r="F458" s="120" t="n">
        <x:v>200000</x:v>
      </x:c>
      <x:c r="G458" s="120" t="n">
        <x:v>200000</x:v>
      </x:c>
      <x:c r="H458" s="112" t="str">
        <x:v>BỔ SUNG GIÁ</x:v>
      </x:c>
      <x:c r="I458" s="112" t="n">
        <x:v>3</x:v>
      </x:c>
      <x:c r="J458" s="112" t="str">
        <x:v>kg</x:v>
      </x:c>
      <x:c r="K458" s="112" t="str">
        <x:v>HỦ</x:v>
      </x:c>
      <x:c r="L458" s="112" t="n">
        <x:v>12</x:v>
      </x:c>
      <x:c r="M458" s="112" t="str">
        <x:v>kg</x:v>
      </x:c>
      <x:c r="N458" s="112" t="str">
        <x:v>THÙNG</x:v>
      </x:c>
      <x:c r="O458" s="112" t="n">
        <x:v>4</x:v>
      </x:c>
      <x:c r="P458" s="112" t="str">
        <x:v>3 kg / HỦ</x:v>
      </x:c>
      <x:c r="Q458" s="112" t="str">
        <x:v>4 HỦ / THÙNG</x:v>
      </x:c>
      <x:c r="R458" s="112" t="n">
        <x:v>1013</x:v>
      </x:c>
      <x:c r="S458" s="113" t="n">
        <x:v>1014</x:v>
      </x:c>
    </x:row>
    <x:row r="459">
      <x:c r="A459" s="111" t="n">
        <x:v>459</x:v>
      </x:c>
      <x:c r="B459" s="112" t="str">
        <x:v>HẠT THỦY TINH ĐÀO</x:v>
      </x:c>
      <x:c r="C459" s="112" t="str">
        <x:v>HTTDAO</x:v>
      </x:c>
      <x:c r="D459" s="112" t="str">
        <x:v>HTTDAOT</x:v>
      </x:c>
      <x:c r="E459" s="120"/>
      <x:c r="F459" s="120" t="n">
        <x:v>200000</x:v>
      </x:c>
      <x:c r="G459" s="120" t="n">
        <x:v>200000</x:v>
      </x:c>
      <x:c r="H459" s="112" t="str">
        <x:v>BỔ SUNG GIÁ</x:v>
      </x:c>
      <x:c r="I459" s="112" t="n">
        <x:v>3</x:v>
      </x:c>
      <x:c r="J459" s="112" t="str">
        <x:v>kg</x:v>
      </x:c>
      <x:c r="K459" s="112" t="str">
        <x:v>HỦ</x:v>
      </x:c>
      <x:c r="L459" s="112" t="n">
        <x:v>12</x:v>
      </x:c>
      <x:c r="M459" s="112" t="str">
        <x:v>kg</x:v>
      </x:c>
      <x:c r="N459" s="112" t="str">
        <x:v>THÙNG</x:v>
      </x:c>
      <x:c r="O459" s="112" t="n">
        <x:v>4</x:v>
      </x:c>
      <x:c r="P459" s="112" t="str">
        <x:v>3 kg / HỦ</x:v>
      </x:c>
      <x:c r="Q459" s="112" t="str">
        <x:v>4 HỦ / THÙNG</x:v>
      </x:c>
      <x:c r="R459" s="112" t="n">
        <x:v>1015</x:v>
      </x:c>
      <x:c r="S459" s="113" t="n">
        <x:v>1016</x:v>
      </x:c>
    </x:row>
    <x:row r="460">
      <x:c r="A460" s="111" t="n">
        <x:v>460</x:v>
      </x:c>
      <x:c r="B460" s="112" t="str">
        <x:v>HẠT THỦY TINH DƯA LƯỚI</x:v>
      </x:c>
      <x:c r="C460" s="112" t="str">
        <x:v>HTTDLU</x:v>
      </x:c>
      <x:c r="D460" s="112" t="str">
        <x:v>HTTDLUT</x:v>
      </x:c>
      <x:c r="E460" s="120"/>
      <x:c r="F460" s="120" t="n">
        <x:v>200000</x:v>
      </x:c>
      <x:c r="G460" s="120" t="n">
        <x:v>200000</x:v>
      </x:c>
      <x:c r="H460" s="112" t="str">
        <x:v>BỔ SUNG GIÁ</x:v>
      </x:c>
      <x:c r="I460" s="112" t="n">
        <x:v>3</x:v>
      </x:c>
      <x:c r="J460" s="112" t="str">
        <x:v>kg</x:v>
      </x:c>
      <x:c r="K460" s="112" t="str">
        <x:v>HỦ</x:v>
      </x:c>
      <x:c r="L460" s="112" t="n">
        <x:v>12</x:v>
      </x:c>
      <x:c r="M460" s="112" t="str">
        <x:v>kg</x:v>
      </x:c>
      <x:c r="N460" s="112" t="str">
        <x:v>THÙNG</x:v>
      </x:c>
      <x:c r="O460" s="112" t="n">
        <x:v>4</x:v>
      </x:c>
      <x:c r="P460" s="112" t="str">
        <x:v>3 kg / HỦ</x:v>
      </x:c>
      <x:c r="Q460" s="112" t="str">
        <x:v>4 HỦ / THÙNG</x:v>
      </x:c>
      <x:c r="R460" s="112" t="n">
        <x:v>1017</x:v>
      </x:c>
      <x:c r="S460" s="113" t="n">
        <x:v>1018</x:v>
      </x:c>
    </x:row>
    <x:row r="461">
      <x:c r="A461" s="111" t="n">
        <x:v>461</x:v>
      </x:c>
      <x:c r="B461" s="112" t="str">
        <x:v>HẠT THỦY TINH DÂU</x:v>
      </x:c>
      <x:c r="C461" s="112" t="str">
        <x:v>HTTDAU</x:v>
      </x:c>
      <x:c r="D461" s="112" t="str">
        <x:v>HTTDAUT</x:v>
      </x:c>
      <x:c r="E461" s="120"/>
      <x:c r="F461" s="120" t="n">
        <x:v>200000</x:v>
      </x:c>
      <x:c r="G461" s="120" t="n">
        <x:v>200000</x:v>
      </x:c>
      <x:c r="H461" s="112" t="str">
        <x:v>BỔ SUNG GIÁ</x:v>
      </x:c>
      <x:c r="I461" s="112" t="n">
        <x:v>3</x:v>
      </x:c>
      <x:c r="J461" s="112" t="str">
        <x:v>kg</x:v>
      </x:c>
      <x:c r="K461" s="112" t="str">
        <x:v>HỦ</x:v>
      </x:c>
      <x:c r="L461" s="112" t="n">
        <x:v>12</x:v>
      </x:c>
      <x:c r="M461" s="112" t="str">
        <x:v>kg</x:v>
      </x:c>
      <x:c r="N461" s="112" t="str">
        <x:v>THÙNG</x:v>
      </x:c>
      <x:c r="O461" s="112" t="n">
        <x:v>4</x:v>
      </x:c>
      <x:c r="P461" s="112" t="str">
        <x:v>3 kg / HỦ</x:v>
      </x:c>
      <x:c r="Q461" s="112" t="str">
        <x:v>4 HỦ / THÙNG</x:v>
      </x:c>
      <x:c r="R461" s="112" t="n">
        <x:v>1019</x:v>
      </x:c>
      <x:c r="S461" s="113" t="n">
        <x:v>1020</x:v>
      </x:c>
    </x:row>
    <x:row r="462">
      <x:c r="A462" s="111" t="n">
        <x:v>462</x:v>
      </x:c>
      <x:c r="B462" s="112" t="str">
        <x:v>HẠT CHIA</x:v>
      </x:c>
      <x:c r="C462" s="112" t="str">
        <x:v>HACHIA</x:v>
      </x:c>
      <x:c r="D462" s="112" t="str">
        <x:v>HACHIAT</x:v>
      </x:c>
      <x:c r="E462" s="120" t="n">
        <x:v>110000</x:v>
      </x:c>
      <x:c r="F462" s="120" t="n">
        <x:v>110000</x:v>
      </x:c>
      <x:c r="G462" s="120" t="n">
        <x:v>110000</x:v>
      </x:c>
      <x:c r="H462" s="112" t="str">
        <x:v>GIỮ NGUYÊN - ĐÃ KHỚP</x:v>
      </x:c>
      <x:c r="I462" s="112" t="n">
        <x:v>0</x:v>
      </x:c>
      <x:c r="J462" s="112" t="str">
        <x:v>g</x:v>
      </x:c>
      <x:c r="K462" s="112" t="str">
        <x:v>GÓI</x:v>
      </x:c>
      <x:c r="L462" s="112" t="n">
        <x:v>0</x:v>
      </x:c>
      <x:c r="M462" s="112" t="str">
        <x:v>g</x:v>
      </x:c>
      <x:c r="N462" s="112" t="str">
        <x:v>THÙNG</x:v>
      </x:c>
      <x:c r="O462" s="112" t="n">
        <x:v>10</x:v>
      </x:c>
      <x:c r="P462" s="112" t="str">
        <x:v>0 g / GÓI</x:v>
      </x:c>
      <x:c r="Q462" s="112" t="str">
        <x:v>10 GÓI / THÙNG</x:v>
      </x:c>
      <x:c r="R462" s="112" t="n">
        <x:v>1021</x:v>
      </x:c>
      <x:c r="S462" s="113" t="n">
        <x:v>1022</x:v>
      </x:c>
    </x:row>
    <x:row r="463">
      <x:c r="A463" s="111" t="n">
        <x:v>463</x:v>
      </x:c>
      <x:c r="B463" s="112" t="str">
        <x:v>GIẤM TÁO 2 LÍT</x:v>
      </x:c>
      <x:c r="C463" s="112" t="str">
        <x:v>GIAM2L</x:v>
      </x:c>
      <x:c r="D463" s="112" t="str">
        <x:v>GIAM2LT</x:v>
      </x:c>
      <x:c r="E463" s="120" t="n">
        <x:v>75000</x:v>
      </x:c>
      <x:c r="F463" s="120" t="n">
        <x:v>75000</x:v>
      </x:c>
      <x:c r="G463" s="120" t="n">
        <x:v>75000</x:v>
      </x:c>
      <x:c r="H463" s="112" t="str">
        <x:v>GIỮ NGUYÊN - ĐÃ KHỚP</x:v>
      </x:c>
      <x:c r="I463" s="112" t="n">
        <x:v>0</x:v>
      </x:c>
      <x:c r="J463" s="112" t="str">
        <x:v>g</x:v>
      </x:c>
      <x:c r="K463" s="112" t="str">
        <x:v>BÌNH</x:v>
      </x:c>
      <x:c r="L463" s="112" t="n">
        <x:v>0</x:v>
      </x:c>
      <x:c r="M463" s="112" t="str">
        <x:v>g</x:v>
      </x:c>
      <x:c r="N463" s="112" t="str">
        <x:v>THÙNG</x:v>
      </x:c>
      <x:c r="O463" s="112" t="n">
        <x:v>6</x:v>
      </x:c>
      <x:c r="P463" s="112" t="str">
        <x:v>0 g / BÌNH</x:v>
      </x:c>
      <x:c r="Q463" s="112" t="str">
        <x:v>6 BÌNH / THÙNG</x:v>
      </x:c>
      <x:c r="R463" s="112" t="n">
        <x:v>1026</x:v>
      </x:c>
      <x:c r="S463" s="113" t="n">
        <x:v>1027</x:v>
      </x:c>
    </x:row>
    <x:row r="464">
      <x:c r="A464" s="111" t="n">
        <x:v>464</x:v>
      </x:c>
      <x:c r="B464" s="112" t="str">
        <x:v>FALU VẢI</x:v>
      </x:c>
      <x:c r="C464" s="112" t="str">
        <x:v>FALUVA</x:v>
      </x:c>
      <x:c r="D464" s="112" t="str">
        <x:v>FALUVAT</x:v>
      </x:c>
      <x:c r="E464" s="120"/>
      <x:c r="F464" s="120" t="n">
        <x:v>0</x:v>
      </x:c>
      <x:c r="G464" s="120"/>
      <x:c r="H464" s="112" t="str">
        <x:v>DS SP GIÁ 0 - VẪN THIẾU GIÁ</x:v>
      </x:c>
      <x:c r="I464" s="112" t="n">
        <x:v>2</x:v>
      </x:c>
      <x:c r="J464" s="112" t="str">
        <x:v>kg</x:v>
      </x:c>
      <x:c r="K464" s="112" t="str">
        <x:v>BÌNH</x:v>
      </x:c>
      <x:c r="L464" s="112" t="n">
        <x:v>24</x:v>
      </x:c>
      <x:c r="M464" s="112" t="str">
        <x:v>kg</x:v>
      </x:c>
      <x:c r="N464" s="112" t="str">
        <x:v>THÙNG</x:v>
      </x:c>
      <x:c r="O464" s="112" t="n">
        <x:v>12</x:v>
      </x:c>
      <x:c r="P464" s="112" t="str">
        <x:v>2 kg / BÌNH</x:v>
      </x:c>
      <x:c r="Q464" s="112" t="str">
        <x:v>12 BÌNH / THÙNG</x:v>
      </x:c>
      <x:c r="R464" s="112" t="n">
        <x:v>1029</x:v>
      </x:c>
      <x:c r="S464" s="113" t="n">
        <x:v>1030</x:v>
      </x:c>
    </x:row>
    <x:row r="465">
      <x:c r="A465" s="111" t="n">
        <x:v>465</x:v>
      </x:c>
      <x:c r="B465" s="112" t="str">
        <x:v>FALU NHÃN</x:v>
      </x:c>
      <x:c r="C465" s="112" t="str">
        <x:v>FALUNH</x:v>
      </x:c>
      <x:c r="D465" s="112" t="str">
        <x:v>FALUNHT</x:v>
      </x:c>
      <x:c r="E465" s="120"/>
      <x:c r="F465" s="120" t="n">
        <x:v>220000</x:v>
      </x:c>
      <x:c r="G465" s="120" t="n">
        <x:v>220000</x:v>
      </x:c>
      <x:c r="H465" s="112" t="str">
        <x:v>BỔ SUNG GIÁ</x:v>
      </x:c>
      <x:c r="I465" s="112" t="n">
        <x:v>2</x:v>
      </x:c>
      <x:c r="J465" s="112" t="str">
        <x:v>kg</x:v>
      </x:c>
      <x:c r="K465" s="112" t="str">
        <x:v>BÌNH</x:v>
      </x:c>
      <x:c r="L465" s="112" t="n">
        <x:v>24</x:v>
      </x:c>
      <x:c r="M465" s="112" t="str">
        <x:v>kg</x:v>
      </x:c>
      <x:c r="N465" s="112" t="str">
        <x:v>THÙNG</x:v>
      </x:c>
      <x:c r="O465" s="112" t="n">
        <x:v>12</x:v>
      </x:c>
      <x:c r="P465" s="112" t="str">
        <x:v>2 kg / BÌNH</x:v>
      </x:c>
      <x:c r="Q465" s="112" t="str">
        <x:v>12 BÌNH / THÙNG</x:v>
      </x:c>
      <x:c r="R465" s="112" t="n">
        <x:v>1031</x:v>
      </x:c>
      <x:c r="S465" s="113" t="n">
        <x:v>1032</x:v>
      </x:c>
    </x:row>
    <x:row r="466">
      <x:c r="A466" s="111" t="n">
        <x:v>466</x:v>
      </x:c>
      <x:c r="B466" s="112" t="str">
        <x:v>ĐƯỜNG NÂU MONITA</x:v>
      </x:c>
      <x:c r="C466" s="112" t="str">
        <x:v>DNSEUL</x:v>
      </x:c>
      <x:c r="D466" s="112" t="str">
        <x:v>DNSEULT</x:v>
      </x:c>
      <x:c r="E466" s="120" t="n">
        <x:v>45000</x:v>
      </x:c>
      <x:c r="F466" s="120" t="n">
        <x:v>45000</x:v>
      </x:c>
      <x:c r="G466" s="120" t="n">
        <x:v>45000</x:v>
      </x:c>
      <x:c r="H466" s="112" t="str">
        <x:v>GIỮ NGUYÊN - ĐÃ KHỚP</x:v>
      </x:c>
      <x:c r="I466" s="112" t="n">
        <x:v>1</x:v>
      </x:c>
      <x:c r="J466" s="112" t="str">
        <x:v>kg</x:v>
      </x:c>
      <x:c r="K466" s="112" t="str">
        <x:v>GÓI</x:v>
      </x:c>
      <x:c r="L466" s="112" t="n">
        <x:v>17</x:v>
      </x:c>
      <x:c r="M466" s="112" t="str">
        <x:v>kg</x:v>
      </x:c>
      <x:c r="N466" s="112" t="str">
        <x:v>THÙNG</x:v>
      </x:c>
      <x:c r="O466" s="112" t="n">
        <x:v>16</x:v>
      </x:c>
      <x:c r="P466" s="112" t="str">
        <x:v>1 kg / GÓI</x:v>
      </x:c>
      <x:c r="Q466" s="112" t="str">
        <x:v>16 GÓI / THÙNG</x:v>
      </x:c>
      <x:c r="R466" s="112" t="n">
        <x:v>1035</x:v>
      </x:c>
      <x:c r="S466" s="113" t="n">
        <x:v>1036</x:v>
      </x:c>
    </x:row>
    <x:row r="467">
      <x:c r="A467" s="111" t="n">
        <x:v>467</x:v>
      </x:c>
      <x:c r="B467" s="112" t="str">
        <x:v>ĐƯỜNG ĐEN MONITA</x:v>
      </x:c>
      <x:c r="C467" s="112" t="str">
        <x:v>DDSEUL</x:v>
      </x:c>
      <x:c r="D467" s="112" t="str">
        <x:v>DDSEULT</x:v>
      </x:c>
      <x:c r="E467" s="120" t="n">
        <x:v>62000</x:v>
      </x:c>
      <x:c r="F467" s="120" t="n">
        <x:v>62000</x:v>
      </x:c>
      <x:c r="G467" s="120" t="n">
        <x:v>62000</x:v>
      </x:c>
      <x:c r="H467" s="112" t="str">
        <x:v>GIỮ NGUYÊN - ĐÃ KHỚP</x:v>
      </x:c>
      <x:c r="I467" s="112" t="n">
        <x:v>1</x:v>
      </x:c>
      <x:c r="J467" s="112" t="str">
        <x:v>kg</x:v>
      </x:c>
      <x:c r="K467" s="112" t="str">
        <x:v>GÓI</x:v>
      </x:c>
      <x:c r="L467" s="112" t="n">
        <x:v>1</x:v>
      </x:c>
      <x:c r="M467" s="112" t="str">
        <x:v>kg</x:v>
      </x:c>
      <x:c r="N467" s="112" t="str">
        <x:v>THÙNG</x:v>
      </x:c>
      <x:c r="O467" s="112" t="n">
        <x:v>16</x:v>
      </x:c>
      <x:c r="P467" s="112" t="str">
        <x:v>1 kg / GÓI</x:v>
      </x:c>
      <x:c r="Q467" s="112" t="str">
        <x:v>16 GÓI / THÙNG</x:v>
      </x:c>
      <x:c r="R467" s="112" t="n">
        <x:v>1037</x:v>
      </x:c>
      <x:c r="S467" s="113" t="n">
        <x:v>1038</x:v>
      </x:c>
    </x:row>
    <x:row r="468">
      <x:c r="A468" s="111" t="n">
        <x:v>468</x:v>
      </x:c>
      <x:c r="B468" s="112" t="str">
        <x:v>ĐƯỜNG ĐEN MOLA</x:v>
      </x:c>
      <x:c r="C468" s="112" t="str">
        <x:v>DDMOLA</x:v>
      </x:c>
      <x:c r="D468" s="112" t="str">
        <x:v>DDMOLAT</x:v>
      </x:c>
      <x:c r="E468" s="120" t="n">
        <x:v>82000</x:v>
      </x:c>
      <x:c r="F468" s="120" t="n">
        <x:v>82000</x:v>
      </x:c>
      <x:c r="G468" s="120" t="n">
        <x:v>82000</x:v>
      </x:c>
      <x:c r="H468" s="112" t="str">
        <x:v>GIỮ NGUYÊN - ĐÃ KHỚP</x:v>
      </x:c>
      <x:c r="I468" s="112" t="n">
        <x:v>1550</x:v>
      </x:c>
      <x:c r="J468" s="112" t="str">
        <x:v>g</x:v>
      </x:c>
      <x:c r="K468" s="112" t="str">
        <x:v>CHAI</x:v>
      </x:c>
      <x:c r="L468" s="112" t="n">
        <x:v>19</x:v>
      </x:c>
      <x:c r="M468" s="112" t="str">
        <x:v>kg</x:v>
      </x:c>
      <x:c r="N468" s="112" t="str">
        <x:v>THÙNG</x:v>
      </x:c>
      <x:c r="O468" s="112" t="n">
        <x:v>12</x:v>
      </x:c>
      <x:c r="P468" s="112" t="str">
        <x:v>1550 g / CHAI</x:v>
      </x:c>
      <x:c r="Q468" s="112" t="str">
        <x:v>12 CHAI / THÙNG</x:v>
      </x:c>
      <x:c r="R468" s="112" t="n">
        <x:v>1039</x:v>
      </x:c>
      <x:c r="S468" s="113" t="n">
        <x:v>1040</x:v>
      </x:c>
    </x:row>
    <x:row r="469">
      <x:c r="A469" s="111" t="n">
        <x:v>469</x:v>
      </x:c>
      <x:c r="B469" s="112" t="str">
        <x:v>ĐƯỜNG ĐEN FALU</x:v>
      </x:c>
      <x:c r="C469" s="112" t="str">
        <x:v>SRDDFL</x:v>
      </x:c>
      <x:c r="D469" s="112" t="str">
        <x:v>SRDDFLT</x:v>
      </x:c>
      <x:c r="E469" s="120" t="n">
        <x:v>193000</x:v>
      </x:c>
      <x:c r="F469" s="120" t="n">
        <x:v>193000</x:v>
      </x:c>
      <x:c r="G469" s="120" t="n">
        <x:v>193000</x:v>
      </x:c>
      <x:c r="H469" s="112" t="str">
        <x:v>GIỮ NGUYÊN - ĐÃ KHỚP</x:v>
      </x:c>
      <x:c r="I469" s="112" t="n">
        <x:v>0</x:v>
      </x:c>
      <x:c r="J469" s="112" t="str">
        <x:v>g</x:v>
      </x:c>
      <x:c r="K469" s="112" t="str">
        <x:v>BÌNH</x:v>
      </x:c>
      <x:c r="L469" s="112" t="n">
        <x:v>0</x:v>
      </x:c>
      <x:c r="M469" s="112" t="str">
        <x:v>g</x:v>
      </x:c>
      <x:c r="N469" s="112" t="str">
        <x:v>THÙNG</x:v>
      </x:c>
      <x:c r="O469" s="112" t="n">
        <x:v>6</x:v>
      </x:c>
      <x:c r="P469" s="112" t="str">
        <x:v>0 g / BÌNH</x:v>
      </x:c>
      <x:c r="Q469" s="112" t="str">
        <x:v>6 BÌNH / THÙNG</x:v>
      </x:c>
      <x:c r="R469" s="112" t="n">
        <x:v>1041</x:v>
      </x:c>
      <x:c r="S469" s="113" t="n">
        <x:v>1042</x:v>
      </x:c>
    </x:row>
    <x:row r="470">
      <x:c r="A470" s="111" t="n">
        <x:v>470</x:v>
      </x:c>
      <x:c r="B470" s="112" t="str">
        <x:v>ĐƯỜNG ĐEN ERODELI</x:v>
      </x:c>
      <x:c r="C470" s="112" t="str">
        <x:v>SRDDER</x:v>
      </x:c>
      <x:c r="D470" s="112" t="str">
        <x:v>SRDDERT</x:v>
      </x:c>
      <x:c r="E470" s="120"/>
      <x:c r="F470" s="120" t="n">
        <x:v>275000</x:v>
      </x:c>
      <x:c r="G470" s="120" t="n">
        <x:v>275000</x:v>
      </x:c>
      <x:c r="H470" s="112" t="str">
        <x:v>BỔ SUNG GIÁ</x:v>
      </x:c>
      <x:c r="I470" s="112" t="n">
        <x:v>2</x:v>
      </x:c>
      <x:c r="J470" s="112" t="str">
        <x:v>kg</x:v>
      </x:c>
      <x:c r="K470" s="112" t="str">
        <x:v>BÌNH</x:v>
      </x:c>
      <x:c r="L470" s="112" t="n">
        <x:v>12</x:v>
      </x:c>
      <x:c r="M470" s="112" t="str">
        <x:v>kg</x:v>
      </x:c>
      <x:c r="N470" s="112" t="str">
        <x:v>THÙNG</x:v>
      </x:c>
      <x:c r="O470" s="112" t="n">
        <x:v>6</x:v>
      </x:c>
      <x:c r="P470" s="112" t="str">
        <x:v>2 kg / BÌNH</x:v>
      </x:c>
      <x:c r="Q470" s="112" t="str">
        <x:v>6 BÌNH / THÙNG</x:v>
      </x:c>
      <x:c r="R470" s="112" t="n">
        <x:v>1043</x:v>
      </x:c>
      <x:c r="S470" s="113" t="n">
        <x:v>1044</x:v>
      </x:c>
    </x:row>
    <x:row r="471">
      <x:c r="A471" s="111" t="n">
        <x:v>471</x:v>
      </x:c>
      <x:c r="B471" s="112" t="str">
        <x:v>ĐƯỜNG ĐEN ĐÀI LOAN</x:v>
      </x:c>
      <x:c r="C471" s="112" t="str">
        <x:v>DDDLTB</x:v>
      </x:c>
      <x:c r="D471" s="112" t="str">
        <x:v>DDDLTBT</x:v>
      </x:c>
      <x:c r="E471" s="120" t="n">
        <x:v>53000</x:v>
      </x:c>
      <x:c r="F471" s="120" t="n">
        <x:v>53000</x:v>
      </x:c>
      <x:c r="G471" s="120" t="n">
        <x:v>53000</x:v>
      </x:c>
      <x:c r="H471" s="112" t="str">
        <x:v>GIỮ NGUYÊN - ĐÃ KHỚP</x:v>
      </x:c>
      <x:c r="I471" s="112" t="n">
        <x:v>1</x:v>
      </x:c>
      <x:c r="J471" s="112" t="str">
        <x:v>kg</x:v>
      </x:c>
      <x:c r="K471" s="112" t="str">
        <x:v>GÓI</x:v>
      </x:c>
      <x:c r="L471" s="112" t="n">
        <x:v>12</x:v>
      </x:c>
      <x:c r="M471" s="112" t="str">
        <x:v>kg</x:v>
      </x:c>
      <x:c r="N471" s="112" t="str">
        <x:v>THÙNG</x:v>
      </x:c>
      <x:c r="O471" s="112" t="n">
        <x:v>12</x:v>
      </x:c>
      <x:c r="P471" s="112" t="str">
        <x:v>1 kg / GÓI</x:v>
      </x:c>
      <x:c r="Q471" s="112" t="str">
        <x:v>12 GÓI / THÙNG</x:v>
      </x:c>
      <x:c r="R471" s="112" t="n">
        <x:v>1045</x:v>
      </x:c>
      <x:c r="S471" s="113" t="n">
        <x:v>1046</x:v>
      </x:c>
    </x:row>
    <x:row r="472">
      <x:c r="A472" s="111" t="n">
        <x:v>472</x:v>
      </x:c>
      <x:c r="B472" s="112" t="str">
        <x:v>ĐƯỜNG BẮP</x:v>
      </x:c>
      <x:c r="C472" s="112" t="str">
        <x:v>DBAPPP</x:v>
      </x:c>
      <x:c r="D472" s="112" t="str">
        <x:v>DBAPPPT</x:v>
      </x:c>
      <x:c r="E472" s="120"/>
      <x:c r="F472" s="120" t="n">
        <x:v>145000</x:v>
      </x:c>
      <x:c r="G472" s="120" t="n">
        <x:v>145000</x:v>
      </x:c>
      <x:c r="H472" s="112" t="str">
        <x:v>BỔ SUNG GIÁ</x:v>
      </x:c>
      <x:c r="I472" s="112" t="n">
        <x:v>5</x:v>
      </x:c>
      <x:c r="J472" s="112" t="str">
        <x:v>kg</x:v>
      </x:c>
      <x:c r="K472" s="112" t="str">
        <x:v>BÌNH</x:v>
      </x:c>
      <x:c r="L472" s="112" t="n">
        <x:v>20</x:v>
      </x:c>
      <x:c r="M472" s="112" t="str">
        <x:v>kg</x:v>
      </x:c>
      <x:c r="N472" s="112" t="str">
        <x:v>THÙNG</x:v>
      </x:c>
      <x:c r="O472" s="112" t="n">
        <x:v>4</x:v>
      </x:c>
      <x:c r="P472" s="112" t="str">
        <x:v>5 kg / BÌNH</x:v>
      </x:c>
      <x:c r="Q472" s="112" t="str">
        <x:v>4 BÌNH / THÙNG</x:v>
      </x:c>
      <x:c r="R472" s="112" t="n">
        <x:v>1047</x:v>
      </x:c>
      <x:c r="S472" s="113" t="n">
        <x:v>1048</x:v>
      </x:c>
    </x:row>
    <x:row r="473">
      <x:c r="A473" s="111" t="n">
        <x:v>473</x:v>
      </x:c>
      <x:c r="B473" s="112" t="str">
        <x:v>ĐẬU ĐỎ TIM</x:v>
      </x:c>
      <x:c r="C473" s="112" t="str">
        <x:v>DDOTIM</x:v>
      </x:c>
      <x:c r="D473" s="112" t="str">
        <x:v>DDOTIMT</x:v>
      </x:c>
      <x:c r="E473" s="120"/>
      <x:c r="F473" s="120" t="n">
        <x:v>40000</x:v>
      </x:c>
      <x:c r="G473" s="120" t="n">
        <x:v>40000</x:v>
      </x:c>
      <x:c r="H473" s="112" t="str">
        <x:v>BỔ SUNG GIÁ</x:v>
      </x:c>
      <x:c r="I473" s="112" t="n">
        <x:v>9600</x:v>
      </x:c>
      <x:c r="J473" s="112" t="str">
        <x:v>g</x:v>
      </x:c>
      <x:c r="K473" s="112" t="str">
        <x:v>LON</x:v>
      </x:c>
      <x:c r="L473" s="112" t="n">
        <x:v>115200</x:v>
      </x:c>
      <x:c r="M473" s="112" t="str">
        <x:v>g</x:v>
      </x:c>
      <x:c r="N473" s="112" t="str">
        <x:v>THÙNG</x:v>
      </x:c>
      <x:c r="O473" s="112" t="n">
        <x:v>12</x:v>
      </x:c>
      <x:c r="P473" s="112" t="str">
        <x:v>9600 g / LON</x:v>
      </x:c>
      <x:c r="Q473" s="112" t="str">
        <x:v>12 LON / THÙNG</x:v>
      </x:c>
      <x:c r="R473" s="112" t="n">
        <x:v>1054</x:v>
      </x:c>
      <x:c r="S473" s="113" t="n">
        <x:v>1055</x:v>
      </x:c>
    </x:row>
    <x:row r="474">
      <x:c r="A474" s="111" t="n">
        <x:v>474</x:v>
      </x:c>
      <x:c r="B474" s="112" t="str">
        <x:v>ĐẬM ĐẶC VIỆT QUỐC</x:v>
      </x:c>
      <x:c r="C474" s="112" t="str">
        <x:v>DDGVQU</x:v>
      </x:c>
      <x:c r="D474" s="112" t="str">
        <x:v>DDGVQUT</x:v>
      </x:c>
      <x:c r="E474" s="120"/>
      <x:c r="F474" s="120" t="n">
        <x:v>62000</x:v>
      </x:c>
      <x:c r="G474" s="120" t="n">
        <x:v>62000</x:v>
      </x:c>
      <x:c r="H474" s="112" t="str">
        <x:v>BỔ SUNG GIÁ</x:v>
      </x:c>
      <x:c r="I474" s="112" t="n">
        <x:v>1000</x:v>
      </x:c>
      <x:c r="J474" s="112" t="str">
        <x:v>g</x:v>
      </x:c>
      <x:c r="K474" s="112" t="str">
        <x:v>CHAI</x:v>
      </x:c>
      <x:c r="L474" s="112" t="n">
        <x:v>16000</x:v>
      </x:c>
      <x:c r="M474" s="112" t="str">
        <x:v>g</x:v>
      </x:c>
      <x:c r="N474" s="112" t="str">
        <x:v>THÙNG</x:v>
      </x:c>
      <x:c r="O474" s="112" t="n">
        <x:v>12</x:v>
      </x:c>
      <x:c r="P474" s="112" t="str">
        <x:v>1000 g / CHAI</x:v>
      </x:c>
      <x:c r="Q474" s="112" t="str">
        <x:v>12 CHAI / THÙNG</x:v>
      </x:c>
      <x:c r="R474" s="112" t="n">
        <x:v>1056</x:v>
      </x:c>
      <x:c r="S474" s="113" t="n">
        <x:v>1057</x:v>
      </x:c>
    </x:row>
    <x:row r="475">
      <x:c r="A475" s="111" t="n">
        <x:v>475</x:v>
      </x:c>
      <x:c r="B475" s="112" t="str">
        <x:v>ĐẬM ĐẶC VẢI</x:v>
      </x:c>
      <x:c r="C475" s="112" t="str">
        <x:v>DDGVAI</x:v>
      </x:c>
      <x:c r="D475" s="112" t="str">
        <x:v>DDGVAIT</x:v>
      </x:c>
      <x:c r="E475" s="120"/>
      <x:c r="F475" s="120" t="n">
        <x:v>62000</x:v>
      </x:c>
      <x:c r="G475" s="120" t="n">
        <x:v>62000</x:v>
      </x:c>
      <x:c r="H475" s="112" t="str">
        <x:v>BỔ SUNG GIÁ</x:v>
      </x:c>
      <x:c r="I475" s="112" t="n">
        <x:v>1000</x:v>
      </x:c>
      <x:c r="J475" s="112" t="str">
        <x:v>g</x:v>
      </x:c>
      <x:c r="K475" s="112" t="str">
        <x:v>CHAI</x:v>
      </x:c>
      <x:c r="L475" s="112" t="n">
        <x:v>16000</x:v>
      </x:c>
      <x:c r="M475" s="112" t="str">
        <x:v>g</x:v>
      </x:c>
      <x:c r="N475" s="112" t="str">
        <x:v>THÙNG</x:v>
      </x:c>
      <x:c r="O475" s="112" t="n">
        <x:v>12</x:v>
      </x:c>
      <x:c r="P475" s="112" t="str">
        <x:v>1000 g / CHAI</x:v>
      </x:c>
      <x:c r="Q475" s="112" t="str">
        <x:v>12 CHAI / THÙNG</x:v>
      </x:c>
      <x:c r="R475" s="112" t="n">
        <x:v>1058</x:v>
      </x:c>
      <x:c r="S475" s="113" t="n">
        <x:v>1059</x:v>
      </x:c>
    </x:row>
    <x:row r="476">
      <x:c r="A476" s="111" t="n">
        <x:v>476</x:v>
      </x:c>
      <x:c r="B476" s="112" t="str">
        <x:v>ĐẬM ĐẶC THƠM</x:v>
      </x:c>
      <x:c r="C476" s="112" t="str">
        <x:v>DDGTHM</x:v>
      </x:c>
      <x:c r="D476" s="112" t="str">
        <x:v>DDGTHMT</x:v>
      </x:c>
      <x:c r="E476" s="120"/>
      <x:c r="F476" s="120" t="n">
        <x:v>62000</x:v>
      </x:c>
      <x:c r="G476" s="120" t="n">
        <x:v>62000</x:v>
      </x:c>
      <x:c r="H476" s="112" t="str">
        <x:v>BỔ SUNG GIÁ</x:v>
      </x:c>
      <x:c r="I476" s="112" t="n">
        <x:v>1000</x:v>
      </x:c>
      <x:c r="J476" s="112" t="str">
        <x:v>g</x:v>
      </x:c>
      <x:c r="K476" s="112" t="str">
        <x:v>CHAI</x:v>
      </x:c>
      <x:c r="L476" s="112" t="n">
        <x:v>16000</x:v>
      </x:c>
      <x:c r="M476" s="112" t="str">
        <x:v>g</x:v>
      </x:c>
      <x:c r="N476" s="112" t="str">
        <x:v>THÙNG</x:v>
      </x:c>
      <x:c r="O476" s="112" t="n">
        <x:v>12</x:v>
      </x:c>
      <x:c r="P476" s="112" t="str">
        <x:v>1000 g / CHAI</x:v>
      </x:c>
      <x:c r="Q476" s="112" t="str">
        <x:v>12 CHAI / THÙNG</x:v>
      </x:c>
      <x:c r="R476" s="112" t="n">
        <x:v>1060</x:v>
      </x:c>
      <x:c r="S476" s="113" t="n">
        <x:v>1061</x:v>
      </x:c>
    </x:row>
    <x:row r="477">
      <x:c r="A477" s="111" t="n">
        <x:v>477</x:v>
      </x:c>
      <x:c r="B477" s="112" t="str">
        <x:v>ĐẬM ĐẶC QUÝT</x:v>
      </x:c>
      <x:c r="C477" s="112" t="str">
        <x:v>DDGQUT</x:v>
      </x:c>
      <x:c r="D477" s="112" t="str">
        <x:v>DDGQUTT</x:v>
      </x:c>
      <x:c r="E477" s="120"/>
      <x:c r="F477" s="120" t="n">
        <x:v>62000</x:v>
      </x:c>
      <x:c r="G477" s="120" t="n">
        <x:v>62000</x:v>
      </x:c>
      <x:c r="H477" s="112" t="str">
        <x:v>BỔ SUNG GIÁ</x:v>
      </x:c>
      <x:c r="I477" s="112" t="n">
        <x:v>1000</x:v>
      </x:c>
      <x:c r="J477" s="112" t="str">
        <x:v>g</x:v>
      </x:c>
      <x:c r="K477" s="112" t="str">
        <x:v>CHAI</x:v>
      </x:c>
      <x:c r="L477" s="112" t="n">
        <x:v>16000</x:v>
      </x:c>
      <x:c r="M477" s="112" t="str">
        <x:v>g</x:v>
      </x:c>
      <x:c r="N477" s="112" t="str">
        <x:v>THÙNG</x:v>
      </x:c>
      <x:c r="O477" s="112" t="n">
        <x:v>12</x:v>
      </x:c>
      <x:c r="P477" s="112" t="str">
        <x:v>1000 g / CHAI</x:v>
      </x:c>
      <x:c r="Q477" s="112" t="str">
        <x:v>12 CHAI / THÙNG</x:v>
      </x:c>
      <x:c r="R477" s="112" t="n">
        <x:v>1062</x:v>
      </x:c>
      <x:c r="S477" s="113" t="n">
        <x:v>1063</x:v>
      </x:c>
    </x:row>
    <x:row r="478">
      <x:c r="A478" s="111" t="n">
        <x:v>478</x:v>
      </x:c>
      <x:c r="B478" s="112" t="str">
        <x:v>ĐẬM ĐẶC ỔI</x:v>
      </x:c>
      <x:c r="C478" s="112" t="str">
        <x:v>DDGOIH</x:v>
      </x:c>
      <x:c r="D478" s="112" t="str">
        <x:v>DDGOIHT</x:v>
      </x:c>
      <x:c r="E478" s="120"/>
      <x:c r="F478" s="120" t="n">
        <x:v>62000</x:v>
      </x:c>
      <x:c r="G478" s="120" t="n">
        <x:v>62000</x:v>
      </x:c>
      <x:c r="H478" s="112" t="str">
        <x:v>BỔ SUNG GIÁ</x:v>
      </x:c>
      <x:c r="I478" s="112" t="n">
        <x:v>1000</x:v>
      </x:c>
      <x:c r="J478" s="112" t="str">
        <x:v>g</x:v>
      </x:c>
      <x:c r="K478" s="112" t="str">
        <x:v>CHAI</x:v>
      </x:c>
      <x:c r="L478" s="112" t="n">
        <x:v>16000</x:v>
      </x:c>
      <x:c r="M478" s="112" t="str">
        <x:v>g</x:v>
      </x:c>
      <x:c r="N478" s="112" t="str">
        <x:v>THÙNG</x:v>
      </x:c>
      <x:c r="O478" s="112" t="n">
        <x:v>12</x:v>
      </x:c>
      <x:c r="P478" s="112" t="str">
        <x:v>1000 g / CHAI</x:v>
      </x:c>
      <x:c r="Q478" s="112" t="str">
        <x:v>12 CHAI / THÙNG</x:v>
      </x:c>
      <x:c r="R478" s="112" t="n">
        <x:v>1064</x:v>
      </x:c>
      <x:c r="S478" s="113" t="n">
        <x:v>1065</x:v>
      </x:c>
    </x:row>
    <x:row r="479">
      <x:c r="A479" s="111" t="n">
        <x:v>479</x:v>
      </x:c>
      <x:c r="B479" s="112" t="str">
        <x:v>ĐẬM ĐẶC NHIỆT ĐỚI</x:v>
      </x:c>
      <x:c r="C479" s="112" t="str">
        <x:v>DDGNDO</x:v>
      </x:c>
      <x:c r="D479" s="112" t="str">
        <x:v>DDGNDOT</x:v>
      </x:c>
      <x:c r="E479" s="120"/>
      <x:c r="F479" s="120" t="n">
        <x:v>62000</x:v>
      </x:c>
      <x:c r="G479" s="120" t="n">
        <x:v>62000</x:v>
      </x:c>
      <x:c r="H479" s="112" t="str">
        <x:v>BỔ SUNG GIÁ</x:v>
      </x:c>
      <x:c r="I479" s="112" t="n">
        <x:v>1000</x:v>
      </x:c>
      <x:c r="J479" s="112" t="str">
        <x:v>g</x:v>
      </x:c>
      <x:c r="K479" s="112" t="str">
        <x:v>CHAI</x:v>
      </x:c>
      <x:c r="L479" s="112" t="n">
        <x:v>16000</x:v>
      </x:c>
      <x:c r="M479" s="112" t="str">
        <x:v>g</x:v>
      </x:c>
      <x:c r="N479" s="112" t="str">
        <x:v>THÙNG</x:v>
      </x:c>
      <x:c r="O479" s="112" t="n">
        <x:v>12</x:v>
      </x:c>
      <x:c r="P479" s="112" t="str">
        <x:v>1000 g / CHAI</x:v>
      </x:c>
      <x:c r="Q479" s="112" t="str">
        <x:v>12 CHAI / THÙNG</x:v>
      </x:c>
      <x:c r="R479" s="112" t="n">
        <x:v>1066</x:v>
      </x:c>
      <x:c r="S479" s="113" t="n">
        <x:v>1067</x:v>
      </x:c>
    </x:row>
    <x:row r="480">
      <x:c r="A480" s="111" t="n">
        <x:v>480</x:v>
      </x:c>
      <x:c r="B480" s="112" t="str">
        <x:v>ĐẬM ĐẶC NHÃN</x:v>
      </x:c>
      <x:c r="C480" s="112" t="str">
        <x:v>DDGNHN</x:v>
      </x:c>
      <x:c r="D480" s="112" t="str">
        <x:v>DDGNHNT</x:v>
      </x:c>
      <x:c r="E480" s="120"/>
      <x:c r="F480" s="120" t="n">
        <x:v>62000</x:v>
      </x:c>
      <x:c r="G480" s="120" t="n">
        <x:v>62000</x:v>
      </x:c>
      <x:c r="H480" s="112" t="str">
        <x:v>BỔ SUNG GIÁ</x:v>
      </x:c>
      <x:c r="I480" s="112" t="n">
        <x:v>1000</x:v>
      </x:c>
      <x:c r="J480" s="112" t="str">
        <x:v>g</x:v>
      </x:c>
      <x:c r="K480" s="112" t="str">
        <x:v>CHAI</x:v>
      </x:c>
      <x:c r="L480" s="112" t="n">
        <x:v>16000</x:v>
      </x:c>
      <x:c r="M480" s="112" t="str">
        <x:v>g</x:v>
      </x:c>
      <x:c r="N480" s="112" t="str">
        <x:v>THÙNG</x:v>
      </x:c>
      <x:c r="O480" s="112" t="n">
        <x:v>12</x:v>
      </x:c>
      <x:c r="P480" s="112" t="str">
        <x:v>1000 g / CHAI</x:v>
      </x:c>
      <x:c r="Q480" s="112" t="str">
        <x:v>12 CHAI / THÙNG</x:v>
      </x:c>
      <x:c r="R480" s="112" t="n">
        <x:v>1068</x:v>
      </x:c>
      <x:c r="S480" s="113" t="n">
        <x:v>1069</x:v>
      </x:c>
    </x:row>
    <x:row r="481">
      <x:c r="A481" s="111" t="n">
        <x:v>481</x:v>
      </x:c>
      <x:c r="B481" s="112" t="str">
        <x:v>ĐẬM ĐẶC ĐÀO</x:v>
      </x:c>
      <x:c r="C481" s="112" t="str">
        <x:v>DDGDAO</x:v>
      </x:c>
      <x:c r="D481" s="112" t="str">
        <x:v>DDGDAOT</x:v>
      </x:c>
      <x:c r="E481" s="120"/>
      <x:c r="F481" s="120" t="n">
        <x:v>62000</x:v>
      </x:c>
      <x:c r="G481" s="120" t="n">
        <x:v>62000</x:v>
      </x:c>
      <x:c r="H481" s="112" t="str">
        <x:v>BỔ SUNG GIÁ</x:v>
      </x:c>
      <x:c r="I481" s="112" t="n">
        <x:v>1000</x:v>
      </x:c>
      <x:c r="J481" s="112" t="str">
        <x:v>g</x:v>
      </x:c>
      <x:c r="K481" s="112" t="str">
        <x:v>CHAI</x:v>
      </x:c>
      <x:c r="L481" s="112" t="n">
        <x:v>16000</x:v>
      </x:c>
      <x:c r="M481" s="112" t="str">
        <x:v>g</x:v>
      </x:c>
      <x:c r="N481" s="112" t="str">
        <x:v>THÙNG</x:v>
      </x:c>
      <x:c r="O481" s="112" t="n">
        <x:v>12</x:v>
      </x:c>
      <x:c r="P481" s="112" t="str">
        <x:v>1000 g / CHAI</x:v>
      </x:c>
      <x:c r="Q481" s="112" t="str">
        <x:v>12 CHAI / THÙNG</x:v>
      </x:c>
      <x:c r="R481" s="112" t="n">
        <x:v>1070</x:v>
      </x:c>
      <x:c r="S481" s="113" t="n">
        <x:v>1071</x:v>
      </x:c>
    </x:row>
    <x:row r="482">
      <x:c r="A482" s="111" t="n">
        <x:v>482</x:v>
      </x:c>
      <x:c r="B482" s="112" t="str">
        <x:v>ĐẬM ĐẶC DƯA LƯỚI</x:v>
      </x:c>
      <x:c r="C482" s="112" t="str">
        <x:v>DDGDLU</x:v>
      </x:c>
      <x:c r="D482" s="112" t="str">
        <x:v>DDGDLUT</x:v>
      </x:c>
      <x:c r="E482" s="120"/>
      <x:c r="F482" s="120" t="n">
        <x:v>62000</x:v>
      </x:c>
      <x:c r="G482" s="120" t="n">
        <x:v>62000</x:v>
      </x:c>
      <x:c r="H482" s="112" t="str">
        <x:v>BỔ SUNG GIÁ</x:v>
      </x:c>
      <x:c r="I482" s="112" t="n">
        <x:v>1000</x:v>
      </x:c>
      <x:c r="J482" s="112" t="str">
        <x:v>g</x:v>
      </x:c>
      <x:c r="K482" s="112" t="str">
        <x:v>CHAI</x:v>
      </x:c>
      <x:c r="L482" s="112" t="n">
        <x:v>16000</x:v>
      </x:c>
      <x:c r="M482" s="112" t="str">
        <x:v>g</x:v>
      </x:c>
      <x:c r="N482" s="112" t="str">
        <x:v>THÙNG</x:v>
      </x:c>
      <x:c r="O482" s="112" t="n">
        <x:v>12</x:v>
      </x:c>
      <x:c r="P482" s="112" t="str">
        <x:v>1000 g / CHAI</x:v>
      </x:c>
      <x:c r="Q482" s="112" t="str">
        <x:v>12 CHAI / THÙNG</x:v>
      </x:c>
      <x:c r="R482" s="112" t="n">
        <x:v>1072</x:v>
      </x:c>
      <x:c r="S482" s="113" t="n">
        <x:v>1073</x:v>
      </x:c>
    </x:row>
    <x:row r="483">
      <x:c r="A483" s="111" t="n">
        <x:v>483</x:v>
      </x:c>
      <x:c r="B483" s="112" t="str">
        <x:v>ĐẬM ĐẶC DÂU</x:v>
      </x:c>
      <x:c r="C483" s="112" t="str">
        <x:v>DDGDAU</x:v>
      </x:c>
      <x:c r="D483" s="112" t="str">
        <x:v>DDGDAUT</x:v>
      </x:c>
      <x:c r="E483" s="120"/>
      <x:c r="F483" s="120" t="n">
        <x:v>62000</x:v>
      </x:c>
      <x:c r="G483" s="120" t="n">
        <x:v>62000</x:v>
      </x:c>
      <x:c r="H483" s="112" t="str">
        <x:v>BỔ SUNG GIÁ</x:v>
      </x:c>
      <x:c r="I483" s="112" t="n">
        <x:v>1000</x:v>
      </x:c>
      <x:c r="J483" s="112" t="str">
        <x:v>g</x:v>
      </x:c>
      <x:c r="K483" s="112" t="str">
        <x:v>CHAI</x:v>
      </x:c>
      <x:c r="L483" s="112" t="n">
        <x:v>16000</x:v>
      </x:c>
      <x:c r="M483" s="112" t="str">
        <x:v>g</x:v>
      </x:c>
      <x:c r="N483" s="112" t="str">
        <x:v>THÙNG</x:v>
      </x:c>
      <x:c r="O483" s="112" t="n">
        <x:v>12</x:v>
      </x:c>
      <x:c r="P483" s="112" t="str">
        <x:v>1000 g / CHAI</x:v>
      </x:c>
      <x:c r="Q483" s="112" t="str">
        <x:v>12 CHAI / THÙNG</x:v>
      </x:c>
      <x:c r="R483" s="112" t="n">
        <x:v>1074</x:v>
      </x:c>
      <x:c r="S483" s="113" t="n">
        <x:v>1075</x:v>
      </x:c>
    </x:row>
    <x:row r="484">
      <x:c r="A484" s="111" t="n">
        <x:v>484</x:v>
      </x:c>
      <x:c r="B484" s="112" t="str">
        <x:v>ĐẬM ĐẶC CHANH DÂY</x:v>
      </x:c>
      <x:c r="C484" s="112" t="str">
        <x:v>DDGCDA</x:v>
      </x:c>
      <x:c r="D484" s="112" t="str">
        <x:v>DDGCDAT</x:v>
      </x:c>
      <x:c r="E484" s="120"/>
      <x:c r="F484" s="120" t="n">
        <x:v>62000</x:v>
      </x:c>
      <x:c r="G484" s="120" t="n">
        <x:v>62000</x:v>
      </x:c>
      <x:c r="H484" s="112" t="str">
        <x:v>BỔ SUNG GIÁ</x:v>
      </x:c>
      <x:c r="I484" s="112" t="n">
        <x:v>1000</x:v>
      </x:c>
      <x:c r="J484" s="112" t="str">
        <x:v>g</x:v>
      </x:c>
      <x:c r="K484" s="112" t="str">
        <x:v>CHAI</x:v>
      </x:c>
      <x:c r="L484" s="112" t="n">
        <x:v>16000</x:v>
      </x:c>
      <x:c r="M484" s="112" t="str">
        <x:v>g</x:v>
      </x:c>
      <x:c r="N484" s="112" t="str">
        <x:v>THÙNG</x:v>
      </x:c>
      <x:c r="O484" s="112" t="n">
        <x:v>12</x:v>
      </x:c>
      <x:c r="P484" s="112" t="str">
        <x:v>1000 g / CHAI</x:v>
      </x:c>
      <x:c r="Q484" s="112" t="str">
        <x:v>12 CHAI / THÙNG</x:v>
      </x:c>
      <x:c r="R484" s="112" t="n">
        <x:v>1076</x:v>
      </x:c>
      <x:c r="S484" s="113" t="n">
        <x:v>1077</x:v>
      </x:c>
    </x:row>
    <x:row r="485">
      <x:c r="A485" s="111" t="n">
        <x:v>485</x:v>
      </x:c>
      <x:c r="B485" s="112" t="str">
        <x:v>ĐẬM ĐẶC LỰU</x:v>
      </x:c>
      <x:c r="C485" s="112" t="str">
        <x:v>DDGLUU</x:v>
      </x:c>
      <x:c r="D485" s="112" t="str">
        <x:v>DDGLUUT</x:v>
      </x:c>
      <x:c r="E485" s="120"/>
      <x:c r="F485" s="120" t="n">
        <x:v>62000</x:v>
      </x:c>
      <x:c r="G485" s="120" t="n">
        <x:v>62000</x:v>
      </x:c>
      <x:c r="H485" s="112" t="str">
        <x:v>BỔ SUNG GIÁ</x:v>
      </x:c>
      <x:c r="I485" s="112" t="n">
        <x:v>1000</x:v>
      </x:c>
      <x:c r="J485" s="112" t="str">
        <x:v>g</x:v>
      </x:c>
      <x:c r="K485" s="112" t="str">
        <x:v>CHAI</x:v>
      </x:c>
      <x:c r="L485" s="112" t="n">
        <x:v>16000</x:v>
      </x:c>
      <x:c r="M485" s="112" t="str">
        <x:v>g</x:v>
      </x:c>
      <x:c r="N485" s="112" t="str">
        <x:v>THÙNG</x:v>
      </x:c>
      <x:c r="O485" s="112" t="n">
        <x:v>12</x:v>
      </x:c>
      <x:c r="P485" s="112" t="str">
        <x:v>1000 g / CHAI</x:v>
      </x:c>
      <x:c r="Q485" s="112" t="str">
        <x:v>12 CHAI / THÙNG</x:v>
      </x:c>
      <x:c r="R485" s="112" t="n">
        <x:v>1078</x:v>
      </x:c>
      <x:c r="S485" s="113" t="n">
        <x:v>1079</x:v>
      </x:c>
    </x:row>
    <x:row r="486">
      <x:c r="A486" s="111" t="n">
        <x:v>486</x:v>
      </x:c>
      <x:c r="B486" s="112" t="str">
        <x:v>ĐÀO RODES</x:v>
      </x:c>
      <x:c r="C486" s="112" t="str">
        <x:v>DRODES</x:v>
      </x:c>
      <x:c r="D486" s="112" t="str">
        <x:v>DRODEST</x:v>
      </x:c>
      <x:c r="E486" s="120"/>
      <x:c r="F486" s="120" t="n">
        <x:v>62000</x:v>
      </x:c>
      <x:c r="G486" s="120" t="n">
        <x:v>62000</x:v>
      </x:c>
      <x:c r="H486" s="112" t="str">
        <x:v>BỔ SUNG GIÁ</x:v>
      </x:c>
      <x:c r="I486" s="112" t="n">
        <x:v>1.1</x:v>
      </x:c>
      <x:c r="J486" s="112" t="str">
        <x:v>kg</x:v>
      </x:c>
      <x:c r="K486" s="112" t="str">
        <x:v>LON</x:v>
      </x:c>
      <x:c r="L486" s="112" t="n">
        <x:v>13.2</x:v>
      </x:c>
      <x:c r="M486" s="112" t="str">
        <x:v>kg</x:v>
      </x:c>
      <x:c r="N486" s="112" t="str">
        <x:v>THÙNG</x:v>
      </x:c>
      <x:c r="O486" s="112" t="n">
        <x:v>12</x:v>
      </x:c>
      <x:c r="P486" s="112" t="str">
        <x:v>1.1 kg / LON</x:v>
      </x:c>
      <x:c r="Q486" s="112" t="str">
        <x:v>12 LON / THÙNG</x:v>
      </x:c>
      <x:c r="R486" s="112" t="n">
        <x:v>1080</x:v>
      </x:c>
      <x:c r="S486" s="113" t="n">
        <x:v>1081</x:v>
      </x:c>
    </x:row>
    <x:row r="487">
      <x:c r="A487" s="111" t="n">
        <x:v>487</x:v>
      </x:c>
      <x:c r="B487" s="112" t="str">
        <x:v>ĐÀO LON THÁI YOTDOI</x:v>
      </x:c>
      <x:c r="C487" s="112" t="str">
        <x:v>DAOYOT</x:v>
      </x:c>
      <x:c r="D487" s="112" t="str">
        <x:v>DAOYOTT</x:v>
      </x:c>
      <x:c r="E487" s="120" t="n">
        <x:v>29000</x:v>
      </x:c>
      <x:c r="F487" s="120" t="n">
        <x:v>29000</x:v>
      </x:c>
      <x:c r="G487" s="120" t="n">
        <x:v>29000</x:v>
      </x:c>
      <x:c r="H487" s="112" t="str">
        <x:v>GIỮ NGUYÊN - ĐÃ KHỚP</x:v>
      </x:c>
      <x:c r="I487" s="112" t="n">
        <x:v>1.1</x:v>
      </x:c>
      <x:c r="J487" s="112" t="str">
        <x:v>kg</x:v>
      </x:c>
      <x:c r="K487" s="112" t="str">
        <x:v>LON</x:v>
      </x:c>
      <x:c r="L487" s="112" t="n">
        <x:v>13.2</x:v>
      </x:c>
      <x:c r="M487" s="112" t="str">
        <x:v>kg</x:v>
      </x:c>
      <x:c r="N487" s="112" t="str">
        <x:v>THÙNG</x:v>
      </x:c>
      <x:c r="O487" s="112" t="n">
        <x:v>12</x:v>
      </x:c>
      <x:c r="P487" s="112" t="str">
        <x:v>1.1 kg / LON</x:v>
      </x:c>
      <x:c r="Q487" s="112" t="str">
        <x:v>12 LON / THÙNG</x:v>
      </x:c>
      <x:c r="R487" s="112" t="n">
        <x:v>1082</x:v>
      </x:c>
      <x:c r="S487" s="113" t="n">
        <x:v>1083</x:v>
      </x:c>
    </x:row>
    <x:row r="488">
      <x:c r="A488" s="111" t="n">
        <x:v>488</x:v>
      </x:c>
      <x:c r="B488" s="112" t="str">
        <x:v>ĐÀO LON THÁI ATC</x:v>
      </x:c>
      <x:c r="C488" s="112" t="str">
        <x:v>DAOATC</x:v>
      </x:c>
      <x:c r="D488" s="112" t="str">
        <x:v>DAOATCT</x:v>
      </x:c>
      <x:c r="E488" s="120" t="n">
        <x:v>29000</x:v>
      </x:c>
      <x:c r="F488" s="120" t="n">
        <x:v>29000</x:v>
      </x:c>
      <x:c r="G488" s="120" t="n">
        <x:v>29000</x:v>
      </x:c>
      <x:c r="H488" s="112" t="str">
        <x:v>GIỮ NGUYÊN - ĐÃ KHỚP</x:v>
      </x:c>
      <x:c r="I488" s="112" t="n">
        <x:v>0</x:v>
      </x:c>
      <x:c r="J488" s="112" t="str">
        <x:v>g</x:v>
      </x:c>
      <x:c r="K488" s="112" t="str">
        <x:v>LON</x:v>
      </x:c>
      <x:c r="L488" s="112" t="n">
        <x:v>12000</x:v>
      </x:c>
      <x:c r="M488" s="112" t="str">
        <x:v>g</x:v>
      </x:c>
      <x:c r="N488" s="112" t="str">
        <x:v>THÙNG</x:v>
      </x:c>
      <x:c r="O488" s="112" t="n">
        <x:v>12</x:v>
      </x:c>
      <x:c r="P488" s="112" t="str">
        <x:v>0 g / LON</x:v>
      </x:c>
      <x:c r="Q488" s="112" t="str">
        <x:v>12 LON / THÙNG</x:v>
      </x:c>
      <x:c r="R488" s="112" t="n">
        <x:v>1084</x:v>
      </x:c>
      <x:c r="S488" s="113" t="n">
        <x:v>1085</x:v>
      </x:c>
    </x:row>
    <x:row r="489">
      <x:c r="A489" s="111" t="n">
        <x:v>489</x:v>
      </x:c>
      <x:c r="B489" s="112" t="str">
        <x:v>GTP ĐÀO</x:v>
      </x:c>
      <x:c r="C489" s="112" t="str">
        <x:v>GTPDAO</x:v>
      </x:c>
      <x:c r="D489" s="112" t="str">
        <x:v>GTPDAOT</x:v>
      </x:c>
      <x:c r="E489" s="120" t="n">
        <x:v>140000</x:v>
      </x:c>
      <x:c r="F489" s="120" t="n">
        <x:v>140000</x:v>
      </x:c>
      <x:c r="G489" s="120" t="n">
        <x:v>140000</x:v>
      </x:c>
      <x:c r="H489" s="112" t="str">
        <x:v>GIỮ NGUYÊN - ĐÃ KHỚP</x:v>
      </x:c>
      <x:c r="I489" s="112" t="n">
        <x:v>2550</x:v>
      </x:c>
      <x:c r="J489" s="112" t="str">
        <x:v>g</x:v>
      </x:c>
      <x:c r="K489" s="112" t="str">
        <x:v>BÌNH</x:v>
      </x:c>
      <x:c r="L489" s="112" t="n">
        <x:v>16000</x:v>
      </x:c>
      <x:c r="M489" s="112" t="str">
        <x:v>g</x:v>
      </x:c>
      <x:c r="N489" s="112" t="str">
        <x:v>THÙNG</x:v>
      </x:c>
      <x:c r="O489" s="112" t="n">
        <x:v>6</x:v>
      </x:c>
      <x:c r="P489" s="112" t="str">
        <x:v>2550 g / BÌNH</x:v>
      </x:c>
      <x:c r="Q489" s="112" t="str">
        <x:v>6 BÌNH / THÙNG</x:v>
      </x:c>
      <x:c r="R489" s="112" t="n">
        <x:v>1086</x:v>
      </x:c>
      <x:c r="S489" s="113" t="n">
        <x:v>1087</x:v>
      </x:c>
    </x:row>
    <x:row r="490">
      <x:c r="A490" s="111" t="n">
        <x:v>490</x:v>
      </x:c>
      <x:c r="B490" s="112" t="str">
        <x:v>ĐÀO CONTREE (HEVEL)</x:v>
      </x:c>
      <x:c r="C490" s="112" t="str">
        <x:v>CONTRE</x:v>
      </x:c>
      <x:c r="D490" s="112" t="str">
        <x:v>CONTRET</x:v>
      </x:c>
      <x:c r="E490" s="120"/>
      <x:c r="F490" s="120" t="n">
        <x:v>32000</x:v>
      </x:c>
      <x:c r="G490" s="120" t="n">
        <x:v>32000</x:v>
      </x:c>
      <x:c r="H490" s="112" t="str">
        <x:v>BỔ SUNG GIÁ</x:v>
      </x:c>
      <x:c r="I490" s="112" t="n">
        <x:v>0</x:v>
      </x:c>
      <x:c r="J490" s="112" t="str">
        <x:v>g</x:v>
      </x:c>
      <x:c r="K490" s="112" t="str">
        <x:v>LON</x:v>
      </x:c>
      <x:c r="L490" s="112" t="n">
        <x:v>0</x:v>
      </x:c>
      <x:c r="M490" s="112" t="str">
        <x:v>g</x:v>
      </x:c>
      <x:c r="N490" s="112" t="str">
        <x:v>THÙNG</x:v>
      </x:c>
      <x:c r="O490" s="112" t="n">
        <x:v>12</x:v>
      </x:c>
      <x:c r="P490" s="112" t="str">
        <x:v>0 g / LON</x:v>
      </x:c>
      <x:c r="Q490" s="112" t="str">
        <x:v>12 LON / THÙNG</x:v>
      </x:c>
      <x:c r="R490" s="112" t="n">
        <x:v>1088</x:v>
      </x:c>
      <x:c r="S490" s="113" t="n">
        <x:v>1089</x:v>
      </x:c>
    </x:row>
    <x:row r="491">
      <x:c r="A491" s="111" t="n">
        <x:v>491</x:v>
      </x:c>
      <x:c r="B491" s="112" t="str">
        <x:v>ĐÁ ME TẤN LỘC</x:v>
      </x:c>
      <x:c r="C491" s="112" t="str">
        <x:v>DAMETL</x:v>
      </x:c>
      <x:c r="D491" s="112" t="str">
        <x:v>DAMETLT</x:v>
      </x:c>
      <x:c r="E491" s="120" t="n">
        <x:v>80000</x:v>
      </x:c>
      <x:c r="F491" s="120" t="n">
        <x:v>80000</x:v>
      </x:c>
      <x:c r="G491" s="120" t="n">
        <x:v>80000</x:v>
      </x:c>
      <x:c r="H491" s="112" t="str">
        <x:v>GIỮ NGUYÊN - ĐÃ KHỚP</x:v>
      </x:c>
      <x:c r="I491" s="112" t="n">
        <x:v>0</x:v>
      </x:c>
      <x:c r="J491" s="112" t="str">
        <x:v>g</x:v>
      </x:c>
      <x:c r="K491" s="112" t="str">
        <x:v>HỦ</x:v>
      </x:c>
      <x:c r="L491" s="112" t="n">
        <x:v>0</x:v>
      </x:c>
      <x:c r="M491" s="112" t="str">
        <x:v>g</x:v>
      </x:c>
      <x:c r="N491" s="112" t="str">
        <x:v>THÙNG</x:v>
      </x:c>
      <x:c r="O491" s="112" t="n">
        <x:v>15</x:v>
      </x:c>
      <x:c r="P491" s="112" t="str">
        <x:v>0 g / HỦ</x:v>
      </x:c>
      <x:c r="Q491" s="112" t="str">
        <x:v>15 HỦ / THÙNG</x:v>
      </x:c>
      <x:c r="R491" s="112" t="n">
        <x:v>1090</x:v>
      </x:c>
      <x:c r="S491" s="113" t="n">
        <x:v>1091</x:v>
      </x:c>
    </x:row>
    <x:row r="492">
      <x:c r="A492" s="111" t="n">
        <x:v>492</x:v>
      </x:c>
      <x:c r="B492" s="112" t="str">
        <x:v>GTP DƯA LƯỚI</x:v>
      </x:c>
      <x:c r="C492" s="112" t="str">
        <x:v>GTPDLU</x:v>
      </x:c>
      <x:c r="D492" s="112" t="str">
        <x:v>GTPDLUT</x:v>
      </x:c>
      <x:c r="E492" s="120" t="n">
        <x:v>140000</x:v>
      </x:c>
      <x:c r="F492" s="120" t="n">
        <x:v>140000</x:v>
      </x:c>
      <x:c r="G492" s="120" t="n">
        <x:v>140000</x:v>
      </x:c>
      <x:c r="H492" s="112" t="str">
        <x:v>GIỮ NGUYÊN - ĐÃ KHỚP</x:v>
      </x:c>
      <x:c r="I492" s="112" t="n">
        <x:v>2550</x:v>
      </x:c>
      <x:c r="J492" s="112" t="str">
        <x:v>g</x:v>
      </x:c>
      <x:c r="K492" s="112" t="str">
        <x:v>BÌNH</x:v>
      </x:c>
      <x:c r="L492" s="112" t="n">
        <x:v>16000</x:v>
      </x:c>
      <x:c r="M492" s="112" t="str">
        <x:v>g</x:v>
      </x:c>
      <x:c r="N492" s="112" t="str">
        <x:v>THÙNG</x:v>
      </x:c>
      <x:c r="O492" s="112" t="n">
        <x:v>6</x:v>
      </x:c>
      <x:c r="P492" s="112" t="str">
        <x:v>2550 g / BÌNH</x:v>
      </x:c>
      <x:c r="Q492" s="112" t="str">
        <x:v>6 BÌNH / THÙNG</x:v>
      </x:c>
      <x:c r="R492" s="112" t="n">
        <x:v>1092</x:v>
      </x:c>
      <x:c r="S492" s="113" t="n">
        <x:v>1093</x:v>
      </x:c>
    </x:row>
    <x:row r="493">
      <x:c r="A493" s="111" t="n">
        <x:v>493</x:v>
      </x:c>
      <x:c r="B493" s="112" t="str">
        <x:v>DINGFONG XOÀI</x:v>
      </x:c>
      <x:c r="C493" s="112" t="str">
        <x:v>DFGXOA</x:v>
      </x:c>
      <x:c r="D493" s="112" t="str">
        <x:v>DFGXOAT</x:v>
      </x:c>
      <x:c r="E493" s="120" t="n">
        <x:v>62000</x:v>
      </x:c>
      <x:c r="F493" s="120" t="n">
        <x:v>62000</x:v>
      </x:c>
      <x:c r="G493" s="120" t="n">
        <x:v>62000</x:v>
      </x:c>
      <x:c r="H493" s="112" t="str">
        <x:v>GIỮ NGUYÊN - ĐÃ KHỚP</x:v>
      </x:c>
      <x:c r="I493" s="112" t="n">
        <x:v>1050</x:v>
      </x:c>
      <x:c r="J493" s="112" t="str">
        <x:v>g</x:v>
      </x:c>
      <x:c r="K493" s="112" t="str">
        <x:v>CHAI</x:v>
      </x:c>
      <x:c r="L493" s="112" t="n">
        <x:v>13000</x:v>
      </x:c>
      <x:c r="M493" s="112" t="str">
        <x:v>g</x:v>
      </x:c>
      <x:c r="N493" s="112" t="str">
        <x:v>THÙNG</x:v>
      </x:c>
      <x:c r="O493" s="112" t="n">
        <x:v>12</x:v>
      </x:c>
      <x:c r="P493" s="112" t="str">
        <x:v>1050 g / CHAI</x:v>
      </x:c>
      <x:c r="Q493" s="112" t="str">
        <x:v>12 CHAI / THÙNG</x:v>
      </x:c>
      <x:c r="R493" s="112" t="n">
        <x:v>1096</x:v>
      </x:c>
      <x:c r="S493" s="113" t="n">
        <x:v>1097</x:v>
      </x:c>
    </x:row>
    <x:row r="494">
      <x:c r="A494" s="111" t="n">
        <x:v>494</x:v>
      </x:c>
      <x:c r="B494" s="112" t="str">
        <x:v>DINGFONG VIỆT QUỐC</x:v>
      </x:c>
      <x:c r="C494" s="112" t="str">
        <x:v>DFGVQU</x:v>
      </x:c>
      <x:c r="D494" s="112" t="str">
        <x:v>DFGVQUT</x:v>
      </x:c>
      <x:c r="E494" s="120" t="n">
        <x:v>62000</x:v>
      </x:c>
      <x:c r="F494" s="120" t="n">
        <x:v>62000</x:v>
      </x:c>
      <x:c r="G494" s="120" t="n">
        <x:v>62000</x:v>
      </x:c>
      <x:c r="H494" s="112" t="str">
        <x:v>GIỮ NGUYÊN - ĐÃ KHỚP</x:v>
      </x:c>
      <x:c r="I494" s="112" t="n">
        <x:v>1050</x:v>
      </x:c>
      <x:c r="J494" s="112" t="str">
        <x:v>g</x:v>
      </x:c>
      <x:c r="K494" s="112" t="str">
        <x:v>CHAI</x:v>
      </x:c>
      <x:c r="L494" s="112" t="n">
        <x:v>13000</x:v>
      </x:c>
      <x:c r="M494" s="112" t="str">
        <x:v>g</x:v>
      </x:c>
      <x:c r="N494" s="112" t="str">
        <x:v>THÙNG</x:v>
      </x:c>
      <x:c r="O494" s="112" t="n">
        <x:v>12</x:v>
      </x:c>
      <x:c r="P494" s="112" t="str">
        <x:v>1050 g / CHAI</x:v>
      </x:c>
      <x:c r="Q494" s="112" t="str">
        <x:v>12 CHAI / THÙNG</x:v>
      </x:c>
      <x:c r="R494" s="112" t="n">
        <x:v>1098</x:v>
      </x:c>
      <x:c r="S494" s="113" t="n">
        <x:v>1099</x:v>
      </x:c>
    </x:row>
    <x:row r="495">
      <x:c r="A495" s="111" t="n">
        <x:v>495</x:v>
      </x:c>
      <x:c r="B495" s="112" t="str">
        <x:v>DINGFONG VẢI</x:v>
      </x:c>
      <x:c r="C495" s="112" t="str">
        <x:v>DFGVAI</x:v>
      </x:c>
      <x:c r="D495" s="112" t="str">
        <x:v>DFGVAIT</x:v>
      </x:c>
      <x:c r="E495" s="120" t="n">
        <x:v>62000</x:v>
      </x:c>
      <x:c r="F495" s="120" t="n">
        <x:v>62000</x:v>
      </x:c>
      <x:c r="G495" s="120" t="n">
        <x:v>62000</x:v>
      </x:c>
      <x:c r="H495" s="112" t="str">
        <x:v>GIỮ NGUYÊN - ĐÃ KHỚP</x:v>
      </x:c>
      <x:c r="I495" s="112" t="n">
        <x:v>1050</x:v>
      </x:c>
      <x:c r="J495" s="112" t="str">
        <x:v>g</x:v>
      </x:c>
      <x:c r="K495" s="112" t="str">
        <x:v>CHAI</x:v>
      </x:c>
      <x:c r="L495" s="112" t="n">
        <x:v>13000</x:v>
      </x:c>
      <x:c r="M495" s="112" t="str">
        <x:v>g</x:v>
      </x:c>
      <x:c r="N495" s="112" t="str">
        <x:v>THÙNG</x:v>
      </x:c>
      <x:c r="O495" s="112" t="n">
        <x:v>12</x:v>
      </x:c>
      <x:c r="P495" s="112" t="str">
        <x:v>1050 g / CHAI</x:v>
      </x:c>
      <x:c r="Q495" s="112" t="str">
        <x:v>12 CHAI / THÙNG</x:v>
      </x:c>
      <x:c r="R495" s="112" t="n">
        <x:v>1100</x:v>
      </x:c>
      <x:c r="S495" s="113" t="n">
        <x:v>1101</x:v>
      </x:c>
    </x:row>
    <x:row r="496">
      <x:c r="A496" s="111" t="n">
        <x:v>496</x:v>
      </x:c>
      <x:c r="B496" s="112" t="str">
        <x:v>DINGFONG TÁO</x:v>
      </x:c>
      <x:c r="C496" s="112" t="str">
        <x:v>DFGTAO</x:v>
      </x:c>
      <x:c r="D496" s="112" t="str">
        <x:v>DFGTAOT</x:v>
      </x:c>
      <x:c r="E496" s="120" t="n">
        <x:v>62000</x:v>
      </x:c>
      <x:c r="F496" s="120" t="n">
        <x:v>62000</x:v>
      </x:c>
      <x:c r="G496" s="120" t="n">
        <x:v>62000</x:v>
      </x:c>
      <x:c r="H496" s="112" t="str">
        <x:v>GIỮ NGUYÊN - ĐÃ KHỚP</x:v>
      </x:c>
      <x:c r="I496" s="112" t="n">
        <x:v>1050</x:v>
      </x:c>
      <x:c r="J496" s="112" t="str">
        <x:v>g</x:v>
      </x:c>
      <x:c r="K496" s="112" t="str">
        <x:v>CHAI</x:v>
      </x:c>
      <x:c r="L496" s="112" t="n">
        <x:v>13000</x:v>
      </x:c>
      <x:c r="M496" s="112" t="str">
        <x:v>g</x:v>
      </x:c>
      <x:c r="N496" s="112" t="str">
        <x:v>THÙNG</x:v>
      </x:c>
      <x:c r="O496" s="112" t="n">
        <x:v>12</x:v>
      </x:c>
      <x:c r="P496" s="112" t="str">
        <x:v>1050 g / CHAI</x:v>
      </x:c>
      <x:c r="Q496" s="112" t="str">
        <x:v>12 CHAI / THÙNG</x:v>
      </x:c>
      <x:c r="R496" s="112" t="n">
        <x:v>1102</x:v>
      </x:c>
      <x:c r="S496" s="113" t="n">
        <x:v>1103</x:v>
      </x:c>
    </x:row>
    <x:row r="497">
      <x:c r="A497" s="111" t="n">
        <x:v>497</x:v>
      </x:c>
      <x:c r="B497" s="112" t="str">
        <x:v>DINGFONG SOCOLA</x:v>
      </x:c>
      <x:c r="C497" s="112" t="str">
        <x:v>DFGSCL</x:v>
      </x:c>
      <x:c r="D497" s="112" t="str">
        <x:v>DFGSCLT</x:v>
      </x:c>
      <x:c r="E497" s="120" t="n">
        <x:v>62000</x:v>
      </x:c>
      <x:c r="F497" s="120" t="n">
        <x:v>62000</x:v>
      </x:c>
      <x:c r="G497" s="120" t="n">
        <x:v>62000</x:v>
      </x:c>
      <x:c r="H497" s="112" t="str">
        <x:v>GIỮ NGUYÊN - ĐÃ KHỚP</x:v>
      </x:c>
      <x:c r="I497" s="112" t="n">
        <x:v>1050</x:v>
      </x:c>
      <x:c r="J497" s="112" t="str">
        <x:v>g</x:v>
      </x:c>
      <x:c r="K497" s="112" t="str">
        <x:v>CHAI</x:v>
      </x:c>
      <x:c r="L497" s="112" t="n">
        <x:v>13000</x:v>
      </x:c>
      <x:c r="M497" s="112" t="str">
        <x:v>g</x:v>
      </x:c>
      <x:c r="N497" s="112" t="str">
        <x:v>THÙNG</x:v>
      </x:c>
      <x:c r="O497" s="112" t="n">
        <x:v>12</x:v>
      </x:c>
      <x:c r="P497" s="112" t="str">
        <x:v>1050 g / CHAI</x:v>
      </x:c>
      <x:c r="Q497" s="112" t="str">
        <x:v>12 CHAI / THÙNG</x:v>
      </x:c>
      <x:c r="R497" s="112" t="n">
        <x:v>1104</x:v>
      </x:c>
      <x:c r="S497" s="113" t="n">
        <x:v>1105</x:v>
      </x:c>
    </x:row>
    <x:row r="498">
      <x:c r="A498" s="111" t="n">
        <x:v>498</x:v>
      </x:c>
      <x:c r="B498" s="112" t="str">
        <x:v>DINGFONG NHO</x:v>
      </x:c>
      <x:c r="C498" s="112" t="str">
        <x:v>DFGNHO</x:v>
      </x:c>
      <x:c r="D498" s="112" t="str">
        <x:v>DFGNHOT</x:v>
      </x:c>
      <x:c r="E498" s="120" t="n">
        <x:v>62000</x:v>
      </x:c>
      <x:c r="F498" s="120" t="n">
        <x:v>62000</x:v>
      </x:c>
      <x:c r="G498" s="120" t="n">
        <x:v>62000</x:v>
      </x:c>
      <x:c r="H498" s="112" t="str">
        <x:v>GIỮ NGUYÊN - ĐÃ KHỚP</x:v>
      </x:c>
      <x:c r="I498" s="112" t="n">
        <x:v>1050</x:v>
      </x:c>
      <x:c r="J498" s="112" t="str">
        <x:v>g</x:v>
      </x:c>
      <x:c r="K498" s="112" t="str">
        <x:v>CHAI</x:v>
      </x:c>
      <x:c r="L498" s="112" t="n">
        <x:v>13000</x:v>
      </x:c>
      <x:c r="M498" s="112" t="str">
        <x:v>g</x:v>
      </x:c>
      <x:c r="N498" s="112" t="str">
        <x:v>THÙNG</x:v>
      </x:c>
      <x:c r="O498" s="112" t="n">
        <x:v>12</x:v>
      </x:c>
      <x:c r="P498" s="112" t="str">
        <x:v>1050 g / CHAI</x:v>
      </x:c>
      <x:c r="Q498" s="112" t="str">
        <x:v>12 CHAI / THÙNG</x:v>
      </x:c>
      <x:c r="R498" s="112" t="n">
        <x:v>1106</x:v>
      </x:c>
      <x:c r="S498" s="113" t="n">
        <x:v>1107</x:v>
      </x:c>
    </x:row>
    <x:row r="499">
      <x:c r="A499" s="111" t="n">
        <x:v>499</x:v>
      </x:c>
      <x:c r="B499" s="112" t="str">
        <x:v>DINGFONG KIWI</x:v>
      </x:c>
      <x:c r="C499" s="112" t="str">
        <x:v>DFGKWI</x:v>
      </x:c>
      <x:c r="D499" s="112" t="str">
        <x:v>DFGKWIT</x:v>
      </x:c>
      <x:c r="E499" s="120" t="n">
        <x:v>62000</x:v>
      </x:c>
      <x:c r="F499" s="120" t="n">
        <x:v>62000</x:v>
      </x:c>
      <x:c r="G499" s="120" t="n">
        <x:v>62000</x:v>
      </x:c>
      <x:c r="H499" s="112" t="str">
        <x:v>GIỮ NGUYÊN - ĐÃ KHỚP</x:v>
      </x:c>
      <x:c r="I499" s="112" t="n">
        <x:v>1050</x:v>
      </x:c>
      <x:c r="J499" s="112" t="str">
        <x:v>g</x:v>
      </x:c>
      <x:c r="K499" s="112" t="str">
        <x:v>CHAI</x:v>
      </x:c>
      <x:c r="L499" s="112" t="n">
        <x:v>13000</x:v>
      </x:c>
      <x:c r="M499" s="112" t="str">
        <x:v>g</x:v>
      </x:c>
      <x:c r="N499" s="112" t="str">
        <x:v>THÙNG</x:v>
      </x:c>
      <x:c r="O499" s="112" t="n">
        <x:v>12</x:v>
      </x:c>
      <x:c r="P499" s="112" t="str">
        <x:v>1050 g / CHAI</x:v>
      </x:c>
      <x:c r="Q499" s="112" t="str">
        <x:v>12 CHAI / THÙNG</x:v>
      </x:c>
      <x:c r="R499" s="112" t="n">
        <x:v>1108</x:v>
      </x:c>
      <x:c r="S499" s="113" t="n">
        <x:v>1109</x:v>
      </x:c>
    </x:row>
    <x:row r="500">
      <x:c r="A500" s="111" t="n">
        <x:v>500</x:v>
      </x:c>
      <x:c r="B500" s="112" t="str">
        <x:v>DINGFONG ĐÀO</x:v>
      </x:c>
      <x:c r="C500" s="112" t="str">
        <x:v>DFGDAO</x:v>
      </x:c>
      <x:c r="D500" s="112" t="str">
        <x:v>DFGDAOT</x:v>
      </x:c>
      <x:c r="E500" s="120" t="n">
        <x:v>62000</x:v>
      </x:c>
      <x:c r="F500" s="120" t="n">
        <x:v>62000</x:v>
      </x:c>
      <x:c r="G500" s="120" t="n">
        <x:v>62000</x:v>
      </x:c>
      <x:c r="H500" s="112" t="str">
        <x:v>GIỮ NGUYÊN - ĐÃ KHỚP</x:v>
      </x:c>
      <x:c r="I500" s="112" t="n">
        <x:v>1050</x:v>
      </x:c>
      <x:c r="J500" s="112" t="str">
        <x:v>g</x:v>
      </x:c>
      <x:c r="K500" s="112" t="str">
        <x:v>CHAI</x:v>
      </x:c>
      <x:c r="L500" s="112" t="n">
        <x:v>13000</x:v>
      </x:c>
      <x:c r="M500" s="112" t="str">
        <x:v>g</x:v>
      </x:c>
      <x:c r="N500" s="112" t="str">
        <x:v>THÙNG</x:v>
      </x:c>
      <x:c r="O500" s="112" t="n">
        <x:v>12</x:v>
      </x:c>
      <x:c r="P500" s="112" t="str">
        <x:v>1050 g / CHAI</x:v>
      </x:c>
      <x:c r="Q500" s="112" t="str">
        <x:v>12 CHAI / THÙNG</x:v>
      </x:c>
      <x:c r="R500" s="112" t="n">
        <x:v>1110</x:v>
      </x:c>
      <x:c r="S500" s="113" t="n">
        <x:v>1111</x:v>
      </x:c>
    </x:row>
    <x:row r="501">
      <x:c r="A501" s="111" t="n">
        <x:v>501</x:v>
      </x:c>
      <x:c r="B501" s="112" t="str">
        <x:v>DINGFONG DƯA LƯỚI</x:v>
      </x:c>
      <x:c r="C501" s="112" t="str">
        <x:v>DFGDLU</x:v>
      </x:c>
      <x:c r="D501" s="112" t="str">
        <x:v>DFGDLUT</x:v>
      </x:c>
      <x:c r="E501" s="120" t="n">
        <x:v>62000</x:v>
      </x:c>
      <x:c r="F501" s="120" t="n">
        <x:v>62000</x:v>
      </x:c>
      <x:c r="G501" s="120" t="n">
        <x:v>62000</x:v>
      </x:c>
      <x:c r="H501" s="112" t="str">
        <x:v>GIỮ NGUYÊN - ĐÃ KHỚP</x:v>
      </x:c>
      <x:c r="I501" s="112" t="n">
        <x:v>1050</x:v>
      </x:c>
      <x:c r="J501" s="112" t="str">
        <x:v>g</x:v>
      </x:c>
      <x:c r="K501" s="112" t="str">
        <x:v>CHAI</x:v>
      </x:c>
      <x:c r="L501" s="112" t="n">
        <x:v>13000</x:v>
      </x:c>
      <x:c r="M501" s="112" t="str">
        <x:v>g</x:v>
      </x:c>
      <x:c r="N501" s="112" t="str">
        <x:v>THÙNG</x:v>
      </x:c>
      <x:c r="O501" s="112" t="n">
        <x:v>12</x:v>
      </x:c>
      <x:c r="P501" s="112" t="str">
        <x:v>1050 g / CHAI</x:v>
      </x:c>
      <x:c r="Q501" s="112" t="str">
        <x:v>12 CHAI / THÙNG</x:v>
      </x:c>
      <x:c r="R501" s="112" t="n">
        <x:v>1112</x:v>
      </x:c>
      <x:c r="S501" s="113" t="n">
        <x:v>1113</x:v>
      </x:c>
    </x:row>
    <x:row r="502">
      <x:c r="A502" s="111" t="n">
        <x:v>502</x:v>
      </x:c>
      <x:c r="B502" s="112" t="str">
        <x:v>DINGFONG DÂU</x:v>
      </x:c>
      <x:c r="C502" s="112" t="str">
        <x:v>DFGDAU</x:v>
      </x:c>
      <x:c r="D502" s="112" t="str">
        <x:v>DFGDAUT</x:v>
      </x:c>
      <x:c r="E502" s="120" t="n">
        <x:v>62000</x:v>
      </x:c>
      <x:c r="F502" s="120" t="n">
        <x:v>62000</x:v>
      </x:c>
      <x:c r="G502" s="120" t="n">
        <x:v>62000</x:v>
      </x:c>
      <x:c r="H502" s="112" t="str">
        <x:v>GIỮ NGUYÊN - ĐÃ KHỚP</x:v>
      </x:c>
      <x:c r="I502" s="112" t="n">
        <x:v>1050</x:v>
      </x:c>
      <x:c r="J502" s="112" t="str">
        <x:v>g</x:v>
      </x:c>
      <x:c r="K502" s="112" t="str">
        <x:v>CHAI</x:v>
      </x:c>
      <x:c r="L502" s="112" t="n">
        <x:v>13000</x:v>
      </x:c>
      <x:c r="M502" s="112" t="str">
        <x:v>g</x:v>
      </x:c>
      <x:c r="N502" s="112" t="str">
        <x:v>THÙNG</x:v>
      </x:c>
      <x:c r="O502" s="112" t="n">
        <x:v>12</x:v>
      </x:c>
      <x:c r="P502" s="112" t="str">
        <x:v>1050 g / CHAI</x:v>
      </x:c>
      <x:c r="Q502" s="112" t="str">
        <x:v>12 CHAI / THÙNG</x:v>
      </x:c>
      <x:c r="R502" s="112" t="n">
        <x:v>1114</x:v>
      </x:c>
      <x:c r="S502" s="113" t="n">
        <x:v>1115</x:v>
      </x:c>
    </x:row>
    <x:row r="503">
      <x:c r="A503" s="111" t="n">
        <x:v>503</x:v>
      </x:c>
      <x:c r="B503" s="112" t="str">
        <x:v>DINGFONG CHANH DÂY</x:v>
      </x:c>
      <x:c r="C503" s="112" t="str">
        <x:v>DFGCDA</x:v>
      </x:c>
      <x:c r="D503" s="112" t="str">
        <x:v>DFGCDAT</x:v>
      </x:c>
      <x:c r="E503" s="120" t="n">
        <x:v>62000</x:v>
      </x:c>
      <x:c r="F503" s="120" t="n">
        <x:v>62000</x:v>
      </x:c>
      <x:c r="G503" s="120" t="n">
        <x:v>62000</x:v>
      </x:c>
      <x:c r="H503" s="112" t="str">
        <x:v>GIỮ NGUYÊN - ĐÃ KHỚP</x:v>
      </x:c>
      <x:c r="I503" s="112" t="n">
        <x:v>1050</x:v>
      </x:c>
      <x:c r="J503" s="112" t="str">
        <x:v>g</x:v>
      </x:c>
      <x:c r="K503" s="112" t="str">
        <x:v>CHAI</x:v>
      </x:c>
      <x:c r="L503" s="112" t="n">
        <x:v>13000</x:v>
      </x:c>
      <x:c r="M503" s="112" t="str">
        <x:v>g</x:v>
      </x:c>
      <x:c r="N503" s="112" t="str">
        <x:v>THÙNG</x:v>
      </x:c>
      <x:c r="O503" s="112" t="n">
        <x:v>12</x:v>
      </x:c>
      <x:c r="P503" s="112" t="str">
        <x:v>1050 g / CHAI</x:v>
      </x:c>
      <x:c r="Q503" s="112" t="str">
        <x:v>12 CHAI / THÙNG</x:v>
      </x:c>
      <x:c r="R503" s="112" t="n">
        <x:v>1116</x:v>
      </x:c>
      <x:c r="S503" s="113" t="n">
        <x:v>1117</x:v>
      </x:c>
    </x:row>
    <x:row r="504">
      <x:c r="A504" s="111" t="n">
        <x:v>504</x:v>
      </x:c>
      <x:c r="B504" s="112" t="str">
        <x:v>DINGFONG CAM</x:v>
      </x:c>
      <x:c r="C504" s="112" t="str">
        <x:v>DFGCAM</x:v>
      </x:c>
      <x:c r="D504" s="112" t="str">
        <x:v>DFGCAMT</x:v>
      </x:c>
      <x:c r="E504" s="120" t="n">
        <x:v>62000</x:v>
      </x:c>
      <x:c r="F504" s="120" t="n">
        <x:v>62000</x:v>
      </x:c>
      <x:c r="G504" s="120" t="n">
        <x:v>62000</x:v>
      </x:c>
      <x:c r="H504" s="112" t="str">
        <x:v>GIỮ NGUYÊN - ĐÃ KHỚP</x:v>
      </x:c>
      <x:c r="I504" s="112" t="n">
        <x:v>1050</x:v>
      </x:c>
      <x:c r="J504" s="112" t="str">
        <x:v>g</x:v>
      </x:c>
      <x:c r="K504" s="112" t="str">
        <x:v>CHAI</x:v>
      </x:c>
      <x:c r="L504" s="112" t="n">
        <x:v>13000</x:v>
      </x:c>
      <x:c r="M504" s="112" t="str">
        <x:v>g</x:v>
      </x:c>
      <x:c r="N504" s="112" t="str">
        <x:v>THÙNG</x:v>
      </x:c>
      <x:c r="O504" s="112" t="n">
        <x:v>12</x:v>
      </x:c>
      <x:c r="P504" s="112" t="str">
        <x:v>1050 g / CHAI</x:v>
      </x:c>
      <x:c r="Q504" s="112" t="str">
        <x:v>12 CHAI / THÙNG</x:v>
      </x:c>
      <x:c r="R504" s="112" t="n">
        <x:v>1118</x:v>
      </x:c>
      <x:c r="S504" s="113" t="n">
        <x:v>1119</x:v>
      </x:c>
    </x:row>
    <x:row r="505">
      <x:c r="A505" s="111" t="n">
        <x:v>505</x:v>
      </x:c>
      <x:c r="B505" s="112" t="str">
        <x:v>DINGFONG BLUE</x:v>
      </x:c>
      <x:c r="C505" s="112" t="str">
        <x:v>DFGBLU</x:v>
      </x:c>
      <x:c r="D505" s="112" t="str">
        <x:v>DFGBLUT</x:v>
      </x:c>
      <x:c r="E505" s="120" t="n">
        <x:v>62000</x:v>
      </x:c>
      <x:c r="F505" s="120" t="n">
        <x:v>62000</x:v>
      </x:c>
      <x:c r="G505" s="120" t="n">
        <x:v>62000</x:v>
      </x:c>
      <x:c r="H505" s="112" t="str">
        <x:v>GIỮ NGUYÊN - ĐÃ KHỚP</x:v>
      </x:c>
      <x:c r="I505" s="112" t="n">
        <x:v>1050</x:v>
      </x:c>
      <x:c r="J505" s="112" t="str">
        <x:v>g</x:v>
      </x:c>
      <x:c r="K505" s="112" t="str">
        <x:v>CHAI</x:v>
      </x:c>
      <x:c r="L505" s="112" t="n">
        <x:v>13000</x:v>
      </x:c>
      <x:c r="M505" s="112" t="str">
        <x:v>g</x:v>
      </x:c>
      <x:c r="N505" s="112" t="str">
        <x:v>THÙNG</x:v>
      </x:c>
      <x:c r="O505" s="112" t="n">
        <x:v>12</x:v>
      </x:c>
      <x:c r="P505" s="112" t="str">
        <x:v>1050 g / CHAI</x:v>
      </x:c>
      <x:c r="Q505" s="112" t="str">
        <x:v>12 CHAI / THÙNG</x:v>
      </x:c>
      <x:c r="R505" s="112" t="n">
        <x:v>1120</x:v>
      </x:c>
      <x:c r="S505" s="113" t="n">
        <x:v>1121</x:v>
      </x:c>
    </x:row>
    <x:row r="506">
      <x:c r="A506" s="111" t="n">
        <x:v>506</x:v>
      </x:c>
      <x:c r="B506" s="112" t="str">
        <x:v>DINGFONG BẠC HÀ</x:v>
      </x:c>
      <x:c r="C506" s="112" t="str">
        <x:v>DFGBHA</x:v>
      </x:c>
      <x:c r="D506" s="112" t="str">
        <x:v>DFGBHAT</x:v>
      </x:c>
      <x:c r="E506" s="120" t="n">
        <x:v>62000</x:v>
      </x:c>
      <x:c r="F506" s="120" t="n">
        <x:v>62000</x:v>
      </x:c>
      <x:c r="G506" s="120" t="n">
        <x:v>62000</x:v>
      </x:c>
      <x:c r="H506" s="112" t="str">
        <x:v>GIỮ NGUYÊN - ĐÃ KHỚP</x:v>
      </x:c>
      <x:c r="I506" s="112" t="n">
        <x:v>1050</x:v>
      </x:c>
      <x:c r="J506" s="112" t="str">
        <x:v>g</x:v>
      </x:c>
      <x:c r="K506" s="112" t="str">
        <x:v>CHAI</x:v>
      </x:c>
      <x:c r="L506" s="112" t="n">
        <x:v>13000</x:v>
      </x:c>
      <x:c r="M506" s="112" t="str">
        <x:v>g</x:v>
      </x:c>
      <x:c r="N506" s="112" t="str">
        <x:v>THÙNG</x:v>
      </x:c>
      <x:c r="O506" s="112" t="n">
        <x:v>12</x:v>
      </x:c>
      <x:c r="P506" s="112" t="str">
        <x:v>1050 g / CHAI</x:v>
      </x:c>
      <x:c r="Q506" s="112" t="str">
        <x:v>12 CHAI / THÙNG</x:v>
      </x:c>
      <x:c r="R506" s="112" t="n">
        <x:v>1122</x:v>
      </x:c>
      <x:c r="S506" s="113" t="n">
        <x:v>1123</x:v>
      </x:c>
    </x:row>
    <x:row r="507">
      <x:c r="A507" s="111" t="n">
        <x:v>507</x:v>
      </x:c>
      <x:c r="B507" s="112" t="str">
        <x:v>DINGFONG DƯA HẤU</x:v>
      </x:c>
      <x:c r="C507" s="112" t="str">
        <x:v>DFGDHA</x:v>
      </x:c>
      <x:c r="D507" s="112" t="str">
        <x:v>DFGDHAT</x:v>
      </x:c>
      <x:c r="E507" s="120" t="n">
        <x:v>62000</x:v>
      </x:c>
      <x:c r="F507" s="120" t="n">
        <x:v>62000</x:v>
      </x:c>
      <x:c r="G507" s="120" t="n">
        <x:v>62000</x:v>
      </x:c>
      <x:c r="H507" s="112" t="str">
        <x:v>GIỮ NGUYÊN - ĐÃ KHỚP</x:v>
      </x:c>
      <x:c r="I507" s="112" t="n">
        <x:v>1050</x:v>
      </x:c>
      <x:c r="J507" s="112" t="str">
        <x:v>g</x:v>
      </x:c>
      <x:c r="K507" s="112" t="str">
        <x:v>CHAI</x:v>
      </x:c>
      <x:c r="L507" s="112" t="n">
        <x:v>13000</x:v>
      </x:c>
      <x:c r="M507" s="112" t="str">
        <x:v>g</x:v>
      </x:c>
      <x:c r="N507" s="112" t="str">
        <x:v>THÙNG</x:v>
      </x:c>
      <x:c r="O507" s="112" t="n">
        <x:v>12</x:v>
      </x:c>
      <x:c r="P507" s="112" t="str">
        <x:v>1050 g / CHAI</x:v>
      </x:c>
      <x:c r="Q507" s="112" t="str">
        <x:v>12 CHAI / THÙNG</x:v>
      </x:c>
      <x:c r="R507" s="112" t="n">
        <x:v>1124</x:v>
      </x:c>
      <x:c r="S507" s="113" t="n">
        <x:v>1125</x:v>
      </x:c>
    </x:row>
    <x:row r="508">
      <x:c r="A508" s="111" t="n">
        <x:v>508</x:v>
      </x:c>
      <x:c r="B508" s="112" t="str">
        <x:v>GTP DÂU</x:v>
      </x:c>
      <x:c r="C508" s="112" t="str">
        <x:v>GTPDAU</x:v>
      </x:c>
      <x:c r="D508" s="112" t="str">
        <x:v>GTPDAUT</x:v>
      </x:c>
      <x:c r="E508" s="120" t="n">
        <x:v>146000</x:v>
      </x:c>
      <x:c r="F508" s="120" t="n">
        <x:v>146000</x:v>
      </x:c>
      <x:c r="G508" s="120" t="n">
        <x:v>146000</x:v>
      </x:c>
      <x:c r="H508" s="112" t="str">
        <x:v>GIỮ NGUYÊN - ĐÃ KHỚP</x:v>
      </x:c>
      <x:c r="I508" s="112" t="n">
        <x:v>2550</x:v>
      </x:c>
      <x:c r="J508" s="112" t="str">
        <x:v>g</x:v>
      </x:c>
      <x:c r="K508" s="112" t="str">
        <x:v>BÌNH</x:v>
      </x:c>
      <x:c r="L508" s="112" t="n">
        <x:v>16000</x:v>
      </x:c>
      <x:c r="M508" s="112" t="str">
        <x:v>g</x:v>
      </x:c>
      <x:c r="N508" s="112" t="str">
        <x:v>THÙNG</x:v>
      </x:c>
      <x:c r="O508" s="112" t="n">
        <x:v>6</x:v>
      </x:c>
      <x:c r="P508" s="112" t="str">
        <x:v>2550 g / BÌNH</x:v>
      </x:c>
      <x:c r="Q508" s="112" t="str">
        <x:v>6 BÌNH / THÙNG</x:v>
      </x:c>
      <x:c r="R508" s="112" t="n">
        <x:v>1126</x:v>
      </x:c>
      <x:c r="S508" s="113" t="n">
        <x:v>1127</x:v>
      </x:c>
    </x:row>
    <x:row r="509">
      <x:c r="A509" s="111" t="n">
        <x:v>509</x:v>
      </x:c>
      <x:c r="B509" s="112" t="str">
        <x:v>GTP CHANH DÂY</x:v>
      </x:c>
      <x:c r="C509" s="112" t="str">
        <x:v>GTPCDA</x:v>
      </x:c>
      <x:c r="D509" s="112" t="str">
        <x:v>GTPCDAT</x:v>
      </x:c>
      <x:c r="E509" s="120" t="n">
        <x:v>140000</x:v>
      </x:c>
      <x:c r="F509" s="120" t="n">
        <x:v>140000</x:v>
      </x:c>
      <x:c r="G509" s="120" t="n">
        <x:v>140000</x:v>
      </x:c>
      <x:c r="H509" s="112" t="str">
        <x:v>GIỮ NGUYÊN - ĐÃ KHỚP</x:v>
      </x:c>
      <x:c r="I509" s="112" t="n">
        <x:v>2550</x:v>
      </x:c>
      <x:c r="J509" s="112" t="str">
        <x:v>g</x:v>
      </x:c>
      <x:c r="K509" s="112" t="str">
        <x:v>BÌNH</x:v>
      </x:c>
      <x:c r="L509" s="112" t="n">
        <x:v>16000</x:v>
      </x:c>
      <x:c r="M509" s="112" t="str">
        <x:v>g</x:v>
      </x:c>
      <x:c r="N509" s="112" t="str">
        <x:v>THÙNG</x:v>
      </x:c>
      <x:c r="O509" s="112" t="n">
        <x:v>6</x:v>
      </x:c>
      <x:c r="P509" s="112" t="str">
        <x:v>2550 g / BÌNH</x:v>
      </x:c>
      <x:c r="Q509" s="112" t="str">
        <x:v>6 BÌNH / THÙNG</x:v>
      </x:c>
      <x:c r="R509" s="112" t="n">
        <x:v>1129</x:v>
      </x:c>
      <x:c r="S509" s="113" t="n">
        <x:v>1130</x:v>
      </x:c>
    </x:row>
    <x:row r="510">
      <x:c r="A510" s="111" t="n">
        <x:v>510</x:v>
      </x:c>
      <x:c r="B510" s="112" t="str">
        <x:v>CHANG THÁI VIỆT QUỐC</x:v>
      </x:c>
      <x:c r="C510" s="112" t="str">
        <x:v>CTHVQU</x:v>
      </x:c>
      <x:c r="D510" s="112" t="str">
        <x:v>CTHVQUT</x:v>
      </x:c>
      <x:c r="E510" s="120"/>
      <x:c r="F510" s="120" t="n">
        <x:v>57000</x:v>
      </x:c>
      <x:c r="G510" s="120" t="n">
        <x:v>57000</x:v>
      </x:c>
      <x:c r="H510" s="112" t="str">
        <x:v>BỔ SUNG GIÁ</x:v>
      </x:c>
      <x:c r="I510" s="112" t="n">
        <x:v>1400</x:v>
      </x:c>
      <x:c r="J510" s="112" t="str">
        <x:v>g</x:v>
      </x:c>
      <x:c r="K510" s="112" t="str">
        <x:v>CHAI</x:v>
      </x:c>
      <x:c r="L510" s="112" t="n">
        <x:v>16000</x:v>
      </x:c>
      <x:c r="M510" s="112" t="str">
        <x:v>g</x:v>
      </x:c>
      <x:c r="N510" s="112" t="str">
        <x:v>THÙNG</x:v>
      </x:c>
      <x:c r="O510" s="112" t="n">
        <x:v>12</x:v>
      </x:c>
      <x:c r="P510" s="112" t="str">
        <x:v>1400 g / CHAI</x:v>
      </x:c>
      <x:c r="Q510" s="112" t="str">
        <x:v>12 CHAI / THÙNG</x:v>
      </x:c>
      <x:c r="R510" s="112" t="n">
        <x:v>1131</x:v>
      </x:c>
      <x:c r="S510" s="113" t="n">
        <x:v>1132</x:v>
      </x:c>
    </x:row>
    <x:row r="511">
      <x:c r="A511" s="111" t="n">
        <x:v>511</x:v>
      </x:c>
      <x:c r="B511" s="112" t="str">
        <x:v>CHANG THÁI VẢI</x:v>
      </x:c>
      <x:c r="C511" s="112" t="str">
        <x:v>CTHVAI</x:v>
      </x:c>
      <x:c r="D511" s="112" t="str">
        <x:v>CTHVAIT</x:v>
      </x:c>
      <x:c r="E511" s="120"/>
      <x:c r="F511" s="120" t="n">
        <x:v>57000</x:v>
      </x:c>
      <x:c r="G511" s="120" t="n">
        <x:v>57000</x:v>
      </x:c>
      <x:c r="H511" s="112" t="str">
        <x:v>BỔ SUNG GIÁ</x:v>
      </x:c>
      <x:c r="I511" s="112" t="n">
        <x:v>1400</x:v>
      </x:c>
      <x:c r="J511" s="112" t="str">
        <x:v>g</x:v>
      </x:c>
      <x:c r="K511" s="112" t="str">
        <x:v>CHAI</x:v>
      </x:c>
      <x:c r="L511" s="112" t="n">
        <x:v>16000</x:v>
      </x:c>
      <x:c r="M511" s="112" t="str">
        <x:v>g</x:v>
      </x:c>
      <x:c r="N511" s="112" t="str">
        <x:v>THÙNG</x:v>
      </x:c>
      <x:c r="O511" s="112" t="n">
        <x:v>12</x:v>
      </x:c>
      <x:c r="P511" s="112" t="str">
        <x:v>1400 g / CHAI</x:v>
      </x:c>
      <x:c r="Q511" s="112" t="str">
        <x:v>12 CHAI / THÙNG</x:v>
      </x:c>
      <x:c r="R511" s="112" t="n">
        <x:v>1133</x:v>
      </x:c>
      <x:c r="S511" s="113" t="n">
        <x:v>1134</x:v>
      </x:c>
    </x:row>
    <x:row r="512">
      <x:c r="A512" s="111" t="n">
        <x:v>512</x:v>
      </x:c>
      <x:c r="B512" s="112" t="str">
        <x:v>CHANG THÁI ỔI</x:v>
      </x:c>
      <x:c r="C512" s="112" t="str">
        <x:v>CTHOIH</x:v>
      </x:c>
      <x:c r="D512" s="112" t="str">
        <x:v>CTHOIHT</x:v>
      </x:c>
      <x:c r="E512" s="120"/>
      <x:c r="F512" s="120" t="n">
        <x:v>0</x:v>
      </x:c>
      <x:c r="G512" s="120"/>
      <x:c r="H512" s="112" t="str">
        <x:v>DS SP GIÁ 0 - VẪN THIẾU GIÁ</x:v>
      </x:c>
      <x:c r="I512" s="112" t="n">
        <x:v>1400</x:v>
      </x:c>
      <x:c r="J512" s="112" t="str">
        <x:v>g</x:v>
      </x:c>
      <x:c r="K512" s="112" t="str">
        <x:v>CHAI</x:v>
      </x:c>
      <x:c r="L512" s="112" t="n">
        <x:v>16000</x:v>
      </x:c>
      <x:c r="M512" s="112" t="str">
        <x:v>g</x:v>
      </x:c>
      <x:c r="N512" s="112" t="str">
        <x:v>THÙNG</x:v>
      </x:c>
      <x:c r="O512" s="112" t="n">
        <x:v>12</x:v>
      </x:c>
      <x:c r="P512" s="112" t="str">
        <x:v>1400 g / CHAI</x:v>
      </x:c>
      <x:c r="Q512" s="112" t="str">
        <x:v>12 CHAI / THÙNG</x:v>
      </x:c>
      <x:c r="R512" s="112" t="n">
        <x:v>1135</x:v>
      </x:c>
      <x:c r="S512" s="113" t="n">
        <x:v>1136</x:v>
      </x:c>
    </x:row>
    <x:row r="513">
      <x:c r="A513" s="111" t="n">
        <x:v>513</x:v>
      </x:c>
      <x:c r="B513" s="112" t="str">
        <x:v>CHANG THÁI MÔN</x:v>
      </x:c>
      <x:c r="C513" s="112" t="str">
        <x:v>CTHMON</x:v>
      </x:c>
      <x:c r="D513" s="112" t="str">
        <x:v>CTHMONT</x:v>
      </x:c>
      <x:c r="E513" s="120"/>
      <x:c r="F513" s="120" t="n">
        <x:v>0</x:v>
      </x:c>
      <x:c r="G513" s="120"/>
      <x:c r="H513" s="112" t="str">
        <x:v>DS SP GIÁ 0 - VẪN THIẾU GIÁ</x:v>
      </x:c>
      <x:c r="I513" s="112" t="n">
        <x:v>1400</x:v>
      </x:c>
      <x:c r="J513" s="112" t="str">
        <x:v>g</x:v>
      </x:c>
      <x:c r="K513" s="112" t="str">
        <x:v>CHAI</x:v>
      </x:c>
      <x:c r="L513" s="112" t="n">
        <x:v>16000</x:v>
      </x:c>
      <x:c r="M513" s="112" t="str">
        <x:v>g</x:v>
      </x:c>
      <x:c r="N513" s="112" t="str">
        <x:v>THÙNG</x:v>
      </x:c>
      <x:c r="O513" s="112" t="n">
        <x:v>12</x:v>
      </x:c>
      <x:c r="P513" s="112" t="str">
        <x:v>1400 g / CHAI</x:v>
      </x:c>
      <x:c r="Q513" s="112" t="str">
        <x:v>12 CHAI / THÙNG</x:v>
      </x:c>
      <x:c r="R513" s="112" t="n">
        <x:v>1137</x:v>
      </x:c>
      <x:c r="S513" s="113" t="n">
        <x:v>1138</x:v>
      </x:c>
    </x:row>
    <x:row r="514">
      <x:c r="A514" s="111" t="n">
        <x:v>514</x:v>
      </x:c>
      <x:c r="B514" s="112" t="str">
        <x:v>CHANG THÁI MÃNG CẦU</x:v>
      </x:c>
      <x:c r="C514" s="112" t="str">
        <x:v>CTHMCA</x:v>
      </x:c>
      <x:c r="D514" s="112" t="str">
        <x:v>CTHMCAT</x:v>
      </x:c>
      <x:c r="E514" s="120"/>
      <x:c r="F514" s="120" t="n">
        <x:v>57000</x:v>
      </x:c>
      <x:c r="G514" s="120" t="n">
        <x:v>57000</x:v>
      </x:c>
      <x:c r="H514" s="112" t="str">
        <x:v>BỔ SUNG GIÁ</x:v>
      </x:c>
      <x:c r="I514" s="112" t="n">
        <x:v>1400</x:v>
      </x:c>
      <x:c r="J514" s="112" t="str">
        <x:v>g</x:v>
      </x:c>
      <x:c r="K514" s="112" t="str">
        <x:v>CHAI</x:v>
      </x:c>
      <x:c r="L514" s="112" t="n">
        <x:v>16000</x:v>
      </x:c>
      <x:c r="M514" s="112" t="str">
        <x:v>g</x:v>
      </x:c>
      <x:c r="N514" s="112" t="str">
        <x:v>THÙNG</x:v>
      </x:c>
      <x:c r="O514" s="112" t="n">
        <x:v>12</x:v>
      </x:c>
      <x:c r="P514" s="112" t="str">
        <x:v>1400 g / CHAI</x:v>
      </x:c>
      <x:c r="Q514" s="112" t="str">
        <x:v>12 CHAI / THÙNG</x:v>
      </x:c>
      <x:c r="R514" s="112" t="n">
        <x:v>1139</x:v>
      </x:c>
      <x:c r="S514" s="113" t="n">
        <x:v>1140</x:v>
      </x:c>
    </x:row>
    <x:row r="515">
      <x:c r="A515" s="111" t="n">
        <x:v>515</x:v>
      </x:c>
      <x:c r="B515" s="112" t="str">
        <x:v>CHANG THÁI ĐÀO</x:v>
      </x:c>
      <x:c r="C515" s="112" t="str">
        <x:v>CTHDAO</x:v>
      </x:c>
      <x:c r="D515" s="112" t="str">
        <x:v>CTHDAOT</x:v>
      </x:c>
      <x:c r="E515" s="120"/>
      <x:c r="F515" s="120" t="n">
        <x:v>57000</x:v>
      </x:c>
      <x:c r="G515" s="120" t="n">
        <x:v>57000</x:v>
      </x:c>
      <x:c r="H515" s="112" t="str">
        <x:v>BỔ SUNG GIÁ</x:v>
      </x:c>
      <x:c r="I515" s="112" t="n">
        <x:v>1400</x:v>
      </x:c>
      <x:c r="J515" s="112" t="str">
        <x:v>g</x:v>
      </x:c>
      <x:c r="K515" s="112" t="str">
        <x:v>CHAI</x:v>
      </x:c>
      <x:c r="L515" s="112" t="n">
        <x:v>16000</x:v>
      </x:c>
      <x:c r="M515" s="112" t="str">
        <x:v>g</x:v>
      </x:c>
      <x:c r="N515" s="112" t="str">
        <x:v>THÙNG</x:v>
      </x:c>
      <x:c r="O515" s="112" t="n">
        <x:v>12</x:v>
      </x:c>
      <x:c r="P515" s="112" t="str">
        <x:v>1400 g / CHAI</x:v>
      </x:c>
      <x:c r="Q515" s="112" t="str">
        <x:v>12 CHAI / THÙNG</x:v>
      </x:c>
      <x:c r="R515" s="112" t="n">
        <x:v>1141</x:v>
      </x:c>
      <x:c r="S515" s="113" t="n">
        <x:v>1142</x:v>
      </x:c>
    </x:row>
    <x:row r="516">
      <x:c r="A516" s="111" t="n">
        <x:v>516</x:v>
      </x:c>
      <x:c r="B516" s="112" t="str">
        <x:v>CHANG THÁI DÂU</x:v>
      </x:c>
      <x:c r="C516" s="112" t="str">
        <x:v>CTHDAU</x:v>
      </x:c>
      <x:c r="D516" s="112" t="str">
        <x:v>CTHDAUT</x:v>
      </x:c>
      <x:c r="E516" s="120"/>
      <x:c r="F516" s="120" t="n">
        <x:v>57000</x:v>
      </x:c>
      <x:c r="G516" s="120" t="n">
        <x:v>57000</x:v>
      </x:c>
      <x:c r="H516" s="112" t="str">
        <x:v>BỔ SUNG GIÁ</x:v>
      </x:c>
      <x:c r="I516" s="112" t="n">
        <x:v>1400</x:v>
      </x:c>
      <x:c r="J516" s="112" t="str">
        <x:v>g</x:v>
      </x:c>
      <x:c r="K516" s="112" t="str">
        <x:v>CHAI</x:v>
      </x:c>
      <x:c r="L516" s="112" t="n">
        <x:v>16000</x:v>
      </x:c>
      <x:c r="M516" s="112" t="str">
        <x:v>g</x:v>
      </x:c>
      <x:c r="N516" s="112" t="str">
        <x:v>THÙNG</x:v>
      </x:c>
      <x:c r="O516" s="112" t="n">
        <x:v>12</x:v>
      </x:c>
      <x:c r="P516" s="112" t="str">
        <x:v>1400 g / CHAI</x:v>
      </x:c>
      <x:c r="Q516" s="112" t="str">
        <x:v>12 CHAI / THÙNG</x:v>
      </x:c>
      <x:c r="R516" s="112" t="n">
        <x:v>1143</x:v>
      </x:c>
      <x:c r="S516" s="113" t="n">
        <x:v>1144</x:v>
      </x:c>
    </x:row>
    <x:row r="517">
      <x:c r="A517" s="111" t="n">
        <x:v>517</x:v>
      </x:c>
      <x:c r="B517" s="112" t="str">
        <x:v>CHANG THÁI BLUE</x:v>
      </x:c>
      <x:c r="C517" s="112" t="str">
        <x:v>CTHBLU</x:v>
      </x:c>
      <x:c r="D517" s="112" t="str">
        <x:v>CTHBLUT</x:v>
      </x:c>
      <x:c r="E517" s="120"/>
      <x:c r="F517" s="120" t="n">
        <x:v>57000</x:v>
      </x:c>
      <x:c r="G517" s="120" t="n">
        <x:v>57000</x:v>
      </x:c>
      <x:c r="H517" s="112" t="str">
        <x:v>BỔ SUNG GIÁ</x:v>
      </x:c>
      <x:c r="I517" s="112" t="n">
        <x:v>1400</x:v>
      </x:c>
      <x:c r="J517" s="112" t="str">
        <x:v>g</x:v>
      </x:c>
      <x:c r="K517" s="112" t="str">
        <x:v>CHAI</x:v>
      </x:c>
      <x:c r="L517" s="112" t="n">
        <x:v>16000</x:v>
      </x:c>
      <x:c r="M517" s="112" t="str">
        <x:v>g</x:v>
      </x:c>
      <x:c r="N517" s="112" t="str">
        <x:v>THÙNG</x:v>
      </x:c>
      <x:c r="O517" s="112" t="n">
        <x:v>12</x:v>
      </x:c>
      <x:c r="P517" s="112" t="str">
        <x:v>1400 g / CHAI</x:v>
      </x:c>
      <x:c r="Q517" s="112" t="str">
        <x:v>12 CHAI / THÙNG</x:v>
      </x:c>
      <x:c r="R517" s="112" t="n">
        <x:v>1145</x:v>
      </x:c>
      <x:c r="S517" s="113" t="n">
        <x:v>1146</x:v>
      </x:c>
    </x:row>
    <x:row r="518">
      <x:c r="A518" s="111" t="n">
        <x:v>518</x:v>
      </x:c>
      <x:c r="B518" s="112" t="str">
        <x:v>HẠT NỔ HỒNG DAKA</x:v>
      </x:c>
      <x:c r="C518" s="112" t="str">
        <x:v>NOHGDK</x:v>
      </x:c>
      <x:c r="D518" s="112" t="str">
        <x:v>NOHGDKT</x:v>
      </x:c>
      <x:c r="E518" s="120"/>
      <x:c r="F518" s="120" t="n">
        <x:v>66000</x:v>
      </x:c>
      <x:c r="G518" s="120" t="n">
        <x:v>66000</x:v>
      </x:c>
      <x:c r="H518" s="112" t="str">
        <x:v>BỔ SUNG GIÁ</x:v>
      </x:c>
      <x:c r="I518" s="112" t="n">
        <x:v>900</x:v>
      </x:c>
      <x:c r="J518" s="112" t="str">
        <x:v>g</x:v>
      </x:c>
      <x:c r="K518" s="112" t="str">
        <x:v>LON</x:v>
      </x:c>
      <x:c r="L518" s="112" t="n">
        <x:v>12000</x:v>
      </x:c>
      <x:c r="M518" s="112" t="str">
        <x:v>g</x:v>
      </x:c>
      <x:c r="N518" s="112" t="str">
        <x:v>THÙNG</x:v>
      </x:c>
      <x:c r="O518" s="112" t="n">
        <x:v>12</x:v>
      </x:c>
      <x:c r="P518" s="112" t="str">
        <x:v>900 g / LON</x:v>
      </x:c>
      <x:c r="Q518" s="112" t="str">
        <x:v>12 LON / THÙNG</x:v>
      </x:c>
      <x:c r="R518" s="112" t="n">
        <x:v>1154</x:v>
      </x:c>
      <x:c r="S518" s="113" t="n">
        <x:v>1155</x:v>
      </x:c>
    </x:row>
    <x:row r="519">
      <x:c r="A519" s="111" t="n">
        <x:v>519</x:v>
      </x:c>
      <x:c r="B519" s="112" t="str">
        <x:v>CỐT DỪA HỘP 1L CHAOKO</x:v>
      </x:c>
      <x:c r="C519" s="112" t="str">
        <x:v>CDCHKO</x:v>
      </x:c>
      <x:c r="D519" s="112" t="str">
        <x:v>CDCHKOT</x:v>
      </x:c>
      <x:c r="E519" s="120" t="n">
        <x:v>71000</x:v>
      </x:c>
      <x:c r="F519" s="120" t="n">
        <x:v>71000</x:v>
      </x:c>
      <x:c r="G519" s="120" t="n">
        <x:v>71000</x:v>
      </x:c>
      <x:c r="H519" s="112" t="str">
        <x:v>GIỮ NGUYÊN - ĐÃ KHỚP</x:v>
      </x:c>
      <x:c r="I519" s="112" t="n">
        <x:v>1000</x:v>
      </x:c>
      <x:c r="J519" s="112" t="str">
        <x:v>g</x:v>
      </x:c>
      <x:c r="K519" s="112" t="str">
        <x:v>HỘP</x:v>
      </x:c>
      <x:c r="L519" s="112" t="n">
        <x:v>13000</x:v>
      </x:c>
      <x:c r="M519" s="112" t="str">
        <x:v>g</x:v>
      </x:c>
      <x:c r="N519" s="112" t="str">
        <x:v>THÙNG</x:v>
      </x:c>
      <x:c r="O519" s="112" t="n">
        <x:v>12</x:v>
      </x:c>
      <x:c r="P519" s="112" t="str">
        <x:v>1000 g / HỘP</x:v>
      </x:c>
      <x:c r="Q519" s="112" t="str">
        <x:v>12 HỘP / THÙNG</x:v>
      </x:c>
      <x:c r="R519" s="112" t="n">
        <x:v>1156</x:v>
      </x:c>
      <x:c r="S519" s="113" t="n">
        <x:v>1157</x:v>
      </x:c>
    </x:row>
    <x:row r="520">
      <x:c r="A520" s="111" t="n">
        <x:v>520</x:v>
      </x:c>
      <x:c r="B520" s="112" t="str">
        <x:v>CỐT BÍ ĐAO WONDERFUL</x:v>
      </x:c>
      <x:c r="C520" s="112" t="str">
        <x:v>CBDWDF</x:v>
      </x:c>
      <x:c r="D520" s="112" t="str">
        <x:v>CBDWDFT</x:v>
      </x:c>
      <x:c r="E520" s="120" t="n">
        <x:v>47000</x:v>
      </x:c>
      <x:c r="F520" s="120" t="n">
        <x:v>47000</x:v>
      </x:c>
      <x:c r="G520" s="120" t="n">
        <x:v>47000</x:v>
      </x:c>
      <x:c r="H520" s="112" t="str">
        <x:v>GIỮ NGUYÊN - ĐÃ KHỚP</x:v>
      </x:c>
      <x:c r="I520" s="112" t="n">
        <x:v>600</x:v>
      </x:c>
      <x:c r="J520" s="112" t="str">
        <x:v>g</x:v>
      </x:c>
      <x:c r="K520" s="112" t="str">
        <x:v>BỊCH</x:v>
      </x:c>
      <x:c r="L520" s="112" t="n">
        <x:v>18000</x:v>
      </x:c>
      <x:c r="M520" s="112" t="str">
        <x:v>g</x:v>
      </x:c>
      <x:c r="N520" s="112" t="str">
        <x:v>THÙNG</x:v>
      </x:c>
      <x:c r="O520" s="112" t="n">
        <x:v>30</x:v>
      </x:c>
      <x:c r="P520" s="112" t="str">
        <x:v>600 g / BỊCH</x:v>
      </x:c>
      <x:c r="Q520" s="112" t="str">
        <x:v>30 BỊCH / THÙNG</x:v>
      </x:c>
      <x:c r="R520" s="112" t="n">
        <x:v>1158</x:v>
      </x:c>
      <x:c r="S520" s="113" t="n">
        <x:v>1159</x:v>
      </x:c>
    </x:row>
    <x:row r="521">
      <x:c r="A521" s="111" t="n">
        <x:v>521</x:v>
      </x:c>
      <x:c r="B521" s="112" t="str">
        <x:v>COZY HOÀ TAN VẢI</x:v>
      </x:c>
      <x:c r="C521" s="112" t="str">
        <x:v>COHTVA</x:v>
      </x:c>
      <x:c r="D521" s="112" t="str">
        <x:v>COHTVAT</x:v>
      </x:c>
      <x:c r="E521" s="120" t="n">
        <x:v>36000</x:v>
      </x:c>
      <x:c r="F521" s="120" t="n">
        <x:v>36000</x:v>
      </x:c>
      <x:c r="G521" s="120" t="n">
        <x:v>36000</x:v>
      </x:c>
      <x:c r="H521" s="112" t="str">
        <x:v>GIỮ NGUYÊN - ĐÃ KHỚP</x:v>
      </x:c>
      <x:c r="I521" s="112" t="n">
        <x:v>0</x:v>
      </x:c>
      <x:c r="J521" s="112" t="str">
        <x:v>g</x:v>
      </x:c>
      <x:c r="K521" s="112" t="str">
        <x:v>HỘP</x:v>
      </x:c>
      <x:c r="L521" s="112" t="n">
        <x:v>10000</x:v>
      </x:c>
      <x:c r="M521" s="112" t="str">
        <x:v>g</x:v>
      </x:c>
      <x:c r="N521" s="112" t="str">
        <x:v>THÙNG</x:v>
      </x:c>
      <x:c r="O521" s="112" t="n">
        <x:v>30</x:v>
      </x:c>
      <x:c r="P521" s="112" t="str">
        <x:v>0 g / HỘP</x:v>
      </x:c>
      <x:c r="Q521" s="112" t="str">
        <x:v>30 HỘP / THÙNG</x:v>
      </x:c>
      <x:c r="R521" s="112" t="n">
        <x:v>1162</x:v>
      </x:c>
      <x:c r="S521" s="113" t="n">
        <x:v>1163</x:v>
      </x:c>
    </x:row>
    <x:row r="522">
      <x:c r="A522" s="111" t="n">
        <x:v>522</x:v>
      </x:c>
      <x:c r="B522" s="112" t="str">
        <x:v>COZY HOÀ TAN ỔI</x:v>
      </x:c>
      <x:c r="C522" s="112" t="str">
        <x:v>COHTOI</x:v>
      </x:c>
      <x:c r="D522" s="112" t="str">
        <x:v>COHTOIT</x:v>
      </x:c>
      <x:c r="E522" s="120" t="n">
        <x:v>36000</x:v>
      </x:c>
      <x:c r="F522" s="120" t="n">
        <x:v>36000</x:v>
      </x:c>
      <x:c r="G522" s="120" t="n">
        <x:v>36000</x:v>
      </x:c>
      <x:c r="H522" s="112" t="str">
        <x:v>GIỮ NGUYÊN - ĐÃ KHỚP</x:v>
      </x:c>
      <x:c r="I522" s="112" t="n">
        <x:v>0</x:v>
      </x:c>
      <x:c r="J522" s="112" t="str">
        <x:v>g</x:v>
      </x:c>
      <x:c r="K522" s="112" t="str">
        <x:v>HỘP</x:v>
      </x:c>
      <x:c r="L522" s="112" t="n">
        <x:v>10000</x:v>
      </x:c>
      <x:c r="M522" s="112" t="str">
        <x:v>g</x:v>
      </x:c>
      <x:c r="N522" s="112" t="str">
        <x:v>THÙNG</x:v>
      </x:c>
      <x:c r="O522" s="112" t="n">
        <x:v>30</x:v>
      </x:c>
      <x:c r="P522" s="112" t="str">
        <x:v>0 g / HỘP</x:v>
      </x:c>
      <x:c r="Q522" s="112" t="str">
        <x:v>30 HỘP / THÙNG</x:v>
      </x:c>
      <x:c r="R522" s="112" t="n">
        <x:v>1164</x:v>
      </x:c>
      <x:c r="S522" s="113" t="n">
        <x:v>1165</x:v>
      </x:c>
    </x:row>
    <x:row r="523">
      <x:c r="A523" s="111" t="n">
        <x:v>523</x:v>
      </x:c>
      <x:c r="B523" s="112" t="str">
        <x:v>COZY HOÀ TAN ĐÀO</x:v>
      </x:c>
      <x:c r="C523" s="112" t="str">
        <x:v>COHTDO</x:v>
      </x:c>
      <x:c r="D523" s="112" t="str">
        <x:v>COHTDOT</x:v>
      </x:c>
      <x:c r="E523" s="120" t="n">
        <x:v>36000</x:v>
      </x:c>
      <x:c r="F523" s="120" t="n">
        <x:v>36000</x:v>
      </x:c>
      <x:c r="G523" s="120" t="n">
        <x:v>36000</x:v>
      </x:c>
      <x:c r="H523" s="112" t="str">
        <x:v>GIỮ NGUYÊN - ĐÃ KHỚP</x:v>
      </x:c>
      <x:c r="I523" s="112" t="n">
        <x:v>0</x:v>
      </x:c>
      <x:c r="J523" s="112" t="str">
        <x:v>g</x:v>
      </x:c>
      <x:c r="K523" s="112" t="str">
        <x:v>HỘP</x:v>
      </x:c>
      <x:c r="L523" s="112" t="n">
        <x:v>10000</x:v>
      </x:c>
      <x:c r="M523" s="112" t="str">
        <x:v>g</x:v>
      </x:c>
      <x:c r="N523" s="112" t="str">
        <x:v>THÙNG</x:v>
      </x:c>
      <x:c r="O523" s="112" t="n">
        <x:v>30</x:v>
      </x:c>
      <x:c r="P523" s="112" t="str">
        <x:v>0 g / HỘP</x:v>
      </x:c>
      <x:c r="Q523" s="112" t="str">
        <x:v>30 HỘP / THÙNG</x:v>
      </x:c>
      <x:c r="R523" s="112" t="n">
        <x:v>1166</x:v>
      </x:c>
      <x:c r="S523" s="113" t="n">
        <x:v>1167</x:v>
      </x:c>
    </x:row>
    <x:row r="524">
      <x:c r="A524" s="111" t="n">
        <x:v>524</x:v>
      </x:c>
      <x:c r="B524" s="112" t="str">
        <x:v>COZY HOÀ TAN DÂU</x:v>
      </x:c>
      <x:c r="C524" s="112" t="str">
        <x:v>COHTDA</x:v>
      </x:c>
      <x:c r="D524" s="112" t="str">
        <x:v>COHTDAT</x:v>
      </x:c>
      <x:c r="E524" s="120" t="n">
        <x:v>36000</x:v>
      </x:c>
      <x:c r="F524" s="120" t="n">
        <x:v>36000</x:v>
      </x:c>
      <x:c r="G524" s="120" t="n">
        <x:v>36000</x:v>
      </x:c>
      <x:c r="H524" s="112" t="str">
        <x:v>GIỮ NGUYÊN - ĐÃ KHỚP</x:v>
      </x:c>
      <x:c r="I524" s="112" t="n">
        <x:v>0</x:v>
      </x:c>
      <x:c r="J524" s="112" t="str">
        <x:v>g</x:v>
      </x:c>
      <x:c r="K524" s="112" t="str">
        <x:v>HỘP</x:v>
      </x:c>
      <x:c r="L524" s="112" t="n">
        <x:v>10000</x:v>
      </x:c>
      <x:c r="M524" s="112" t="str">
        <x:v>g</x:v>
      </x:c>
      <x:c r="N524" s="112" t="str">
        <x:v>THÙNG</x:v>
      </x:c>
      <x:c r="O524" s="112" t="n">
        <x:v>30</x:v>
      </x:c>
      <x:c r="P524" s="112" t="str">
        <x:v>0 g / HỘP</x:v>
      </x:c>
      <x:c r="Q524" s="112" t="str">
        <x:v>30 HỘP / THÙNG</x:v>
      </x:c>
      <x:c r="R524" s="112" t="n">
        <x:v>1168</x:v>
      </x:c>
      <x:c r="S524" s="113" t="n">
        <x:v>1169</x:v>
      </x:c>
    </x:row>
    <x:row r="525">
      <x:c r="A525" s="111" t="n">
        <x:v>525</x:v>
      </x:c>
      <x:c r="B525" s="112" t="str">
        <x:v>COZY HOÀ TAN CHANH</x:v>
      </x:c>
      <x:c r="C525" s="112" t="str">
        <x:v>COHTCH</x:v>
      </x:c>
      <x:c r="D525" s="112" t="str">
        <x:v>COHTCHT</x:v>
      </x:c>
      <x:c r="E525" s="120" t="n">
        <x:v>36000</x:v>
      </x:c>
      <x:c r="F525" s="120" t="n">
        <x:v>36000</x:v>
      </x:c>
      <x:c r="G525" s="120" t="n">
        <x:v>36000</x:v>
      </x:c>
      <x:c r="H525" s="112" t="str">
        <x:v>GIỮ NGUYÊN - ĐÃ KHỚP</x:v>
      </x:c>
      <x:c r="I525" s="112" t="n">
        <x:v>0</x:v>
      </x:c>
      <x:c r="J525" s="112" t="str">
        <x:v>g</x:v>
      </x:c>
      <x:c r="K525" s="112" t="str">
        <x:v>HỘP</x:v>
      </x:c>
      <x:c r="L525" s="112" t="n">
        <x:v>10000</x:v>
      </x:c>
      <x:c r="M525" s="112" t="str">
        <x:v>g</x:v>
      </x:c>
      <x:c r="N525" s="112" t="str">
        <x:v>THÙNG</x:v>
      </x:c>
      <x:c r="O525" s="112" t="n">
        <x:v>30</x:v>
      </x:c>
      <x:c r="P525" s="112" t="str">
        <x:v>0 g / HỘP</x:v>
      </x:c>
      <x:c r="Q525" s="112" t="str">
        <x:v>30 HỘP / THÙNG</x:v>
      </x:c>
      <x:c r="R525" s="112" t="n">
        <x:v>1170</x:v>
      </x:c>
      <x:c r="S525" s="113" t="n">
        <x:v>1171</x:v>
      </x:c>
    </x:row>
    <x:row r="526">
      <x:c r="A526" s="111" t="n">
        <x:v>526</x:v>
      </x:c>
      <x:c r="B526" s="112" t="str">
        <x:v>COZY HOÀ TAN CHANH DÂY</x:v>
      </x:c>
      <x:c r="C526" s="112" t="str">
        <x:v>COHTCD</x:v>
      </x:c>
      <x:c r="D526" s="112" t="str">
        <x:v>COHTCDT</x:v>
      </x:c>
      <x:c r="E526" s="120" t="n">
        <x:v>36000</x:v>
      </x:c>
      <x:c r="F526" s="120" t="n">
        <x:v>36000</x:v>
      </x:c>
      <x:c r="G526" s="120" t="n">
        <x:v>36000</x:v>
      </x:c>
      <x:c r="H526" s="112" t="str">
        <x:v>GIỮ NGUYÊN - ĐÃ KHỚP</x:v>
      </x:c>
      <x:c r="I526" s="112" t="n">
        <x:v>0</x:v>
      </x:c>
      <x:c r="J526" s="112" t="str">
        <x:v>g</x:v>
      </x:c>
      <x:c r="K526" s="112" t="str">
        <x:v>HỘP</x:v>
      </x:c>
      <x:c r="L526" s="112" t="n">
        <x:v>10000</x:v>
      </x:c>
      <x:c r="M526" s="112" t="str">
        <x:v>g</x:v>
      </x:c>
      <x:c r="N526" s="112" t="str">
        <x:v>THÙNG</x:v>
      </x:c>
      <x:c r="O526" s="112" t="n">
        <x:v>30</x:v>
      </x:c>
      <x:c r="P526" s="112" t="str">
        <x:v>0 g / HỘP</x:v>
      </x:c>
      <x:c r="Q526" s="112" t="str">
        <x:v>30 HỘP / THÙNG</x:v>
      </x:c>
      <x:c r="R526" s="112" t="n">
        <x:v>1172</x:v>
      </x:c>
      <x:c r="S526" s="113" t="n">
        <x:v>1173</x:v>
      </x:c>
    </x:row>
    <x:row r="527">
      <x:c r="A527" s="111" t="n">
        <x:v>527</x:v>
      </x:c>
      <x:c r="B527" s="112" t="str">
        <x:v>CARISA CHANH</x:v>
      </x:c>
      <x:c r="C527" s="112" t="str">
        <x:v>CRSCHA</x:v>
      </x:c>
      <x:c r="D527" s="112" t="str">
        <x:v>CRSCHAT</x:v>
      </x:c>
      <x:c r="E527" s="120" t="n">
        <x:v>30000</x:v>
      </x:c>
      <x:c r="F527" s="120" t="n">
        <x:v>0</x:v>
      </x:c>
      <x:c r="G527" s="120" t="n">
        <x:v>30000</x:v>
      </x:c>
      <x:c r="H527" s="112" t="str">
        <x:v>DS SP GIÁ 0 - GIỮ GIÁ CŨ</x:v>
      </x:c>
      <x:c r="I527" s="112" t="n">
        <x:v>0</x:v>
      </x:c>
      <x:c r="J527" s="112" t="str">
        <x:v>g</x:v>
      </x:c>
      <x:c r="K527" s="112" t="str">
        <x:v>CHAI</x:v>
      </x:c>
      <x:c r="L527" s="112" t="n">
        <x:v>0</x:v>
      </x:c>
      <x:c r="M527" s="112" t="str">
        <x:v>g</x:v>
      </x:c>
      <x:c r="N527" s="112" t="str">
        <x:v>THÙNG</x:v>
      </x:c>
      <x:c r="O527" s="112" t="n">
        <x:v>30</x:v>
      </x:c>
      <x:c r="P527" s="112" t="str">
        <x:v>0 g / CHAI</x:v>
      </x:c>
      <x:c r="Q527" s="112" t="str">
        <x:v>30 CHAI / THÙNG</x:v>
      </x:c>
      <x:c r="R527" s="112" t="n">
        <x:v>1174</x:v>
      </x:c>
      <x:c r="S527" s="113" t="n">
        <x:v>1175</x:v>
      </x:c>
    </x:row>
    <x:row r="528">
      <x:c r="A528" s="111" t="n">
        <x:v>528</x:v>
      </x:c>
      <x:c r="B528" s="112" t="str">
        <x:v>CARISA VIỆT QUỐC</x:v>
      </x:c>
      <x:c r="C528" s="112" t="str">
        <x:v>CRSVQU</x:v>
      </x:c>
      <x:c r="D528" s="112" t="str">
        <x:v>CRSVQUT</x:v>
      </x:c>
      <x:c r="E528" s="120" t="n">
        <x:v>30000</x:v>
      </x:c>
      <x:c r="F528" s="120" t="n">
        <x:v>30000</x:v>
      </x:c>
      <x:c r="G528" s="120" t="n">
        <x:v>30000</x:v>
      </x:c>
      <x:c r="H528" s="112" t="str">
        <x:v>GIỮ NGUYÊN - ĐÃ KHỚP</x:v>
      </x:c>
      <x:c r="I528" s="112" t="n">
        <x:v>0</x:v>
      </x:c>
      <x:c r="J528" s="112" t="str">
        <x:v>g</x:v>
      </x:c>
      <x:c r="K528" s="112" t="str">
        <x:v>CHAI</x:v>
      </x:c>
      <x:c r="L528" s="112" t="n">
        <x:v>0</x:v>
      </x:c>
      <x:c r="M528" s="112" t="str">
        <x:v>g</x:v>
      </x:c>
      <x:c r="N528" s="112" t="str">
        <x:v>THÙNG</x:v>
      </x:c>
      <x:c r="O528" s="112" t="n">
        <x:v>24</x:v>
      </x:c>
      <x:c r="P528" s="112" t="str">
        <x:v>0 g / CHAI</x:v>
      </x:c>
      <x:c r="Q528" s="112" t="str">
        <x:v>24 CHAI / THÙNG</x:v>
      </x:c>
      <x:c r="R528" s="112" t="n">
        <x:v>1176</x:v>
      </x:c>
      <x:c r="S528" s="113" t="n">
        <x:v>1177</x:v>
      </x:c>
    </x:row>
    <x:row r="529">
      <x:c r="A529" s="111" t="n">
        <x:v>529</x:v>
      </x:c>
      <x:c r="B529" s="112" t="str">
        <x:v>CARISA VẢI</x:v>
      </x:c>
      <x:c r="C529" s="112" t="str">
        <x:v>CRSVAI</x:v>
      </x:c>
      <x:c r="D529" s="112" t="str">
        <x:v>CRSVAIT</x:v>
      </x:c>
      <x:c r="E529" s="120" t="n">
        <x:v>30000</x:v>
      </x:c>
      <x:c r="F529" s="120" t="n">
        <x:v>30000</x:v>
      </x:c>
      <x:c r="G529" s="120" t="n">
        <x:v>30000</x:v>
      </x:c>
      <x:c r="H529" s="112" t="str">
        <x:v>GIỮ NGUYÊN - ĐÃ KHỚP</x:v>
      </x:c>
      <x:c r="I529" s="112" t="n">
        <x:v>0</x:v>
      </x:c>
      <x:c r="J529" s="112" t="str">
        <x:v>g</x:v>
      </x:c>
      <x:c r="K529" s="112" t="str">
        <x:v>CHAI</x:v>
      </x:c>
      <x:c r="L529" s="112" t="n">
        <x:v>0</x:v>
      </x:c>
      <x:c r="M529" s="112" t="str">
        <x:v>g</x:v>
      </x:c>
      <x:c r="N529" s="112" t="str">
        <x:v>THÙNG</x:v>
      </x:c>
      <x:c r="O529" s="112" t="n">
        <x:v>24</x:v>
      </x:c>
      <x:c r="P529" s="112" t="str">
        <x:v>0 g / CHAI</x:v>
      </x:c>
      <x:c r="Q529" s="112" t="str">
        <x:v>24 CHAI / THÙNG</x:v>
      </x:c>
      <x:c r="R529" s="112" t="n">
        <x:v>1178</x:v>
      </x:c>
      <x:c r="S529" s="113" t="n">
        <x:v>1179</x:v>
      </x:c>
    </x:row>
    <x:row r="530">
      <x:c r="A530" s="111" t="n">
        <x:v>530</x:v>
      </x:c>
      <x:c r="B530" s="112" t="str">
        <x:v>CARISA SÂM DỨA</x:v>
      </x:c>
      <x:c r="C530" s="112" t="str">
        <x:v>CRSSDU</x:v>
      </x:c>
      <x:c r="D530" s="112" t="str">
        <x:v>CRSSDUT</x:v>
      </x:c>
      <x:c r="E530" s="120" t="n">
        <x:v>30000</x:v>
      </x:c>
      <x:c r="F530" s="120" t="n">
        <x:v>30000</x:v>
      </x:c>
      <x:c r="G530" s="120" t="n">
        <x:v>30000</x:v>
      </x:c>
      <x:c r="H530" s="112" t="str">
        <x:v>GIỮ NGUYÊN - ĐÃ KHỚP</x:v>
      </x:c>
      <x:c r="I530" s="112" t="n">
        <x:v>0</x:v>
      </x:c>
      <x:c r="J530" s="112" t="str">
        <x:v>g</x:v>
      </x:c>
      <x:c r="K530" s="112" t="str">
        <x:v>CHAI</x:v>
      </x:c>
      <x:c r="L530" s="112" t="n">
        <x:v>0</x:v>
      </x:c>
      <x:c r="M530" s="112" t="str">
        <x:v>g</x:v>
      </x:c>
      <x:c r="N530" s="112" t="str">
        <x:v>THÙNG</x:v>
      </x:c>
      <x:c r="O530" s="112" t="n">
        <x:v>24</x:v>
      </x:c>
      <x:c r="P530" s="112" t="str">
        <x:v>0 g / CHAI</x:v>
      </x:c>
      <x:c r="Q530" s="112" t="str">
        <x:v>24 CHAI / THÙNG</x:v>
      </x:c>
      <x:c r="R530" s="112" t="n">
        <x:v>1180</x:v>
      </x:c>
      <x:c r="S530" s="113" t="n">
        <x:v>1181</x:v>
      </x:c>
    </x:row>
    <x:row r="531">
      <x:c r="A531" s="111" t="n">
        <x:v>531</x:v>
      </x:c>
      <x:c r="B531" s="112" t="str">
        <x:v>CARISA ỔI</x:v>
      </x:c>
      <x:c r="C531" s="112" t="str">
        <x:v>CRSOIH</x:v>
      </x:c>
      <x:c r="D531" s="112" t="str">
        <x:v>CRSOIHT</x:v>
      </x:c>
      <x:c r="E531" s="120" t="n">
        <x:v>30000</x:v>
      </x:c>
      <x:c r="F531" s="120" t="n">
        <x:v>30000</x:v>
      </x:c>
      <x:c r="G531" s="120" t="n">
        <x:v>30000</x:v>
      </x:c>
      <x:c r="H531" s="112" t="str">
        <x:v>GIỮ NGUYÊN - ĐÃ KHỚP</x:v>
      </x:c>
      <x:c r="I531" s="112" t="n">
        <x:v>0</x:v>
      </x:c>
      <x:c r="J531" s="112" t="str">
        <x:v>g</x:v>
      </x:c>
      <x:c r="K531" s="112" t="str">
        <x:v>CHAI</x:v>
      </x:c>
      <x:c r="L531" s="112" t="n">
        <x:v>0</x:v>
      </x:c>
      <x:c r="M531" s="112" t="str">
        <x:v>g</x:v>
      </x:c>
      <x:c r="N531" s="112" t="str">
        <x:v>THÙNG</x:v>
      </x:c>
      <x:c r="O531" s="112" t="n">
        <x:v>24</x:v>
      </x:c>
      <x:c r="P531" s="112" t="str">
        <x:v>0 g / CHAI</x:v>
      </x:c>
      <x:c r="Q531" s="112" t="str">
        <x:v>24 CHAI / THÙNG</x:v>
      </x:c>
      <x:c r="R531" s="112" t="n">
        <x:v>1182</x:v>
      </x:c>
      <x:c r="S531" s="113" t="n">
        <x:v>1183</x:v>
      </x:c>
    </x:row>
    <x:row r="532">
      <x:c r="A532" s="111" t="n">
        <x:v>532</x:v>
      </x:c>
      <x:c r="B532" s="112" t="str">
        <x:v>CARISA MÔN</x:v>
      </x:c>
      <x:c r="C532" s="112" t="str">
        <x:v>CRSMON</x:v>
      </x:c>
      <x:c r="D532" s="112" t="str">
        <x:v>CRSMONT</x:v>
      </x:c>
      <x:c r="E532" s="120" t="n">
        <x:v>30000</x:v>
      </x:c>
      <x:c r="F532" s="120" t="n">
        <x:v>30000</x:v>
      </x:c>
      <x:c r="G532" s="120" t="n">
        <x:v>30000</x:v>
      </x:c>
      <x:c r="H532" s="112" t="str">
        <x:v>GIỮ NGUYÊN - ĐÃ KHỚP</x:v>
      </x:c>
      <x:c r="I532" s="112" t="n">
        <x:v>0</x:v>
      </x:c>
      <x:c r="J532" s="112" t="str">
        <x:v>g</x:v>
      </x:c>
      <x:c r="K532" s="112" t="str">
        <x:v>CHAI</x:v>
      </x:c>
      <x:c r="L532" s="112" t="n">
        <x:v>0</x:v>
      </x:c>
      <x:c r="M532" s="112" t="str">
        <x:v>g</x:v>
      </x:c>
      <x:c r="N532" s="112" t="str">
        <x:v>THÙNG</x:v>
      </x:c>
      <x:c r="O532" s="112" t="n">
        <x:v>24</x:v>
      </x:c>
      <x:c r="P532" s="112" t="str">
        <x:v>0 g / CHAI</x:v>
      </x:c>
      <x:c r="Q532" s="112" t="str">
        <x:v>24 CHAI / THÙNG</x:v>
      </x:c>
      <x:c r="R532" s="112" t="n">
        <x:v>1184</x:v>
      </x:c>
      <x:c r="S532" s="113" t="n">
        <x:v>1185</x:v>
      </x:c>
    </x:row>
    <x:row r="533">
      <x:c r="A533" s="111" t="n">
        <x:v>533</x:v>
      </x:c>
      <x:c r="B533" s="112" t="str">
        <x:v>CARISA ME</x:v>
      </x:c>
      <x:c r="C533" s="112" t="str">
        <x:v>CRSMEE</x:v>
      </x:c>
      <x:c r="D533" s="112" t="str">
        <x:v>CRSMEET</x:v>
      </x:c>
      <x:c r="E533" s="120" t="n">
        <x:v>30000</x:v>
      </x:c>
      <x:c r="F533" s="120" t="n">
        <x:v>30000</x:v>
      </x:c>
      <x:c r="G533" s="120" t="n">
        <x:v>30000</x:v>
      </x:c>
      <x:c r="H533" s="112" t="str">
        <x:v>GIỮ NGUYÊN - ĐÃ KHỚP</x:v>
      </x:c>
      <x:c r="I533" s="112" t="n">
        <x:v>0</x:v>
      </x:c>
      <x:c r="J533" s="112" t="str">
        <x:v>g</x:v>
      </x:c>
      <x:c r="K533" s="112" t="str">
        <x:v>CHAI</x:v>
      </x:c>
      <x:c r="L533" s="112" t="n">
        <x:v>0</x:v>
      </x:c>
      <x:c r="M533" s="112" t="str">
        <x:v>g</x:v>
      </x:c>
      <x:c r="N533" s="112" t="str">
        <x:v>THÙNG</x:v>
      </x:c>
      <x:c r="O533" s="112" t="n">
        <x:v>24</x:v>
      </x:c>
      <x:c r="P533" s="112" t="str">
        <x:v>0 g / CHAI</x:v>
      </x:c>
      <x:c r="Q533" s="112" t="str">
        <x:v>24 CHAI / THÙNG</x:v>
      </x:c>
      <x:c r="R533" s="112" t="n">
        <x:v>1186</x:v>
      </x:c>
      <x:c r="S533" s="113" t="n">
        <x:v>1187</x:v>
      </x:c>
    </x:row>
    <x:row r="534">
      <x:c r="A534" s="111" t="n">
        <x:v>534</x:v>
      </x:c>
      <x:c r="B534" s="112" t="str">
        <x:v>CARISA ĐÀO</x:v>
      </x:c>
      <x:c r="C534" s="112" t="str">
        <x:v>CRSDAO</x:v>
      </x:c>
      <x:c r="D534" s="112" t="str">
        <x:v>CRSDAOT</x:v>
      </x:c>
      <x:c r="E534" s="120" t="n">
        <x:v>30000</x:v>
      </x:c>
      <x:c r="F534" s="120" t="n">
        <x:v>30000</x:v>
      </x:c>
      <x:c r="G534" s="120" t="n">
        <x:v>30000</x:v>
      </x:c>
      <x:c r="H534" s="112" t="str">
        <x:v>GIỮ NGUYÊN - ĐÃ KHỚP</x:v>
      </x:c>
      <x:c r="I534" s="112" t="n">
        <x:v>0</x:v>
      </x:c>
      <x:c r="J534" s="112" t="str">
        <x:v>g</x:v>
      </x:c>
      <x:c r="K534" s="112" t="str">
        <x:v>CHAI</x:v>
      </x:c>
      <x:c r="L534" s="112" t="n">
        <x:v>0</x:v>
      </x:c>
      <x:c r="M534" s="112" t="str">
        <x:v>g</x:v>
      </x:c>
      <x:c r="N534" s="112" t="str">
        <x:v>THÙNG</x:v>
      </x:c>
      <x:c r="O534" s="112" t="n">
        <x:v>24</x:v>
      </x:c>
      <x:c r="P534" s="112" t="str">
        <x:v>0 g / CHAI</x:v>
      </x:c>
      <x:c r="Q534" s="112" t="str">
        <x:v>24 CHAI / THÙNG</x:v>
      </x:c>
      <x:c r="R534" s="112" t="n">
        <x:v>1188</x:v>
      </x:c>
      <x:c r="S534" s="113" t="n">
        <x:v>1189</x:v>
      </x:c>
    </x:row>
    <x:row r="535">
      <x:c r="A535" s="111" t="n">
        <x:v>535</x:v>
      </x:c>
      <x:c r="B535" s="112" t="str">
        <x:v>CARISA DƯA LƯỚI</x:v>
      </x:c>
      <x:c r="C535" s="112" t="str">
        <x:v>CRSDLU</x:v>
      </x:c>
      <x:c r="D535" s="112" t="str">
        <x:v>CRSDLUT</x:v>
      </x:c>
      <x:c r="E535" s="120" t="n">
        <x:v>30000</x:v>
      </x:c>
      <x:c r="F535" s="120" t="n">
        <x:v>0</x:v>
      </x:c>
      <x:c r="G535" s="120" t="n">
        <x:v>30000</x:v>
      </x:c>
      <x:c r="H535" s="112" t="str">
        <x:v>DS SP GIÁ 0 - GIỮ GIÁ CŨ</x:v>
      </x:c>
      <x:c r="I535" s="112" t="n">
        <x:v>0</x:v>
      </x:c>
      <x:c r="J535" s="112" t="str">
        <x:v>g</x:v>
      </x:c>
      <x:c r="K535" s="112" t="str">
        <x:v>CHAI</x:v>
      </x:c>
      <x:c r="L535" s="112" t="n">
        <x:v>0</x:v>
      </x:c>
      <x:c r="M535" s="112" t="str">
        <x:v>g</x:v>
      </x:c>
      <x:c r="N535" s="112" t="str">
        <x:v>THÙNG</x:v>
      </x:c>
      <x:c r="O535" s="112" t="n">
        <x:v>24</x:v>
      </x:c>
      <x:c r="P535" s="112" t="str">
        <x:v>0 g / CHAI</x:v>
      </x:c>
      <x:c r="Q535" s="112" t="str">
        <x:v>24 CHAI / THÙNG</x:v>
      </x:c>
      <x:c r="R535" s="112" t="n">
        <x:v>1190</x:v>
      </x:c>
      <x:c r="S535" s="113" t="n">
        <x:v>1191</x:v>
      </x:c>
    </x:row>
    <x:row r="536">
      <x:c r="A536" s="111" t="n">
        <x:v>536</x:v>
      </x:c>
      <x:c r="B536" s="112" t="str">
        <x:v>CARISA DÂU</x:v>
      </x:c>
      <x:c r="C536" s="112" t="str">
        <x:v>CRSDAU</x:v>
      </x:c>
      <x:c r="D536" s="112" t="str">
        <x:v>CRSDAUT</x:v>
      </x:c>
      <x:c r="E536" s="120" t="n">
        <x:v>30000</x:v>
      </x:c>
      <x:c r="F536" s="120" t="n">
        <x:v>30000</x:v>
      </x:c>
      <x:c r="G536" s="120" t="n">
        <x:v>30000</x:v>
      </x:c>
      <x:c r="H536" s="112" t="str">
        <x:v>GIỮ NGUYÊN - ĐÃ KHỚP</x:v>
      </x:c>
      <x:c r="I536" s="112" t="n">
        <x:v>0</x:v>
      </x:c>
      <x:c r="J536" s="112" t="str">
        <x:v>g</x:v>
      </x:c>
      <x:c r="K536" s="112" t="str">
        <x:v>CHAI</x:v>
      </x:c>
      <x:c r="L536" s="112" t="n">
        <x:v>0</x:v>
      </x:c>
      <x:c r="M536" s="112" t="str">
        <x:v>g</x:v>
      </x:c>
      <x:c r="N536" s="112" t="str">
        <x:v>THÙNG</x:v>
      </x:c>
      <x:c r="O536" s="112" t="n">
        <x:v>24</x:v>
      </x:c>
      <x:c r="P536" s="112" t="str">
        <x:v>0 g / CHAI</x:v>
      </x:c>
      <x:c r="Q536" s="112" t="str">
        <x:v>24 CHAI / THÙNG</x:v>
      </x:c>
      <x:c r="R536" s="112" t="n">
        <x:v>1192</x:v>
      </x:c>
      <x:c r="S536" s="113" t="n">
        <x:v>1193</x:v>
      </x:c>
    </x:row>
    <x:row r="537">
      <x:c r="A537" s="111" t="n">
        <x:v>537</x:v>
      </x:c>
      <x:c r="B537" s="112" t="str">
        <x:v>CARISA CAM</x:v>
      </x:c>
      <x:c r="C537" s="112" t="str">
        <x:v>CRSCAM</x:v>
      </x:c>
      <x:c r="D537" s="112" t="str">
        <x:v>CRSCAMT</x:v>
      </x:c>
      <x:c r="E537" s="120" t="n">
        <x:v>30000</x:v>
      </x:c>
      <x:c r="F537" s="120" t="n">
        <x:v>0</x:v>
      </x:c>
      <x:c r="G537" s="120" t="n">
        <x:v>30000</x:v>
      </x:c>
      <x:c r="H537" s="112" t="str">
        <x:v>DS SP GIÁ 0 - GIỮ GIÁ CŨ</x:v>
      </x:c>
      <x:c r="I537" s="112" t="n">
        <x:v>0</x:v>
      </x:c>
      <x:c r="J537" s="112" t="str">
        <x:v>g</x:v>
      </x:c>
      <x:c r="K537" s="112" t="str">
        <x:v>CHAI</x:v>
      </x:c>
      <x:c r="L537" s="112" t="n">
        <x:v>0</x:v>
      </x:c>
      <x:c r="M537" s="112" t="str">
        <x:v>g</x:v>
      </x:c>
      <x:c r="N537" s="112" t="str">
        <x:v>THÙNG</x:v>
      </x:c>
      <x:c r="O537" s="112" t="n">
        <x:v>24</x:v>
      </x:c>
      <x:c r="P537" s="112" t="str">
        <x:v>0 g / CHAI</x:v>
      </x:c>
      <x:c r="Q537" s="112" t="str">
        <x:v>24 CHAI / THÙNG</x:v>
      </x:c>
      <x:c r="R537" s="112" t="n">
        <x:v>1194</x:v>
      </x:c>
      <x:c r="S537" s="113" t="n">
        <x:v>1195</x:v>
      </x:c>
    </x:row>
    <x:row r="538">
      <x:c r="A538" s="111" t="n">
        <x:v>538</x:v>
      </x:c>
      <x:c r="B538" s="112" t="str">
        <x:v>CACAO MALAI</x:v>
      </x:c>
      <x:c r="C538" s="112" t="str">
        <x:v>CCMALA</x:v>
      </x:c>
      <x:c r="D538" s="112" t="str">
        <x:v>CCMALAT</x:v>
      </x:c>
      <x:c r="E538" s="120"/>
      <x:c r="F538" s="120" t="n">
        <x:v>70000</x:v>
      </x:c>
      <x:c r="G538" s="120" t="n">
        <x:v>70000</x:v>
      </x:c>
      <x:c r="H538" s="112" t="str">
        <x:v>BỔ SUNG GIÁ</x:v>
      </x:c>
      <x:c r="I538" s="112" t="n">
        <x:v>500</x:v>
      </x:c>
      <x:c r="J538" s="112" t="str">
        <x:v>g</x:v>
      </x:c>
      <x:c r="K538" s="112" t="str">
        <x:v>BỊCH</x:v>
      </x:c>
      <x:c r="L538" s="112" t="n">
        <x:v>10000</x:v>
      </x:c>
      <x:c r="M538" s="112" t="str">
        <x:v>g</x:v>
      </x:c>
      <x:c r="N538" s="112" t="str">
        <x:v>THÙNG</x:v>
      </x:c>
      <x:c r="O538" s="112" t="n">
        <x:v>20</x:v>
      </x:c>
      <x:c r="P538" s="112" t="str">
        <x:v>500 g / BỊCH</x:v>
      </x:c>
      <x:c r="Q538" s="112" t="str">
        <x:v>20 BỊCH / THÙNG</x:v>
      </x:c>
      <x:c r="R538" s="112" t="n">
        <x:v>1196</x:v>
      </x:c>
      <x:c r="S538" s="113" t="n">
        <x:v>1197</x:v>
      </x:c>
    </x:row>
    <x:row r="539">
      <x:c r="A539" s="111" t="n">
        <x:v>539</x:v>
      </x:c>
      <x:c r="B539" s="112" t="str">
        <x:v>CACAO LUAVE</x:v>
      </x:c>
      <x:c r="C539" s="112" t="str">
        <x:v>CCLUAV</x:v>
      </x:c>
      <x:c r="D539" s="112" t="str">
        <x:v>CCLUAVT</x:v>
      </x:c>
      <x:c r="E539" s="120" t="n">
        <x:v>155000</x:v>
      </x:c>
      <x:c r="F539" s="120" t="n">
        <x:v>155000</x:v>
      </x:c>
      <x:c r="G539" s="120" t="n">
        <x:v>155000</x:v>
      </x:c>
      <x:c r="H539" s="112" t="str">
        <x:v>GIỮ NGUYÊN - ĐÃ KHỚP</x:v>
      </x:c>
      <x:c r="I539" s="112" t="n">
        <x:v>0</x:v>
      </x:c>
      <x:c r="J539" s="112" t="str">
        <x:v>g</x:v>
      </x:c>
      <x:c r="K539" s="112" t="str">
        <x:v>BỊCH</x:v>
      </x:c>
      <x:c r="L539" s="112" t="n">
        <x:v>11000</x:v>
      </x:c>
      <x:c r="M539" s="112" t="str">
        <x:v>g</x:v>
      </x:c>
      <x:c r="N539" s="112" t="str">
        <x:v>THÙNG</x:v>
      </x:c>
      <x:c r="O539" s="112" t="n">
        <x:v>20</x:v>
      </x:c>
      <x:c r="P539" s="112" t="str">
        <x:v>0 g / BỊCH</x:v>
      </x:c>
      <x:c r="Q539" s="112" t="str">
        <x:v>20 BỊCH / THÙNG</x:v>
      </x:c>
      <x:c r="R539" s="112" t="n">
        <x:v>1198</x:v>
      </x:c>
      <x:c r="S539" s="113" t="n">
        <x:v>1199</x:v>
      </x:c>
    </x:row>
    <x:row r="540">
      <x:c r="A540" s="111" t="n">
        <x:v>540</x:v>
      </x:c>
      <x:c r="B540" s="112" t="str">
        <x:v>CACAO DANS</x:v>
      </x:c>
      <x:c r="C540" s="112" t="str">
        <x:v>CCDANS</x:v>
      </x:c>
      <x:c r="D540" s="112" t="str">
        <x:v>CCDANST</x:v>
      </x:c>
      <x:c r="E540" s="120"/>
      <x:c r="F540" s="120" t="n">
        <x:v>145000</x:v>
      </x:c>
      <x:c r="G540" s="120" t="n">
        <x:v>145000</x:v>
      </x:c>
      <x:c r="H540" s="112" t="str">
        <x:v>BỔ SUNG GIÁ</x:v>
      </x:c>
      <x:c r="I540" s="112" t="n">
        <x:v>0</x:v>
      </x:c>
      <x:c r="J540" s="112" t="str">
        <x:v>g</x:v>
      </x:c>
      <x:c r="K540" s="112" t="str">
        <x:v>BỊCH</x:v>
      </x:c>
      <x:c r="L540" s="112" t="n">
        <x:v>0</x:v>
      </x:c>
      <x:c r="M540" s="112" t="str">
        <x:v>g</x:v>
      </x:c>
      <x:c r="N540" s="112" t="str">
        <x:v>THÙNG</x:v>
      </x:c>
      <x:c r="O540" s="112" t="n">
        <x:v>30</x:v>
      </x:c>
      <x:c r="P540" s="112" t="str">
        <x:v>0 g / BỊCH</x:v>
      </x:c>
      <x:c r="Q540" s="112" t="str">
        <x:v>30 BỊCH / THÙNG</x:v>
      </x:c>
      <x:c r="R540" s="112" t="n">
        <x:v>1200</x:v>
      </x:c>
      <x:c r="S540" s="113" t="n">
        <x:v>1201</x:v>
      </x:c>
    </x:row>
    <x:row r="541">
      <x:c r="A541" s="111" t="n">
        <x:v>541</x:v>
      </x:c>
      <x:c r="B541" s="112" t="str">
        <x:v>CÁ TRẮNG BECO</x:v>
      </x:c>
      <x:c r="C541" s="112" t="str">
        <x:v>CATRBE</x:v>
      </x:c>
      <x:c r="D541" s="112" t="str">
        <x:v>CATRBET</x:v>
      </x:c>
      <x:c r="E541" s="120" t="n">
        <x:v>60000</x:v>
      </x:c>
      <x:c r="F541" s="120" t="n">
        <x:v>60000</x:v>
      </x:c>
      <x:c r="G541" s="120" t="n">
        <x:v>60000</x:v>
      </x:c>
      <x:c r="H541" s="112" t="str">
        <x:v>GIỮ NGUYÊN - ĐÃ KHỚP</x:v>
      </x:c>
      <x:c r="I541" s="112" t="n">
        <x:v>1000</x:v>
      </x:c>
      <x:c r="J541" s="112" t="str">
        <x:v>g</x:v>
      </x:c>
      <x:c r="K541" s="112" t="str">
        <x:v>GÓI</x:v>
      </x:c>
      <x:c r="L541" s="112" t="n">
        <x:v>0</x:v>
      </x:c>
      <x:c r="M541" s="112" t="str">
        <x:v>g</x:v>
      </x:c>
      <x:c r="N541" s="112" t="str">
        <x:v>THÙNG</x:v>
      </x:c>
      <x:c r="O541" s="112" t="n">
        <x:v>14</x:v>
      </x:c>
      <x:c r="P541" s="112" t="str">
        <x:v>1000 g / GÓI</x:v>
      </x:c>
      <x:c r="Q541" s="112" t="str">
        <x:v>14 GÓI / THÙNG</x:v>
      </x:c>
      <x:c r="R541" s="112" t="n">
        <x:v>1203</x:v>
      </x:c>
      <x:c r="S541" s="113" t="n">
        <x:v>1204</x:v>
      </x:c>
    </x:row>
    <x:row r="542">
      <x:c r="A542" s="111" t="n">
        <x:v>542</x:v>
      </x:c>
      <x:c r="B542" s="112" t="str">
        <x:v>CÁ ỚT HẢI HƯNG</x:v>
      </x:c>
      <x:c r="C542" s="112" t="str">
        <x:v>CAOTHH</x:v>
      </x:c>
      <x:c r="D542" s="112" t="str">
        <x:v>CAOTHHT</x:v>
      </x:c>
      <x:c r="E542" s="120"/>
      <x:c r="F542" s="120" t="n">
        <x:v>31500</x:v>
      </x:c>
      <x:c r="G542" s="120" t="n">
        <x:v>31500</x:v>
      </x:c>
      <x:c r="H542" s="112" t="str">
        <x:v>BỔ SUNG GIÁ</x:v>
      </x:c>
      <x:c r="I542" s="112" t="n">
        <x:v>500</x:v>
      </x:c>
      <x:c r="J542" s="112" t="str">
        <x:v>g</x:v>
      </x:c>
      <x:c r="K542" s="112" t="str">
        <x:v>GÓI</x:v>
      </x:c>
      <x:c r="L542" s="112" t="n">
        <x:v>20000</x:v>
      </x:c>
      <x:c r="M542" s="112" t="str">
        <x:v>g</x:v>
      </x:c>
      <x:c r="N542" s="112" t="str">
        <x:v>THÙNG</x:v>
      </x:c>
      <x:c r="O542" s="112" t="n">
        <x:v>40</x:v>
      </x:c>
      <x:c r="P542" s="112" t="str">
        <x:v>500 g / GÓI</x:v>
      </x:c>
      <x:c r="Q542" s="112" t="str">
        <x:v>40 GÓI / THÙNG</x:v>
      </x:c>
      <x:c r="R542" s="112" t="n">
        <x:v>1205</x:v>
      </x:c>
      <x:c r="S542" s="113" t="n">
        <x:v>1206</x:v>
      </x:c>
    </x:row>
    <x:row r="543">
      <x:c r="A543" s="111" t="n">
        <x:v>543</x:v>
      </x:c>
      <x:c r="B543" s="112" t="str">
        <x:v>CÁ HẤP</x:v>
      </x:c>
      <x:c r="C543" s="112" t="str">
        <x:v>CAHAPP</x:v>
      </x:c>
      <x:c r="D543" s="112" t="str">
        <x:v>CAHAPPT</x:v>
      </x:c>
      <x:c r="E543" s="120"/>
      <x:c r="F543" s="120" t="n">
        <x:v>30000</x:v>
      </x:c>
      <x:c r="G543" s="120" t="n">
        <x:v>30000</x:v>
      </x:c>
      <x:c r="H543" s="112" t="str">
        <x:v>BỔ SUNG GIÁ</x:v>
      </x:c>
      <x:c r="I543" s="112" t="n">
        <x:v>500</x:v>
      </x:c>
      <x:c r="J543" s="112" t="str">
        <x:v>g</x:v>
      </x:c>
      <x:c r="K543" s="112" t="str">
        <x:v>GÓI</x:v>
      </x:c>
      <x:c r="L543" s="112" t="n">
        <x:v>0</x:v>
      </x:c>
      <x:c r="M543" s="112" t="str">
        <x:v>g</x:v>
      </x:c>
      <x:c r="N543" s="112" t="str">
        <x:v>THÙNG</x:v>
      </x:c>
      <x:c r="O543" s="112" t="n">
        <x:v>40</x:v>
      </x:c>
      <x:c r="P543" s="112" t="str">
        <x:v>500 g / GÓI</x:v>
      </x:c>
      <x:c r="Q543" s="112" t="str">
        <x:v>40 GÓI / THÙNG</x:v>
      </x:c>
      <x:c r="R543" s="112" t="n">
        <x:v>1207</x:v>
      </x:c>
      <x:c r="S543" s="113" t="n">
        <x:v>1208</x:v>
      </x:c>
    </x:row>
    <x:row r="544">
      <x:c r="A544" s="111" t="n">
        <x:v>544</x:v>
      </x:c>
      <x:c r="B544" s="112" t="str">
        <x:v>CÁ HÀNH TIÊU</x:v>
      </x:c>
      <x:c r="C544" s="112" t="str">
        <x:v>CATIEU</x:v>
      </x:c>
      <x:c r="D544" s="112" t="str">
        <x:v>CATIEUT</x:v>
      </x:c>
      <x:c r="E544" s="120" t="n">
        <x:v>60000</x:v>
      </x:c>
      <x:c r="F544" s="120" t="n">
        <x:v>60000</x:v>
      </x:c>
      <x:c r="G544" s="120" t="n">
        <x:v>60000</x:v>
      </x:c>
      <x:c r="H544" s="112" t="str">
        <x:v>GIỮ NGUYÊN - ĐÃ KHỚP</x:v>
      </x:c>
      <x:c r="I544" s="112" t="n">
        <x:v>1000</x:v>
      </x:c>
      <x:c r="J544" s="112" t="str">
        <x:v>g</x:v>
      </x:c>
      <x:c r="K544" s="112" t="str">
        <x:v>GÓI</x:v>
      </x:c>
      <x:c r="L544" s="112" t="n">
        <x:v>0</x:v>
      </x:c>
      <x:c r="M544" s="112" t="str">
        <x:v>g</x:v>
      </x:c>
      <x:c r="N544" s="112" t="str">
        <x:v>THÙNG</x:v>
      </x:c>
      <x:c r="O544" s="112" t="n">
        <x:v>20</x:v>
      </x:c>
      <x:c r="P544" s="112" t="str">
        <x:v>1000 g / GÓI</x:v>
      </x:c>
      <x:c r="Q544" s="112" t="str">
        <x:v>20 GÓI / THÙNG</x:v>
      </x:c>
      <x:c r="R544" s="112" t="n">
        <x:v>1209</x:v>
      </x:c>
      <x:c r="S544" s="113" t="n">
        <x:v>1210</x:v>
      </x:c>
    </x:row>
    <x:row r="545">
      <x:c r="A545" s="111" t="n">
        <x:v>545</x:v>
      </x:c>
      <x:c r="B545" s="112" t="str">
        <x:v>BỘT SOCOLA KING</x:v>
      </x:c>
      <x:c r="C545" s="112" t="str">
        <x:v>SOKING</x:v>
      </x:c>
      <x:c r="D545" s="112" t="str">
        <x:v>SOKINGT</x:v>
      </x:c>
      <x:c r="E545" s="120" t="n">
        <x:v>192000</x:v>
      </x:c>
      <x:c r="F545" s="120" t="n">
        <x:v>192000</x:v>
      </x:c>
      <x:c r="G545" s="120" t="n">
        <x:v>192000</x:v>
      </x:c>
      <x:c r="H545" s="112" t="str">
        <x:v>GIỮ NGUYÊN - ĐÃ KHỚP</x:v>
      </x:c>
      <x:c r="I545" s="112" t="n">
        <x:v>0</x:v>
      </x:c>
      <x:c r="J545" s="112" t="str">
        <x:v>g</x:v>
      </x:c>
      <x:c r="K545" s="112" t="str">
        <x:v>BỊCH</x:v>
      </x:c>
      <x:c r="L545" s="112" t="n">
        <x:v>21000</x:v>
      </x:c>
      <x:c r="M545" s="112" t="str">
        <x:v>g</x:v>
      </x:c>
      <x:c r="N545" s="112" t="str">
        <x:v>THÙNG</x:v>
      </x:c>
      <x:c r="O545" s="112" t="n">
        <x:v>20</x:v>
      </x:c>
      <x:c r="P545" s="112" t="str">
        <x:v>0 g / BỊCH</x:v>
      </x:c>
      <x:c r="Q545" s="112" t="str">
        <x:v>20 BỊCH / THÙNG</x:v>
      </x:c>
      <x:c r="R545" s="112" t="n">
        <x:v>1218</x:v>
      </x:c>
      <x:c r="S545" s="113" t="n">
        <x:v>1219</x:v>
      </x:c>
    </x:row>
    <x:row r="546">
      <x:c r="A546" s="111" t="n">
        <x:v>546</x:v>
      </x:c>
      <x:c r="B546" s="112" t="str">
        <x:v>BỘT SOCOLA GTP</x:v>
      </x:c>
      <x:c r="C546" s="112" t="str">
        <x:v>SCLGTP</x:v>
      </x:c>
      <x:c r="D546" s="112" t="str">
        <x:v>SCLGTPT</x:v>
      </x:c>
      <x:c r="E546" s="120" t="n">
        <x:v>185000</x:v>
      </x:c>
      <x:c r="F546" s="120" t="n">
        <x:v>185000</x:v>
      </x:c>
      <x:c r="G546" s="120" t="n">
        <x:v>185000</x:v>
      </x:c>
      <x:c r="H546" s="112" t="str">
        <x:v>GIỮ NGUYÊN - ĐÃ KHỚP</x:v>
      </x:c>
      <x:c r="I546" s="112" t="n">
        <x:v>1000</x:v>
      </x:c>
      <x:c r="J546" s="112" t="str">
        <x:v>g</x:v>
      </x:c>
      <x:c r="K546" s="112" t="str">
        <x:v>BỊCH</x:v>
      </x:c>
      <x:c r="L546" s="112" t="n">
        <x:v>21000</x:v>
      </x:c>
      <x:c r="M546" s="112" t="str">
        <x:v>g</x:v>
      </x:c>
      <x:c r="N546" s="112" t="str">
        <x:v>THÙNG</x:v>
      </x:c>
      <x:c r="O546" s="112" t="n">
        <x:v>20</x:v>
      </x:c>
      <x:c r="P546" s="112" t="str">
        <x:v>1000 g / BỊCH</x:v>
      </x:c>
      <x:c r="Q546" s="112" t="str">
        <x:v>20 BỊCH / THÙNG</x:v>
      </x:c>
      <x:c r="R546" s="112" t="n">
        <x:v>1220</x:v>
      </x:c>
      <x:c r="S546" s="113" t="n">
        <x:v>1221</x:v>
      </x:c>
    </x:row>
    <x:row r="547">
      <x:c r="A547" s="111" t="n">
        <x:v>547</x:v>
      </x:c>
      <x:c r="B547" s="112" t="str">
        <x:v>BỘT ỚT TO</x:v>
      </x:c>
      <x:c r="C547" s="112" t="str">
        <x:v>BOTOTT</x:v>
      </x:c>
      <x:c r="D547" s="112" t="str">
        <x:v>BOTOTTT</x:v>
      </x:c>
      <x:c r="E547" s="120" t="n">
        <x:v>130000</x:v>
      </x:c>
      <x:c r="F547" s="120" t="n">
        <x:v>130000</x:v>
      </x:c>
      <x:c r="G547" s="120" t="n">
        <x:v>130000</x:v>
      </x:c>
      <x:c r="H547" s="112" t="str">
        <x:v>GIỮ NGUYÊN - ĐÃ KHỚP</x:v>
      </x:c>
      <x:c r="I547" s="112" t="n">
        <x:v>0</x:v>
      </x:c>
      <x:c r="J547" s="112" t="str">
        <x:v>g</x:v>
      </x:c>
      <x:c r="K547" s="112" t="str">
        <x:v>BỊCH</x:v>
      </x:c>
      <x:c r="L547" s="112" t="n">
        <x:v>0</x:v>
      </x:c>
      <x:c r="M547" s="112" t="str">
        <x:v>g</x:v>
      </x:c>
      <x:c r="N547" s="112" t="str">
        <x:v>THÙNG</x:v>
      </x:c>
      <x:c r="O547" s="112" t="n">
        <x:v>10</x:v>
      </x:c>
      <x:c r="P547" s="112" t="str">
        <x:v>0 g / BỊCH</x:v>
      </x:c>
      <x:c r="Q547" s="112" t="str">
        <x:v>10 BỊCH / THÙNG</x:v>
      </x:c>
      <x:c r="R547" s="112" t="n">
        <x:v>1226</x:v>
      </x:c>
      <x:c r="S547" s="113" t="n">
        <x:v>1227</x:v>
      </x:c>
    </x:row>
    <x:row r="548">
      <x:c r="A548" s="111" t="n">
        <x:v>548</x:v>
      </x:c>
      <x:c r="B548" s="112" t="str">
        <x:v>BỘT ỚT NHUYỄN</x:v>
      </x:c>
      <x:c r="C548" s="112" t="str">
        <x:v>BOTOTN</x:v>
      </x:c>
      <x:c r="D548" s="112" t="str">
        <x:v>BOTOTNT</x:v>
      </x:c>
      <x:c r="E548" s="120" t="n">
        <x:v>130000</x:v>
      </x:c>
      <x:c r="F548" s="120" t="n">
        <x:v>130000</x:v>
      </x:c>
      <x:c r="G548" s="120" t="n">
        <x:v>130000</x:v>
      </x:c>
      <x:c r="H548" s="112" t="str">
        <x:v>GIỮ NGUYÊN - ĐÃ KHỚP</x:v>
      </x:c>
      <x:c r="I548" s="112" t="n">
        <x:v>0</x:v>
      </x:c>
      <x:c r="J548" s="112" t="str">
        <x:v>g</x:v>
      </x:c>
      <x:c r="K548" s="112" t="str">
        <x:v>BỊCH</x:v>
      </x:c>
      <x:c r="L548" s="112" t="n">
        <x:v>0</x:v>
      </x:c>
      <x:c r="M548" s="112" t="str">
        <x:v>g</x:v>
      </x:c>
      <x:c r="N548" s="112" t="str">
        <x:v>THÙNG</x:v>
      </x:c>
      <x:c r="O548" s="112" t="n">
        <x:v>10</x:v>
      </x:c>
      <x:c r="P548" s="112" t="str">
        <x:v>0 g / BỊCH</x:v>
      </x:c>
      <x:c r="Q548" s="112" t="str">
        <x:v>10 BỊCH / THÙNG</x:v>
      </x:c>
      <x:c r="R548" s="112" t="n">
        <x:v>1228</x:v>
      </x:c>
      <x:c r="S548" s="113" t="n">
        <x:v>1229</x:v>
      </x:c>
    </x:row>
    <x:row r="549">
      <x:c r="A549" s="111" t="n">
        <x:v>549</x:v>
      </x:c>
      <x:c r="B549" s="112" t="str">
        <x:v>BỘT MUỐI BIỂN ERODELI</x:v>
      </x:c>
      <x:c r="C549" s="112" t="str">
        <x:v>MUOIBE</x:v>
      </x:c>
      <x:c r="D549" s="112" t="str">
        <x:v>MUOIBET</x:v>
      </x:c>
      <x:c r="E549" s="120"/>
      <x:c r="F549" s="120" t="n">
        <x:v>275000</x:v>
      </x:c>
      <x:c r="G549" s="120" t="n">
        <x:v>275000</x:v>
      </x:c>
      <x:c r="H549" s="112" t="str">
        <x:v>BỔ SUNG GIÁ</x:v>
      </x:c>
      <x:c r="I549" s="112" t="n">
        <x:v>0</x:v>
      </x:c>
      <x:c r="J549" s="112" t="str">
        <x:v>g</x:v>
      </x:c>
      <x:c r="K549" s="112" t="str">
        <x:v>BỊCH</x:v>
      </x:c>
      <x:c r="L549" s="112" t="n">
        <x:v>0</x:v>
      </x:c>
      <x:c r="M549" s="112" t="str">
        <x:v>g</x:v>
      </x:c>
      <x:c r="N549" s="112" t="str">
        <x:v>THÙNG</x:v>
      </x:c>
      <x:c r="O549" s="112" t="n">
        <x:v>25</x:v>
      </x:c>
      <x:c r="P549" s="112" t="str">
        <x:v>0 g / BỊCH</x:v>
      </x:c>
      <x:c r="Q549" s="112" t="str">
        <x:v>25 BỊCH / THÙNG</x:v>
      </x:c>
      <x:c r="R549" s="112" t="n">
        <x:v>1230</x:v>
      </x:c>
      <x:c r="S549" s="113" t="n">
        <x:v>1231</x:v>
      </x:c>
    </x:row>
    <x:row r="550">
      <x:c r="A550" s="111" t="n">
        <x:v>550</x:v>
      </x:c>
      <x:c r="B550" s="112" t="str">
        <x:v>BỘT MÔN MOTA</x:v>
      </x:c>
      <x:c r="C550" s="112" t="str">
        <x:v>MONMOT</x:v>
      </x:c>
      <x:c r="D550" s="112" t="str">
        <x:v>MONMOTT</x:v>
      </x:c>
      <x:c r="E550" s="120"/>
      <x:c r="F550" s="120" t="n">
        <x:v>145000</x:v>
      </x:c>
      <x:c r="G550" s="120" t="n">
        <x:v>145000</x:v>
      </x:c>
      <x:c r="H550" s="112" t="str">
        <x:v>BỔ SUNG GIÁ</x:v>
      </x:c>
      <x:c r="I550" s="112" t="n">
        <x:v>0</x:v>
      </x:c>
      <x:c r="J550" s="112" t="str">
        <x:v>g</x:v>
      </x:c>
      <x:c r="K550" s="112" t="str">
        <x:v>BỊCH</x:v>
      </x:c>
      <x:c r="L550" s="112" t="n">
        <x:v>0</x:v>
      </x:c>
      <x:c r="M550" s="112" t="str">
        <x:v>g</x:v>
      </x:c>
      <x:c r="N550" s="112" t="str">
        <x:v>THÙNG</x:v>
      </x:c>
      <x:c r="O550" s="112" t="n">
        <x:v>20</x:v>
      </x:c>
      <x:c r="P550" s="112" t="str">
        <x:v>0 g / BỊCH</x:v>
      </x:c>
      <x:c r="Q550" s="112" t="str">
        <x:v>20 BỊCH / THÙNG</x:v>
      </x:c>
      <x:c r="R550" s="112" t="n">
        <x:v>1232</x:v>
      </x:c>
      <x:c r="S550" s="113" t="n">
        <x:v>1233</x:v>
      </x:c>
    </x:row>
    <x:row r="551">
      <x:c r="A551" s="111" t="n">
        <x:v>551</x:v>
      </x:c>
      <x:c r="B551" s="112" t="str">
        <x:v>BỘT MÔN KING</x:v>
      </x:c>
      <x:c r="C551" s="112" t="str">
        <x:v>MONKIG</x:v>
      </x:c>
      <x:c r="D551" s="112" t="str">
        <x:v>MONKIGT</x:v>
      </x:c>
      <x:c r="E551" s="120" t="n">
        <x:v>152000</x:v>
      </x:c>
      <x:c r="F551" s="120" t="n">
        <x:v>152000</x:v>
      </x:c>
      <x:c r="G551" s="120" t="n">
        <x:v>152000</x:v>
      </x:c>
      <x:c r="H551" s="112" t="str">
        <x:v>GIỮ NGUYÊN - ĐÃ KHỚP</x:v>
      </x:c>
      <x:c r="I551" s="112" t="n">
        <x:v>1000</x:v>
      </x:c>
      <x:c r="J551" s="112" t="str">
        <x:v>g</x:v>
      </x:c>
      <x:c r="K551" s="112" t="str">
        <x:v>BỊCH</x:v>
      </x:c>
      <x:c r="L551" s="112" t="n">
        <x:v>21000</x:v>
      </x:c>
      <x:c r="M551" s="112" t="str">
        <x:v>g</x:v>
      </x:c>
      <x:c r="N551" s="112" t="str">
        <x:v>THÙNG</x:v>
      </x:c>
      <x:c r="O551" s="112" t="n">
        <x:v>20</x:v>
      </x:c>
      <x:c r="P551" s="112" t="str">
        <x:v>1000 g / BỊCH</x:v>
      </x:c>
      <x:c r="Q551" s="112" t="str">
        <x:v>20 BỊCH / THÙNG</x:v>
      </x:c>
      <x:c r="R551" s="112" t="n">
        <x:v>1234</x:v>
      </x:c>
      <x:c r="S551" s="113" t="n">
        <x:v>1235</x:v>
      </x:c>
    </x:row>
    <x:row r="552">
      <x:c r="A552" s="111" t="n">
        <x:v>552</x:v>
      </x:c>
      <x:c r="B552" s="112" t="str">
        <x:v>BỘT MÔN GTP</x:v>
      </x:c>
      <x:c r="C552" s="112" t="str">
        <x:v>MONGTP</x:v>
      </x:c>
      <x:c r="D552" s="112" t="str">
        <x:v>MONGTPT</x:v>
      </x:c>
      <x:c r="E552" s="120" t="n">
        <x:v>174000</x:v>
      </x:c>
      <x:c r="F552" s="120" t="n">
        <x:v>174000</x:v>
      </x:c>
      <x:c r="G552" s="120" t="n">
        <x:v>174000</x:v>
      </x:c>
      <x:c r="H552" s="112" t="str">
        <x:v>GIỮ NGUYÊN - ĐÃ KHỚP</x:v>
      </x:c>
      <x:c r="I552" s="112" t="n">
        <x:v>1000</x:v>
      </x:c>
      <x:c r="J552" s="112" t="str">
        <x:v>g</x:v>
      </x:c>
      <x:c r="K552" s="112" t="str">
        <x:v>BỊCH</x:v>
      </x:c>
      <x:c r="L552" s="112" t="n">
        <x:v>21000</x:v>
      </x:c>
      <x:c r="M552" s="112" t="str">
        <x:v>g</x:v>
      </x:c>
      <x:c r="N552" s="112" t="str">
        <x:v>THÙNG</x:v>
      </x:c>
      <x:c r="O552" s="112" t="n">
        <x:v>20</x:v>
      </x:c>
      <x:c r="P552" s="112" t="str">
        <x:v>1000 g / BỊCH</x:v>
      </x:c>
      <x:c r="Q552" s="112" t="str">
        <x:v>20 BỊCH / THÙNG</x:v>
      </x:c>
      <x:c r="R552" s="112" t="n">
        <x:v>1236</x:v>
      </x:c>
      <x:c r="S552" s="113" t="n">
        <x:v>1237</x:v>
      </x:c>
    </x:row>
    <x:row r="553">
      <x:c r="A553" s="111" t="n">
        <x:v>553</x:v>
      </x:c>
      <x:c r="B553" s="112" t="str">
        <x:v>BỘT MÔN BKB</x:v>
      </x:c>
      <x:c r="C553" s="112" t="str">
        <x:v>MONBKB</x:v>
      </x:c>
      <x:c r="D553" s="112" t="str">
        <x:v>MONBKBT</x:v>
      </x:c>
      <x:c r="E553" s="120"/>
      <x:c r="F553" s="120" t="n">
        <x:v>100000</x:v>
      </x:c>
      <x:c r="G553" s="120" t="n">
        <x:v>100000</x:v>
      </x:c>
      <x:c r="H553" s="112" t="str">
        <x:v>BỔ SUNG GIÁ</x:v>
      </x:c>
      <x:c r="I553" s="112" t="n">
        <x:v>0</x:v>
      </x:c>
      <x:c r="J553" s="112" t="str">
        <x:v>g</x:v>
      </x:c>
      <x:c r="K553" s="112" t="str">
        <x:v>BỊCH</x:v>
      </x:c>
      <x:c r="L553" s="112" t="n">
        <x:v>0</x:v>
      </x:c>
      <x:c r="M553" s="112" t="str">
        <x:v>g</x:v>
      </x:c>
      <x:c r="N553" s="112" t="str">
        <x:v>THÙNG</x:v>
      </x:c>
      <x:c r="O553" s="112" t="n">
        <x:v>10</x:v>
      </x:c>
      <x:c r="P553" s="112" t="str">
        <x:v>0 g / BỊCH</x:v>
      </x:c>
      <x:c r="Q553" s="112" t="str">
        <x:v>10 BỊCH / THÙNG</x:v>
      </x:c>
      <x:c r="R553" s="112" t="n">
        <x:v>1239</x:v>
      </x:c>
      <x:c r="S553" s="113" t="n">
        <x:v>1240</x:v>
      </x:c>
    </x:row>
    <x:row r="554">
      <x:c r="A554" s="111" t="n">
        <x:v>554</x:v>
      </x:c>
      <x:c r="B554" s="112" t="str">
        <x:v>BỘT MILO</x:v>
      </x:c>
      <x:c r="C554" s="112" t="str">
        <x:v>BOMILO</x:v>
      </x:c>
      <x:c r="D554" s="112" t="str">
        <x:v>BOMILOT</x:v>
      </x:c>
      <x:c r="E554" s="120" t="n">
        <x:v>170000</x:v>
      </x:c>
      <x:c r="F554" s="120" t="n">
        <x:v>167000</x:v>
      </x:c>
      <x:c r="G554" s="120" t="n">
        <x:v>167000</x:v>
      </x:c>
      <x:c r="H554" s="112" t="str">
        <x:v>CẬP NHẬT GIÁ</x:v>
      </x:c>
      <x:c r="I554" s="112" t="n">
        <x:v>1000</x:v>
      </x:c>
      <x:c r="J554" s="112" t="str">
        <x:v>g</x:v>
      </x:c>
      <x:c r="K554" s="112" t="str">
        <x:v>BỊCH</x:v>
      </x:c>
      <x:c r="L554" s="112" t="n">
        <x:v>0</x:v>
      </x:c>
      <x:c r="M554" s="112" t="str">
        <x:v>g</x:v>
      </x:c>
      <x:c r="N554" s="112" t="str">
        <x:v>THÙNG</x:v>
      </x:c>
      <x:c r="O554" s="112" t="n">
        <x:v>10</x:v>
      </x:c>
      <x:c r="P554" s="112" t="str">
        <x:v>1000 g / BỊCH</x:v>
      </x:c>
      <x:c r="Q554" s="112" t="str">
        <x:v>10 BỊCH / THÙNG</x:v>
      </x:c>
      <x:c r="R554" s="112" t="n">
        <x:v>1242</x:v>
      </x:c>
      <x:c r="S554" s="113" t="n">
        <x:v>1243</x:v>
      </x:c>
    </x:row>
    <x:row r="555">
      <x:c r="A555" s="111" t="n">
        <x:v>555</x:v>
      </x:c>
      <x:c r="B555" s="112" t="str">
        <x:v>BỘT MILKFOAM LUAVE</x:v>
      </x:c>
      <x:c r="C555" s="112" t="str">
        <x:v>BMFLUA</x:v>
      </x:c>
      <x:c r="D555" s="112" t="str">
        <x:v>BMFLUAT</x:v>
      </x:c>
      <x:c r="E555" s="120" t="n">
        <x:v>128000</x:v>
      </x:c>
      <x:c r="F555" s="120" t="n">
        <x:v>128000</x:v>
      </x:c>
      <x:c r="G555" s="120" t="n">
        <x:v>128000</x:v>
      </x:c>
      <x:c r="H555" s="112" t="str">
        <x:v>GIỮ NGUYÊN - ĐÃ KHỚP</x:v>
      </x:c>
      <x:c r="I555" s="112" t="n">
        <x:v>550</x:v>
      </x:c>
      <x:c r="J555" s="112" t="str">
        <x:v>g</x:v>
      </x:c>
      <x:c r="K555" s="112" t="str">
        <x:v>BỊCH</x:v>
      </x:c>
      <x:c r="L555" s="112" t="n">
        <x:v>11000</x:v>
      </x:c>
      <x:c r="M555" s="112" t="str">
        <x:v>g</x:v>
      </x:c>
      <x:c r="N555" s="112" t="str">
        <x:v>THÙNG</x:v>
      </x:c>
      <x:c r="O555" s="112" t="n">
        <x:v>20</x:v>
      </x:c>
      <x:c r="P555" s="112" t="str">
        <x:v>550 g / BỊCH</x:v>
      </x:c>
      <x:c r="Q555" s="112" t="str">
        <x:v>20 BỊCH / THÙNG</x:v>
      </x:c>
      <x:c r="R555" s="112" t="n">
        <x:v>1244</x:v>
      </x:c>
      <x:c r="S555" s="113" t="n">
        <x:v>1245</x:v>
      </x:c>
    </x:row>
    <x:row r="556">
      <x:c r="A556" s="111" t="n">
        <x:v>556</x:v>
      </x:c>
      <x:c r="B556" s="112" t="str">
        <x:v>BỘT MATCHA SEOUL</x:v>
      </x:c>
      <x:c r="C556" s="112" t="str">
        <x:v>MCHASE</x:v>
      </x:c>
      <x:c r="D556" s="112" t="str">
        <x:v>MCHASET</x:v>
      </x:c>
      <x:c r="E556" s="120" t="n">
        <x:v>129000</x:v>
      </x:c>
      <x:c r="F556" s="120" t="n">
        <x:v>129000</x:v>
      </x:c>
      <x:c r="G556" s="120" t="n">
        <x:v>129000</x:v>
      </x:c>
      <x:c r="H556" s="112" t="str">
        <x:v>GIỮ NGUYÊN - ĐÃ KHỚP</x:v>
      </x:c>
      <x:c r="I556" s="112" t="n">
        <x:v>0</x:v>
      </x:c>
      <x:c r="J556" s="112" t="str">
        <x:v>g</x:v>
      </x:c>
      <x:c r="K556" s="112" t="str">
        <x:v>BỊCH</x:v>
      </x:c>
      <x:c r="L556" s="112" t="n">
        <x:v>0</x:v>
      </x:c>
      <x:c r="M556" s="112" t="str">
        <x:v>g</x:v>
      </x:c>
      <x:c r="N556" s="112" t="str">
        <x:v>THÙNG</x:v>
      </x:c>
      <x:c r="O556" s="112" t="n">
        <x:v>40</x:v>
      </x:c>
      <x:c r="P556" s="112" t="str">
        <x:v>0 g / BỊCH</x:v>
      </x:c>
      <x:c r="Q556" s="112" t="str">
        <x:v>40 BỊCH / THÙNG</x:v>
      </x:c>
      <x:c r="R556" s="112" t="n">
        <x:v>1246</x:v>
      </x:c>
      <x:c r="S556" s="113" t="n">
        <x:v>1247</x:v>
      </x:c>
    </x:row>
    <x:row r="557">
      <x:c r="A557" s="111" t="n">
        <x:v>557</x:v>
      </x:c>
      <x:c r="B557" s="112" t="str">
        <x:v>BỘT MATCHA ĐÀI LOAN</x:v>
      </x:c>
      <x:c r="C557" s="112" t="str">
        <x:v>MCHADL</x:v>
      </x:c>
      <x:c r="D557" s="112" t="str">
        <x:v>MCHADLT</x:v>
      </x:c>
      <x:c r="E557" s="120" t="n">
        <x:v>360000</x:v>
      </x:c>
      <x:c r="F557" s="120" t="n">
        <x:v>360000</x:v>
      </x:c>
      <x:c r="G557" s="120" t="n">
        <x:v>360000</x:v>
      </x:c>
      <x:c r="H557" s="112" t="str">
        <x:v>GIỮ NGUYÊN - ĐÃ KHỚP</x:v>
      </x:c>
      <x:c r="I557" s="112" t="n">
        <x:v>0</x:v>
      </x:c>
      <x:c r="J557" s="112" t="str">
        <x:v>g</x:v>
      </x:c>
      <x:c r="K557" s="112" t="str">
        <x:v>BỊCH 500G</x:v>
      </x:c>
      <x:c r="L557" s="112" t="n">
        <x:v>5000</x:v>
      </x:c>
      <x:c r="M557" s="112" t="str">
        <x:v>g</x:v>
      </x:c>
      <x:c r="N557" s="112" t="str">
        <x:v>THÙNG</x:v>
      </x:c>
      <x:c r="O557" s="112" t="n">
        <x:v>10</x:v>
      </x:c>
      <x:c r="P557" s="112" t="str">
        <x:v>0 g / BỊCH 500G</x:v>
      </x:c>
      <x:c r="Q557" s="112" t="str">
        <x:v>10 BỊCH 500G / THÙNG</x:v>
      </x:c>
      <x:c r="R557" s="112" t="n">
        <x:v>1249</x:v>
      </x:c>
      <x:c r="S557" s="113" t="n">
        <x:v>1250</x:v>
      </x:c>
    </x:row>
    <x:row r="558">
      <x:c r="A558" s="111" t="n">
        <x:v>558</x:v>
      </x:c>
      <x:c r="B558" s="112" t="str">
        <x:v>COZY BỘT MATCHA</x:v>
      </x:c>
      <x:c r="C558" s="112" t="str">
        <x:v>COZMAT</x:v>
      </x:c>
      <x:c r="D558" s="112" t="str">
        <x:v>COZMATT</x:v>
      </x:c>
      <x:c r="E558" s="120"/>
      <x:c r="F558" s="120" t="n">
        <x:v>143000</x:v>
      </x:c>
      <x:c r="G558" s="120" t="n">
        <x:v>143000</x:v>
      </x:c>
      <x:c r="H558" s="112" t="str">
        <x:v>BỔ SUNG GIÁ</x:v>
      </x:c>
      <x:c r="I558" s="112" t="n">
        <x:v>0</x:v>
      </x:c>
      <x:c r="J558" s="112" t="str">
        <x:v>g</x:v>
      </x:c>
      <x:c r="K558" s="112" t="str">
        <x:v>BỊCH</x:v>
      </x:c>
      <x:c r="L558" s="112" t="n">
        <x:v>0</x:v>
      </x:c>
      <x:c r="M558" s="112" t="str">
        <x:v>g</x:v>
      </x:c>
      <x:c r="N558" s="112" t="str">
        <x:v>THÙNG</x:v>
      </x:c>
      <x:c r="O558" s="112" t="n">
        <x:v>30</x:v>
      </x:c>
      <x:c r="P558" s="112" t="str">
        <x:v>0 g / BỊCH</x:v>
      </x:c>
      <x:c r="Q558" s="112" t="str">
        <x:v>30 BỊCH / THÙNG</x:v>
      </x:c>
      <x:c r="R558" s="112" t="n">
        <x:v>1251</x:v>
      </x:c>
      <x:c r="S558" s="113" t="n">
        <x:v>1252</x:v>
      </x:c>
    </x:row>
    <x:row r="559">
      <x:c r="A559" s="111" t="n">
        <x:v>559</x:v>
      </x:c>
      <x:c r="B559" s="112" t="str">
        <x:v>BỘT KEM TRỨNG</x:v>
      </x:c>
      <x:c r="C559" s="112" t="str">
        <x:v>BKEMTR</x:v>
      </x:c>
      <x:c r="D559" s="112" t="str">
        <x:v>BKEMTRT</x:v>
      </x:c>
      <x:c r="E559" s="120"/>
      <x:c r="F559" s="120" t="n">
        <x:v>155000</x:v>
      </x:c>
      <x:c r="G559" s="120" t="n">
        <x:v>155000</x:v>
      </x:c>
      <x:c r="H559" s="112" t="str">
        <x:v>BỔ SUNG GIÁ</x:v>
      </x:c>
      <x:c r="I559" s="112" t="n">
        <x:v>0</x:v>
      </x:c>
      <x:c r="J559" s="112" t="str">
        <x:v>g</x:v>
      </x:c>
      <x:c r="K559" s="112" t="str">
        <x:v>BỊCH</x:v>
      </x:c>
      <x:c r="L559" s="112" t="n">
        <x:v>0</x:v>
      </x:c>
      <x:c r="M559" s="112" t="str">
        <x:v>g</x:v>
      </x:c>
      <x:c r="N559" s="112" t="str">
        <x:v>THÙNG</x:v>
      </x:c>
      <x:c r="O559" s="112" t="n">
        <x:v>25</x:v>
      </x:c>
      <x:c r="P559" s="112" t="str">
        <x:v>0 g / BỊCH</x:v>
      </x:c>
      <x:c r="Q559" s="112" t="str">
        <x:v>25 BỊCH / THÙNG</x:v>
      </x:c>
      <x:c r="R559" s="112" t="n">
        <x:v>1253</x:v>
      </x:c>
      <x:c r="S559" s="113" t="n">
        <x:v>1254</x:v>
      </x:c>
    </x:row>
    <x:row r="560">
      <x:c r="A560" s="111" t="n">
        <x:v>560</x:v>
      </x:c>
      <x:c r="B560" s="112" t="str">
        <x:v>BỘT FRAP LUAVE</x:v>
      </x:c>
      <x:c r="C560" s="112" t="str">
        <x:v>BFRLUA</x:v>
      </x:c>
      <x:c r="D560" s="112" t="str">
        <x:v>BFRLUAT</x:v>
      </x:c>
      <x:c r="E560" s="120" t="n">
        <x:v>138000</x:v>
      </x:c>
      <x:c r="F560" s="120" t="n">
        <x:v>138000</x:v>
      </x:c>
      <x:c r="G560" s="120" t="n">
        <x:v>138000</x:v>
      </x:c>
      <x:c r="H560" s="112" t="str">
        <x:v>GIỮ NGUYÊN - ĐÃ KHỚP</x:v>
      </x:c>
      <x:c r="I560" s="112" t="n">
        <x:v>0</x:v>
      </x:c>
      <x:c r="J560" s="112" t="str">
        <x:v>g</x:v>
      </x:c>
      <x:c r="K560" s="112" t="str">
        <x:v>GÓI</x:v>
      </x:c>
      <x:c r="L560" s="112" t="n">
        <x:v>11</x:v>
      </x:c>
      <x:c r="M560" s="112" t="str">
        <x:v>kg</x:v>
      </x:c>
      <x:c r="N560" s="112" t="str">
        <x:v>THÙNG</x:v>
      </x:c>
      <x:c r="O560" s="112" t="n">
        <x:v>10</x:v>
      </x:c>
      <x:c r="P560" s="112" t="str">
        <x:v>0 g / GÓI</x:v>
      </x:c>
      <x:c r="Q560" s="112" t="str">
        <x:v>10 GÓI / THÙNG</x:v>
      </x:c>
      <x:c r="R560" s="112" t="n">
        <x:v>1258</x:v>
      </x:c>
      <x:c r="S560" s="113" t="n">
        <x:v>1259</x:v>
      </x:c>
    </x:row>
    <x:row r="561">
      <x:c r="A561" s="111" t="n">
        <x:v>561</x:v>
      </x:c>
      <x:c r="B561" s="112" t="str">
        <x:v>BỘT DÂU BKB</x:v>
      </x:c>
      <x:c r="C561" s="112" t="str">
        <x:v>DAUBKB</x:v>
      </x:c>
      <x:c r="D561" s="112" t="str">
        <x:v>DAUBKBT</x:v>
      </x:c>
      <x:c r="E561" s="120"/>
      <x:c r="F561" s="120" t="n">
        <x:v>100000</x:v>
      </x:c>
      <x:c r="G561" s="120" t="n">
        <x:v>100000</x:v>
      </x:c>
      <x:c r="H561" s="112" t="str">
        <x:v>BỔ SUNG GIÁ</x:v>
      </x:c>
      <x:c r="I561" s="112" t="n">
        <x:v>0</x:v>
      </x:c>
      <x:c r="J561" s="112" t="str">
        <x:v>g</x:v>
      </x:c>
      <x:c r="K561" s="112" t="str">
        <x:v>BỊCH</x:v>
      </x:c>
      <x:c r="L561" s="112" t="n">
        <x:v>0</x:v>
      </x:c>
      <x:c r="M561" s="112" t="str">
        <x:v>g</x:v>
      </x:c>
      <x:c r="N561" s="112" t="str">
        <x:v>THÙNG</x:v>
      </x:c>
      <x:c r="O561" s="112" t="n">
        <x:v>10</x:v>
      </x:c>
      <x:c r="P561" s="112" t="str">
        <x:v>0 g / BỊCH</x:v>
      </x:c>
      <x:c r="Q561" s="112" t="str">
        <x:v>10 BỊCH / THÙNG</x:v>
      </x:c>
      <x:c r="R561" s="112" t="n">
        <x:v>1261</x:v>
      </x:c>
      <x:c r="S561" s="113" t="n">
        <x:v>1262</x:v>
      </x:c>
    </x:row>
    <x:row r="562">
      <x:c r="A562" s="111" t="n">
        <x:v>562</x:v>
      </x:c>
      <x:c r="B562" s="112" t="str">
        <x:v>BONE</x:v>
      </x:c>
      <x:c r="C562" s="112" t="str">
        <x:v>BSBONE</x:v>
      </x:c>
      <x:c r="D562" s="112" t="str">
        <x:v>BSBONET</x:v>
      </x:c>
      <x:c r="E562" s="120"/>
      <x:c r="F562" s="120" t="n">
        <x:v>69000</x:v>
      </x:c>
      <x:c r="G562" s="120" t="n">
        <x:v>69000</x:v>
      </x:c>
      <x:c r="H562" s="112" t="str">
        <x:v>BỔ SUNG GIÁ</x:v>
      </x:c>
      <x:c r="I562" s="112" t="n">
        <x:v>1000</x:v>
      </x:c>
      <x:c r="J562" s="112" t="str">
        <x:v>g</x:v>
      </x:c>
      <x:c r="K562" s="112" t="str">
        <x:v>GÓI</x:v>
      </x:c>
      <x:c r="L562" s="112" t="n">
        <x:v>13000</x:v>
      </x:c>
      <x:c r="M562" s="112" t="str">
        <x:v>g</x:v>
      </x:c>
      <x:c r="N562" s="112" t="str">
        <x:v>THÙNG</x:v>
      </x:c>
      <x:c r="O562" s="112" t="n">
        <x:v>12</x:v>
      </x:c>
      <x:c r="P562" s="112" t="str">
        <x:v>1000 g / GÓI</x:v>
      </x:c>
      <x:c r="Q562" s="112" t="str">
        <x:v>12 GÓI / THÙNG</x:v>
      </x:c>
      <x:c r="R562" s="112" t="n">
        <x:v>1267</x:v>
      </x:c>
      <x:c r="S562" s="113" t="n">
        <x:v>1268</x:v>
      </x:c>
    </x:row>
    <x:row r="563">
      <x:c r="A563" s="111" t="n">
        <x:v>563</x:v>
      </x:c>
      <x:c r="B563" s="112" t="str">
        <x:v>BODU VIỆT QUỐC</x:v>
      </x:c>
      <x:c r="C563" s="112" t="str">
        <x:v>BODUVQ</x:v>
      </x:c>
      <x:c r="D563" s="112" t="str">
        <x:v>BODUVQT</x:v>
      </x:c>
      <x:c r="E563" s="120"/>
      <x:c r="F563" s="120" t="n">
        <x:v>125000</x:v>
      </x:c>
      <x:c r="G563" s="120" t="n">
        <x:v>125000</x:v>
      </x:c>
      <x:c r="H563" s="112" t="str">
        <x:v>BỔ SUNG GIÁ</x:v>
      </x:c>
      <x:c r="I563" s="112" t="n">
        <x:v>1450</x:v>
      </x:c>
      <x:c r="J563" s="112" t="str">
        <x:v>g</x:v>
      </x:c>
      <x:c r="K563" s="112" t="str">
        <x:v>HỦ</x:v>
      </x:c>
      <x:c r="L563" s="112" t="n">
        <x:v>17500</x:v>
      </x:c>
      <x:c r="M563" s="112" t="str">
        <x:v>g</x:v>
      </x:c>
      <x:c r="N563" s="112" t="str">
        <x:v>THÙNG</x:v>
      </x:c>
      <x:c r="O563" s="112" t="n">
        <x:v>12</x:v>
      </x:c>
      <x:c r="P563" s="112" t="str">
        <x:v>1450 g / HỦ</x:v>
      </x:c>
      <x:c r="Q563" s="112" t="str">
        <x:v>12 HỦ / THÙNG</x:v>
      </x:c>
      <x:c r="R563" s="112" t="n">
        <x:v>1269</x:v>
      </x:c>
      <x:c r="S563" s="113" t="n">
        <x:v>1270</x:v>
      </x:c>
    </x:row>
    <x:row r="564">
      <x:c r="A564" s="111" t="n">
        <x:v>564</x:v>
      </x:c>
      <x:c r="B564" s="112" t="str">
        <x:v>BODU VẢI</x:v>
      </x:c>
      <x:c r="C564" s="112" t="str">
        <x:v>BODUVA</x:v>
      </x:c>
      <x:c r="D564" s="112" t="str">
        <x:v>BODUVAT</x:v>
      </x:c>
      <x:c r="E564" s="120"/>
      <x:c r="F564" s="120" t="n">
        <x:v>138000</x:v>
      </x:c>
      <x:c r="G564" s="120" t="n">
        <x:v>138000</x:v>
      </x:c>
      <x:c r="H564" s="112" t="str">
        <x:v>BỔ SUNG GIÁ</x:v>
      </x:c>
      <x:c r="I564" s="112" t="n">
        <x:v>1100</x:v>
      </x:c>
      <x:c r="J564" s="112" t="str">
        <x:v>g</x:v>
      </x:c>
      <x:c r="K564" s="112" t="str">
        <x:v>HỦ</x:v>
      </x:c>
      <x:c r="L564" s="112" t="n">
        <x:v>14200</x:v>
      </x:c>
      <x:c r="M564" s="112" t="str">
        <x:v>g</x:v>
      </x:c>
      <x:c r="N564" s="112" t="str">
        <x:v>THÙNG</x:v>
      </x:c>
      <x:c r="O564" s="112" t="n">
        <x:v>12</x:v>
      </x:c>
      <x:c r="P564" s="112" t="str">
        <x:v>1100 g / HỦ</x:v>
      </x:c>
      <x:c r="Q564" s="112" t="str">
        <x:v>12 HỦ / THÙNG</x:v>
      </x:c>
      <x:c r="R564" s="112" t="n">
        <x:v>1271</x:v>
      </x:c>
      <x:c r="S564" s="113" t="n">
        <x:v>1272</x:v>
      </x:c>
    </x:row>
    <x:row r="565">
      <x:c r="A565" s="111" t="n">
        <x:v>565</x:v>
      </x:c>
      <x:c r="B565" s="112" t="str">
        <x:v>BODU ỔI</x:v>
      </x:c>
      <x:c r="C565" s="112" t="str">
        <x:v>BODUOI</x:v>
      </x:c>
      <x:c r="D565" s="112" t="str">
        <x:v>BODUOIT</x:v>
      </x:c>
      <x:c r="E565" s="120"/>
      <x:c r="F565" s="120" t="n">
        <x:v>138000</x:v>
      </x:c>
      <x:c r="G565" s="120" t="n">
        <x:v>138000</x:v>
      </x:c>
      <x:c r="H565" s="112" t="str">
        <x:v>BỔ SUNG GIÁ</x:v>
      </x:c>
      <x:c r="I565" s="112" t="n">
        <x:v>1100</x:v>
      </x:c>
      <x:c r="J565" s="112" t="str">
        <x:v>g</x:v>
      </x:c>
      <x:c r="K565" s="112" t="str">
        <x:v>HỦ</x:v>
      </x:c>
      <x:c r="L565" s="112" t="n">
        <x:v>14200</x:v>
      </x:c>
      <x:c r="M565" s="112" t="str">
        <x:v>g</x:v>
      </x:c>
      <x:c r="N565" s="112" t="str">
        <x:v>THÙNG</x:v>
      </x:c>
      <x:c r="O565" s="112" t="n">
        <x:v>12</x:v>
      </x:c>
      <x:c r="P565" s="112" t="str">
        <x:v>1100 g / HỦ</x:v>
      </x:c>
      <x:c r="Q565" s="112" t="str">
        <x:v>12 HỦ / THÙNG</x:v>
      </x:c>
      <x:c r="R565" s="112" t="n">
        <x:v>1273</x:v>
      </x:c>
      <x:c r="S565" s="113" t="n">
        <x:v>1274</x:v>
      </x:c>
    </x:row>
    <x:row r="566">
      <x:c r="A566" s="111" t="n">
        <x:v>566</x:v>
      </x:c>
      <x:c r="B566" s="112" t="str">
        <x:v>BODU LONG NHÃN TÁO ĐỎ</x:v>
      </x:c>
      <x:c r="C566" s="112" t="str">
        <x:v>BODULN</x:v>
      </x:c>
      <x:c r="D566" s="112" t="str">
        <x:v>BODULNT</x:v>
      </x:c>
      <x:c r="E566" s="120"/>
      <x:c r="F566" s="120" t="n">
        <x:v>123000</x:v>
      </x:c>
      <x:c r="G566" s="120" t="n">
        <x:v>123000</x:v>
      </x:c>
      <x:c r="H566" s="112" t="str">
        <x:v>BỔ SUNG GIÁ</x:v>
      </x:c>
      <x:c r="I566" s="112" t="n">
        <x:v>1100</x:v>
      </x:c>
      <x:c r="J566" s="112" t="str">
        <x:v>g</x:v>
      </x:c>
      <x:c r="K566" s="112" t="str">
        <x:v>HỦ</x:v>
      </x:c>
      <x:c r="L566" s="112" t="n">
        <x:v>142</x:v>
      </x:c>
      <x:c r="M566" s="112" t="str">
        <x:v>g</x:v>
      </x:c>
      <x:c r="N566" s="112" t="str">
        <x:v>THÙNG</x:v>
      </x:c>
      <x:c r="O566" s="112" t="n">
        <x:v>12</x:v>
      </x:c>
      <x:c r="P566" s="112" t="str">
        <x:v>1100 g / HỦ</x:v>
      </x:c>
      <x:c r="Q566" s="112" t="str">
        <x:v>12 HỦ / THÙNG</x:v>
      </x:c>
      <x:c r="R566" s="112" t="n">
        <x:v>1275</x:v>
      </x:c>
      <x:c r="S566" s="113" t="n">
        <x:v>1276</x:v>
      </x:c>
    </x:row>
    <x:row r="567">
      <x:c r="A567" s="111" t="n">
        <x:v>567</x:v>
      </x:c>
      <x:c r="B567" s="112" t="str">
        <x:v>BODU HOA LÀI</x:v>
      </x:c>
      <x:c r="C567" s="112" t="str">
        <x:v>BODULA</x:v>
      </x:c>
      <x:c r="D567" s="112" t="str">
        <x:v>BODULAT</x:v>
      </x:c>
      <x:c r="E567" s="120"/>
      <x:c r="F567" s="120" t="n">
        <x:v>138000</x:v>
      </x:c>
      <x:c r="G567" s="120" t="n">
        <x:v>138000</x:v>
      </x:c>
      <x:c r="H567" s="112" t="str">
        <x:v>BỔ SUNG GIÁ</x:v>
      </x:c>
      <x:c r="I567" s="112" t="n">
        <x:v>1.1</x:v>
      </x:c>
      <x:c r="J567" s="112" t="str">
        <x:v>kg</x:v>
      </x:c>
      <x:c r="K567" s="112" t="str">
        <x:v>HỦ</x:v>
      </x:c>
      <x:c r="L567" s="112" t="n">
        <x:v>14200</x:v>
      </x:c>
      <x:c r="M567" s="112" t="str">
        <x:v>g</x:v>
      </x:c>
      <x:c r="N567" s="112" t="str">
        <x:v>THÙNG</x:v>
      </x:c>
      <x:c r="O567" s="112" t="n">
        <x:v>12</x:v>
      </x:c>
      <x:c r="P567" s="112" t="str">
        <x:v>1.1 kg / HỦ</x:v>
      </x:c>
      <x:c r="Q567" s="112" t="str">
        <x:v>12 HỦ / THÙNG</x:v>
      </x:c>
      <x:c r="R567" s="112" t="n">
        <x:v>1277</x:v>
      </x:c>
      <x:c r="S567" s="113" t="n">
        <x:v>1278</x:v>
      </x:c>
    </x:row>
    <x:row r="568">
      <x:c r="A568" s="111" t="n">
        <x:v>568</x:v>
      </x:c>
      <x:c r="B568" s="112" t="str">
        <x:v>BODU HOA HỒNG</x:v>
      </x:c>
      <x:c r="C568" s="112" t="str">
        <x:v>BODUHH</x:v>
      </x:c>
      <x:c r="D568" s="112" t="str">
        <x:v>BODUHHT</x:v>
      </x:c>
      <x:c r="E568" s="120"/>
      <x:c r="F568" s="120" t="n">
        <x:v>123000</x:v>
      </x:c>
      <x:c r="G568" s="120" t="n">
        <x:v>123000</x:v>
      </x:c>
      <x:c r="H568" s="112" t="str">
        <x:v>BỔ SUNG GIÁ</x:v>
      </x:c>
      <x:c r="I568" s="112" t="n">
        <x:v>1100</x:v>
      </x:c>
      <x:c r="J568" s="112" t="str">
        <x:v>g</x:v>
      </x:c>
      <x:c r="K568" s="112" t="str">
        <x:v>HỦ</x:v>
      </x:c>
      <x:c r="L568" s="112" t="n">
        <x:v>14200</x:v>
      </x:c>
      <x:c r="M568" s="112" t="str">
        <x:v>g</x:v>
      </x:c>
      <x:c r="N568" s="112" t="str">
        <x:v>THÙNG</x:v>
      </x:c>
      <x:c r="O568" s="112" t="n">
        <x:v>12</x:v>
      </x:c>
      <x:c r="P568" s="112" t="str">
        <x:v>1100 g / HỦ</x:v>
      </x:c>
      <x:c r="Q568" s="112" t="str">
        <x:v>12 HỦ / THÙNG</x:v>
      </x:c>
      <x:c r="R568" s="112" t="n">
        <x:v>1279</x:v>
      </x:c>
      <x:c r="S568" s="113" t="n">
        <x:v>1280</x:v>
      </x:c>
    </x:row>
    <x:row r="569">
      <x:c r="A569" s="111" t="n">
        <x:v>569</x:v>
      </x:c>
      <x:c r="B569" s="112" t="str">
        <x:v>BODU ĐÀO NHÀI</x:v>
      </x:c>
      <x:c r="C569" s="112" t="str">
        <x:v>BODUDN</x:v>
      </x:c>
      <x:c r="D569" s="112" t="str">
        <x:v>BODUDNT</x:v>
      </x:c>
      <x:c r="E569" s="120"/>
      <x:c r="F569" s="120" t="n">
        <x:v>123000</x:v>
      </x:c>
      <x:c r="G569" s="120" t="n">
        <x:v>123000</x:v>
      </x:c>
      <x:c r="H569" s="112" t="str">
        <x:v>BỔ SUNG GIÁ</x:v>
      </x:c>
      <x:c r="I569" s="112" t="n">
        <x:v>1100</x:v>
      </x:c>
      <x:c r="J569" s="112" t="str">
        <x:v>g</x:v>
      </x:c>
      <x:c r="K569" s="112" t="str">
        <x:v>HỦ</x:v>
      </x:c>
      <x:c r="L569" s="112" t="n">
        <x:v>14200</x:v>
      </x:c>
      <x:c r="M569" s="112" t="str">
        <x:v>g</x:v>
      </x:c>
      <x:c r="N569" s="112" t="str">
        <x:v>THÙNG</x:v>
      </x:c>
      <x:c r="O569" s="112" t="n">
        <x:v>12</x:v>
      </x:c>
      <x:c r="P569" s="112" t="str">
        <x:v>1100 g / HỦ</x:v>
      </x:c>
      <x:c r="Q569" s="112" t="str">
        <x:v>12 HỦ / THÙNG</x:v>
      </x:c>
      <x:c r="R569" s="112" t="n">
        <x:v>1281</x:v>
      </x:c>
      <x:c r="S569" s="113" t="n">
        <x:v>1282</x:v>
      </x:c>
    </x:row>
    <x:row r="570">
      <x:c r="A570" s="111" t="n">
        <x:v>570</x:v>
      </x:c>
      <x:c r="B570" s="112" t="str">
        <x:v>BODU DƯA LƯỚI</x:v>
      </x:c>
      <x:c r="C570" s="112" t="str">
        <x:v>BODUDL</x:v>
      </x:c>
      <x:c r="D570" s="112" t="str">
        <x:v>BODUDLT</x:v>
      </x:c>
      <x:c r="E570" s="120"/>
      <x:c r="F570" s="120" t="n">
        <x:v>123000</x:v>
      </x:c>
      <x:c r="G570" s="120" t="n">
        <x:v>123000</x:v>
      </x:c>
      <x:c r="H570" s="112" t="str">
        <x:v>BỔ SUNG GIÁ</x:v>
      </x:c>
      <x:c r="I570" s="112" t="n">
        <x:v>1450</x:v>
      </x:c>
      <x:c r="J570" s="112" t="str">
        <x:v>g</x:v>
      </x:c>
      <x:c r="K570" s="112" t="str">
        <x:v>HỦ</x:v>
      </x:c>
      <x:c r="L570" s="112" t="n">
        <x:v>17500</x:v>
      </x:c>
      <x:c r="M570" s="112" t="str">
        <x:v>g</x:v>
      </x:c>
      <x:c r="N570" s="112" t="str">
        <x:v>THÙNG</x:v>
      </x:c>
      <x:c r="O570" s="112" t="n">
        <x:v>12</x:v>
      </x:c>
      <x:c r="P570" s="112" t="str">
        <x:v>1450 g / HỦ</x:v>
      </x:c>
      <x:c r="Q570" s="112" t="str">
        <x:v>12 HỦ / THÙNG</x:v>
      </x:c>
      <x:c r="R570" s="112" t="n">
        <x:v>1283</x:v>
      </x:c>
      <x:c r="S570" s="113" t="n">
        <x:v>1284</x:v>
      </x:c>
    </x:row>
    <x:row r="571">
      <x:c r="A571" s="111" t="n">
        <x:v>571</x:v>
      </x:c>
      <x:c r="B571" s="112" t="str">
        <x:v>BODU DÂU</x:v>
      </x:c>
      <x:c r="C571" s="112" t="str">
        <x:v>BODUDA</x:v>
      </x:c>
      <x:c r="D571" s="112" t="str">
        <x:v>BODUDAT</x:v>
      </x:c>
      <x:c r="E571" s="120"/>
      <x:c r="F571" s="120" t="n">
        <x:v>125000</x:v>
      </x:c>
      <x:c r="G571" s="120" t="n">
        <x:v>125000</x:v>
      </x:c>
      <x:c r="H571" s="112" t="str">
        <x:v>BỔ SUNG GIÁ</x:v>
      </x:c>
      <x:c r="I571" s="112" t="n">
        <x:v>1450</x:v>
      </x:c>
      <x:c r="J571" s="112" t="str">
        <x:v>g</x:v>
      </x:c>
      <x:c r="K571" s="112" t="str">
        <x:v>HỦ</x:v>
      </x:c>
      <x:c r="L571" s="112" t="n">
        <x:v>175</x:v>
      </x:c>
      <x:c r="M571" s="112" t="str">
        <x:v>g</x:v>
      </x:c>
      <x:c r="N571" s="112" t="str">
        <x:v>THÙNG</x:v>
      </x:c>
      <x:c r="O571" s="112" t="n">
        <x:v>12</x:v>
      </x:c>
      <x:c r="P571" s="112" t="str">
        <x:v>1450 g / HỦ</x:v>
      </x:c>
      <x:c r="Q571" s="112" t="str">
        <x:v>12 HỦ / THÙNG</x:v>
      </x:c>
      <x:c r="R571" s="112" t="n">
        <x:v>1285</x:v>
      </x:c>
      <x:c r="S571" s="113" t="n">
        <x:v>1286</x:v>
      </x:c>
    </x:row>
    <x:row r="572">
      <x:c r="A572" s="111" t="n">
        <x:v>572</x:v>
      </x:c>
      <x:c r="B572" s="112" t="str">
        <x:v>BODU BƯỞI</x:v>
      </x:c>
      <x:c r="C572" s="112" t="str">
        <x:v>BODUBU</x:v>
      </x:c>
      <x:c r="D572" s="112" t="str">
        <x:v>BODUBUT</x:v>
      </x:c>
      <x:c r="E572" s="120"/>
      <x:c r="F572" s="120" t="n">
        <x:v>123000</x:v>
      </x:c>
      <x:c r="G572" s="120" t="n">
        <x:v>123000</x:v>
      </x:c>
      <x:c r="H572" s="112" t="str">
        <x:v>BỔ SUNG GIÁ</x:v>
      </x:c>
      <x:c r="I572" s="112" t="n">
        <x:v>11</x:v>
      </x:c>
      <x:c r="J572" s="112" t="str">
        <x:v>g</x:v>
      </x:c>
      <x:c r="K572" s="112" t="str">
        <x:v>HỦ</x:v>
      </x:c>
      <x:c r="L572" s="112" t="n">
        <x:v>14200</x:v>
      </x:c>
      <x:c r="M572" s="112" t="str">
        <x:v>g</x:v>
      </x:c>
      <x:c r="N572" s="112" t="str">
        <x:v>THÙNG</x:v>
      </x:c>
      <x:c r="O572" s="112" t="n">
        <x:v>12</x:v>
      </x:c>
      <x:c r="P572" s="112" t="str">
        <x:v>11 g / HỦ</x:v>
      </x:c>
      <x:c r="Q572" s="112" t="str">
        <x:v>12 HỦ / THÙNG</x:v>
      </x:c>
      <x:c r="R572" s="112" t="n">
        <x:v>1287</x:v>
      </x:c>
      <x:c r="S572" s="113" t="n">
        <x:v>1288</x:v>
      </x:c>
    </x:row>
    <x:row r="573">
      <x:c r="A573" s="111" t="n">
        <x:v>573</x:v>
      </x:c>
      <x:c r="B573" s="112" t="str">
        <x:v>BÒ CƯỜI 3 LỚP</x:v>
      </x:c>
      <x:c r="C573" s="112" t="str">
        <x:v>BOCU3L</x:v>
      </x:c>
      <x:c r="D573" s="112" t="str">
        <x:v>BOCU3LT</x:v>
      </x:c>
      <x:c r="E573" s="120"/>
      <x:c r="F573" s="120" t="n">
        <x:v>79000</x:v>
      </x:c>
      <x:c r="G573" s="120" t="n">
        <x:v>79000</x:v>
      </x:c>
      <x:c r="H573" s="112" t="str">
        <x:v>BỔ SUNG GIÁ</x:v>
      </x:c>
      <x:c r="I573" s="112" t="n">
        <x:v>350</x:v>
      </x:c>
      <x:c r="J573" s="112" t="str">
        <x:v>g</x:v>
      </x:c>
      <x:c r="K573" s="112" t="str">
        <x:v>HỘP</x:v>
      </x:c>
      <x:c r="L573" s="112" t="n">
        <x:v>0</x:v>
      </x:c>
      <x:c r="M573" s="112" t="str">
        <x:v>g</x:v>
      </x:c>
      <x:c r="N573" s="112" t="str">
        <x:v>THÙNG</x:v>
      </x:c>
      <x:c r="O573" s="112" t="n">
        <x:v>24</x:v>
      </x:c>
      <x:c r="P573" s="112" t="str">
        <x:v>350 g / HỘP</x:v>
      </x:c>
      <x:c r="Q573" s="112" t="str">
        <x:v>24 HỘP / THÙNG</x:v>
      </x:c>
      <x:c r="R573" s="112" t="n">
        <x:v>1292</x:v>
      </x:c>
      <x:c r="S573" s="113" t="n">
        <x:v>1293</x:v>
      </x:c>
    </x:row>
    <x:row r="574">
      <x:c r="A574" s="111" t="n">
        <x:v>574</x:v>
      </x:c>
      <x:c r="B574" s="112" t="str">
        <x:v>ĐƯỜNG ĐEN BLACK 2L</x:v>
      </x:c>
      <x:c r="C574" s="112" t="str">
        <x:v>BLAK2L</x:v>
      </x:c>
      <x:c r="D574" s="112" t="str">
        <x:v>BLAK2LT</x:v>
      </x:c>
      <x:c r="E574" s="120" t="n">
        <x:v>142000</x:v>
      </x:c>
      <x:c r="F574" s="120" t="n">
        <x:v>142000</x:v>
      </x:c>
      <x:c r="G574" s="120" t="n">
        <x:v>142000</x:v>
      </x:c>
      <x:c r="H574" s="112" t="str">
        <x:v>GIỮ NGUYÊN - ĐÃ KHỚP</x:v>
      </x:c>
      <x:c r="I574" s="112" t="n">
        <x:v>2</x:v>
      </x:c>
      <x:c r="J574" s="112" t="str">
        <x:v>kg</x:v>
      </x:c>
      <x:c r="K574" s="112" t="str">
        <x:v>BÌNH</x:v>
      </x:c>
      <x:c r="L574" s="112" t="n">
        <x:v>13</x:v>
      </x:c>
      <x:c r="M574" s="112" t="str">
        <x:v>kg</x:v>
      </x:c>
      <x:c r="N574" s="112" t="str">
        <x:v>THÙNG</x:v>
      </x:c>
      <x:c r="O574" s="112" t="n">
        <x:v>6</x:v>
      </x:c>
      <x:c r="P574" s="112" t="str">
        <x:v>2 kg / BÌNH</x:v>
      </x:c>
      <x:c r="Q574" s="112" t="str">
        <x:v>6 BÌNH / THÙNG</x:v>
      </x:c>
      <x:c r="R574" s="112" t="n">
        <x:v>1294</x:v>
      </x:c>
      <x:c r="S574" s="113" t="n">
        <x:v>1295</x:v>
      </x:c>
    </x:row>
    <x:row r="575">
      <x:c r="A575" s="111" t="n">
        <x:v>575</x:v>
      </x:c>
      <x:c r="B575" s="112" t="str">
        <x:v>ĐƯỜNG ĐEN BLACK 1L</x:v>
      </x:c>
      <x:c r="C575" s="112" t="str">
        <x:v>BLAK1L</x:v>
      </x:c>
      <x:c r="D575" s="112" t="str">
        <x:v>BLAK1LT</x:v>
      </x:c>
      <x:c r="E575" s="120" t="n">
        <x:v>76000</x:v>
      </x:c>
      <x:c r="F575" s="120" t="n">
        <x:v>76000</x:v>
      </x:c>
      <x:c r="G575" s="120" t="n">
        <x:v>76000</x:v>
      </x:c>
      <x:c r="H575" s="112" t="str">
        <x:v>GIỮ NGUYÊN - ĐÃ KHỚP</x:v>
      </x:c>
      <x:c r="I575" s="112" t="n">
        <x:v>1300</x:v>
      </x:c>
      <x:c r="J575" s="112" t="str">
        <x:v>g</x:v>
      </x:c>
      <x:c r="K575" s="112" t="str">
        <x:v>BÌNH</x:v>
      </x:c>
      <x:c r="L575" s="112" t="n">
        <x:v>16600</x:v>
      </x:c>
      <x:c r="M575" s="112" t="str">
        <x:v>g</x:v>
      </x:c>
      <x:c r="N575" s="112" t="str">
        <x:v>THÙNG</x:v>
      </x:c>
      <x:c r="O575" s="112" t="n">
        <x:v>12</x:v>
      </x:c>
      <x:c r="P575" s="112" t="str">
        <x:v>1300 g / BÌNH</x:v>
      </x:c>
      <x:c r="Q575" s="112" t="str">
        <x:v>12 BÌNH / THÙNG</x:v>
      </x:c>
      <x:c r="R575" s="112" t="n">
        <x:v>1296</x:v>
      </x:c>
      <x:c r="S575" s="113" t="n">
        <x:v>1297</x:v>
      </x:c>
    </x:row>
    <x:row r="576">
      <x:c r="A576" s="111" t="n">
        <x:v>576</x:v>
      </x:c>
      <x:c r="B576" s="112" t="str">
        <x:v>BERINO XOÀI</x:v>
      </x:c>
      <x:c r="C576" s="112" t="str">
        <x:v>BERXOA</x:v>
      </x:c>
      <x:c r="D576" s="112" t="str">
        <x:v>BERXOAT</x:v>
      </x:c>
      <x:c r="E576" s="120" t="n">
        <x:v>91000</x:v>
      </x:c>
      <x:c r="F576" s="120" t="n">
        <x:v>91000</x:v>
      </x:c>
      <x:c r="G576" s="120" t="n">
        <x:v>91000</x:v>
      </x:c>
      <x:c r="H576" s="112" t="str">
        <x:v>GIỮ NGUYÊN - ĐÃ KHỚP</x:v>
      </x:c>
      <x:c r="I576" s="112" t="n">
        <x:v>1350</x:v>
      </x:c>
      <x:c r="J576" s="112" t="str">
        <x:v>g</x:v>
      </x:c>
      <x:c r="K576" s="112" t="str">
        <x:v>CHAI</x:v>
      </x:c>
      <x:c r="L576" s="112" t="n">
        <x:v>17000</x:v>
      </x:c>
      <x:c r="M576" s="112" t="str">
        <x:v>g</x:v>
      </x:c>
      <x:c r="N576" s="112" t="str">
        <x:v>THÙNG</x:v>
      </x:c>
      <x:c r="O576" s="112" t="n">
        <x:v>12</x:v>
      </x:c>
      <x:c r="P576" s="112" t="str">
        <x:v>1350 g / CHAI</x:v>
      </x:c>
      <x:c r="Q576" s="112" t="str">
        <x:v>12 CHAI / THÙNG</x:v>
      </x:c>
      <x:c r="R576" s="112" t="n">
        <x:v>1298</x:v>
      </x:c>
      <x:c r="S576" s="113" t="n">
        <x:v>1299</x:v>
      </x:c>
    </x:row>
    <x:row r="577">
      <x:c r="A577" s="111" t="n">
        <x:v>577</x:v>
      </x:c>
      <x:c r="B577" s="112" t="str">
        <x:v>BERINO VIỆT QUỐC</x:v>
      </x:c>
      <x:c r="C577" s="112" t="str">
        <x:v>BERVQU</x:v>
      </x:c>
      <x:c r="D577" s="112" t="str">
        <x:v>BERVQUT</x:v>
      </x:c>
      <x:c r="E577" s="120" t="n">
        <x:v>123000</x:v>
      </x:c>
      <x:c r="F577" s="120" t="n">
        <x:v>123000</x:v>
      </x:c>
      <x:c r="G577" s="120" t="n">
        <x:v>123000</x:v>
      </x:c>
      <x:c r="H577" s="112" t="str">
        <x:v>GIỮ NGUYÊN - ĐÃ KHỚP</x:v>
      </x:c>
      <x:c r="I577" s="112" t="n">
        <x:v>1350</x:v>
      </x:c>
      <x:c r="J577" s="112" t="str">
        <x:v>g</x:v>
      </x:c>
      <x:c r="K577" s="112" t="str">
        <x:v>CHAI</x:v>
      </x:c>
      <x:c r="L577" s="112" t="n">
        <x:v>17000</x:v>
      </x:c>
      <x:c r="M577" s="112" t="str">
        <x:v>g</x:v>
      </x:c>
      <x:c r="N577" s="112" t="str">
        <x:v>THÙNG</x:v>
      </x:c>
      <x:c r="O577" s="112" t="n">
        <x:v>12</x:v>
      </x:c>
      <x:c r="P577" s="112" t="str">
        <x:v>1350 g / CHAI</x:v>
      </x:c>
      <x:c r="Q577" s="112" t="str">
        <x:v>12 CHAI / THÙNG</x:v>
      </x:c>
      <x:c r="R577" s="112" t="n">
        <x:v>1300</x:v>
      </x:c>
      <x:c r="S577" s="113" t="n">
        <x:v>1301</x:v>
      </x:c>
    </x:row>
    <x:row r="578">
      <x:c r="A578" s="111" t="n">
        <x:v>578</x:v>
      </x:c>
      <x:c r="B578" s="112" t="str">
        <x:v>BERINO VẢI</x:v>
      </x:c>
      <x:c r="C578" s="112" t="str">
        <x:v>BERVAI</x:v>
      </x:c>
      <x:c r="D578" s="112" t="str">
        <x:v>BERVAIT</x:v>
      </x:c>
      <x:c r="E578" s="120" t="n">
        <x:v>115000</x:v>
      </x:c>
      <x:c r="F578" s="120" t="n">
        <x:v>115000</x:v>
      </x:c>
      <x:c r="G578" s="120" t="n">
        <x:v>115000</x:v>
      </x:c>
      <x:c r="H578" s="112" t="str">
        <x:v>GIỮ NGUYÊN - ĐÃ KHỚP</x:v>
      </x:c>
      <x:c r="I578" s="112" t="n">
        <x:v>1.35</x:v>
      </x:c>
      <x:c r="J578" s="112" t="str">
        <x:v>kg</x:v>
      </x:c>
      <x:c r="K578" s="112" t="str">
        <x:v>CHAI</x:v>
      </x:c>
      <x:c r="L578" s="112" t="n">
        <x:v>1</x:v>
      </x:c>
      <x:c r="M578" s="112" t="str">
        <x:v>kg</x:v>
      </x:c>
      <x:c r="N578" s="112" t="str">
        <x:v>THÙNG</x:v>
      </x:c>
      <x:c r="O578" s="112" t="n">
        <x:v>12</x:v>
      </x:c>
      <x:c r="P578" s="112" t="str">
        <x:v>1.35 kg / CHAI</x:v>
      </x:c>
      <x:c r="Q578" s="112" t="str">
        <x:v>12 CHAI / THÙNG</x:v>
      </x:c>
      <x:c r="R578" s="112" t="n">
        <x:v>1302</x:v>
      </x:c>
      <x:c r="S578" s="113" t="n">
        <x:v>1303</x:v>
      </x:c>
    </x:row>
    <x:row r="579">
      <x:c r="A579" s="111" t="n">
        <x:v>579</x:v>
      </x:c>
      <x:c r="B579" s="112" t="str">
        <x:v>BERINO THƠM</x:v>
      </x:c>
      <x:c r="C579" s="112" t="str">
        <x:v>BERTHM</x:v>
      </x:c>
      <x:c r="D579" s="112" t="str">
        <x:v>BERTHMT</x:v>
      </x:c>
      <x:c r="E579" s="120" t="n">
        <x:v>98000</x:v>
      </x:c>
      <x:c r="F579" s="120" t="n">
        <x:v>98000</x:v>
      </x:c>
      <x:c r="G579" s="120" t="n">
        <x:v>98000</x:v>
      </x:c>
      <x:c r="H579" s="112" t="str">
        <x:v>GIỮ NGUYÊN - ĐÃ KHỚP</x:v>
      </x:c>
      <x:c r="I579" s="112" t="n">
        <x:v>1350</x:v>
      </x:c>
      <x:c r="J579" s="112" t="str">
        <x:v>g</x:v>
      </x:c>
      <x:c r="K579" s="112" t="str">
        <x:v>CHAI</x:v>
      </x:c>
      <x:c r="L579" s="112" t="n">
        <x:v>17000</x:v>
      </x:c>
      <x:c r="M579" s="112" t="str">
        <x:v>g</x:v>
      </x:c>
      <x:c r="N579" s="112" t="str">
        <x:v>THÙNG</x:v>
      </x:c>
      <x:c r="O579" s="112" t="n">
        <x:v>12</x:v>
      </x:c>
      <x:c r="P579" s="112" t="str">
        <x:v>1350 g / CHAI</x:v>
      </x:c>
      <x:c r="Q579" s="112" t="str">
        <x:v>12 CHAI / THÙNG</x:v>
      </x:c>
      <x:c r="R579" s="112" t="n">
        <x:v>1304</x:v>
      </x:c>
      <x:c r="S579" s="113" t="n">
        <x:v>1305</x:v>
      </x:c>
    </x:row>
    <x:row r="580">
      <x:c r="A580" s="111" t="n">
        <x:v>580</x:v>
      </x:c>
      <x:c r="B580" s="112" t="str">
        <x:v>BERINO PHÚC BỒN TỬ</x:v>
      </x:c>
      <x:c r="C580" s="112" t="str">
        <x:v>BERPBT</x:v>
      </x:c>
      <x:c r="D580" s="112" t="str">
        <x:v>BERPBTT</x:v>
      </x:c>
      <x:c r="E580" s="120" t="n">
        <x:v>114000</x:v>
      </x:c>
      <x:c r="F580" s="120" t="n">
        <x:v>114000</x:v>
      </x:c>
      <x:c r="G580" s="120" t="n">
        <x:v>114000</x:v>
      </x:c>
      <x:c r="H580" s="112" t="str">
        <x:v>GIỮ NGUYÊN - ĐÃ KHỚP</x:v>
      </x:c>
      <x:c r="I580" s="112" t="n">
        <x:v>1350</x:v>
      </x:c>
      <x:c r="J580" s="112" t="str">
        <x:v>g</x:v>
      </x:c>
      <x:c r="K580" s="112" t="str">
        <x:v>CHAI</x:v>
      </x:c>
      <x:c r="L580" s="112" t="n">
        <x:v>17000</x:v>
      </x:c>
      <x:c r="M580" s="112" t="str">
        <x:v>g</x:v>
      </x:c>
      <x:c r="N580" s="112" t="str">
        <x:v>THÙNG</x:v>
      </x:c>
      <x:c r="O580" s="112" t="n">
        <x:v>12</x:v>
      </x:c>
      <x:c r="P580" s="112" t="str">
        <x:v>1350 g / CHAI</x:v>
      </x:c>
      <x:c r="Q580" s="112" t="str">
        <x:v>12 CHAI / THÙNG</x:v>
      </x:c>
      <x:c r="R580" s="112" t="n">
        <x:v>1306</x:v>
      </x:c>
      <x:c r="S580" s="113" t="n">
        <x:v>1307</x:v>
      </x:c>
    </x:row>
    <x:row r="581">
      <x:c r="A581" s="111" t="n">
        <x:v>581</x:v>
      </x:c>
      <x:c r="B581" s="112" t="str">
        <x:v>BERINO ỔI</x:v>
      </x:c>
      <x:c r="C581" s="112" t="str">
        <x:v>BEROIH</x:v>
      </x:c>
      <x:c r="D581" s="112" t="str">
        <x:v>BEROIHT</x:v>
      </x:c>
      <x:c r="E581" s="120" t="n">
        <x:v>111000</x:v>
      </x:c>
      <x:c r="F581" s="120" t="n">
        <x:v>111000</x:v>
      </x:c>
      <x:c r="G581" s="120" t="n">
        <x:v>111000</x:v>
      </x:c>
      <x:c r="H581" s="112" t="str">
        <x:v>GIỮ NGUYÊN - ĐÃ KHỚP</x:v>
      </x:c>
      <x:c r="I581" s="112" t="n">
        <x:v>1350</x:v>
      </x:c>
      <x:c r="J581" s="112" t="str">
        <x:v>g</x:v>
      </x:c>
      <x:c r="K581" s="112" t="str">
        <x:v>CHAI</x:v>
      </x:c>
      <x:c r="L581" s="112" t="n">
        <x:v>17000</x:v>
      </x:c>
      <x:c r="M581" s="112" t="str">
        <x:v>g</x:v>
      </x:c>
      <x:c r="N581" s="112" t="str">
        <x:v>THÙNG</x:v>
      </x:c>
      <x:c r="O581" s="112" t="n">
        <x:v>12</x:v>
      </x:c>
      <x:c r="P581" s="112" t="str">
        <x:v>1350 g / CHAI</x:v>
      </x:c>
      <x:c r="Q581" s="112" t="str">
        <x:v>12 CHAI / THÙNG</x:v>
      </x:c>
      <x:c r="R581" s="112" t="n">
        <x:v>1308</x:v>
      </x:c>
      <x:c r="S581" s="113" t="n">
        <x:v>1309</x:v>
      </x:c>
    </x:row>
    <x:row r="582">
      <x:c r="A582" s="111" t="n">
        <x:v>582</x:v>
      </x:c>
      <x:c r="B582" s="112" t="str">
        <x:v>BERINO NHO</x:v>
      </x:c>
      <x:c r="C582" s="112" t="str">
        <x:v>BERNHO</x:v>
      </x:c>
      <x:c r="D582" s="112" t="str">
        <x:v>BERNHOT</x:v>
      </x:c>
      <x:c r="E582" s="120" t="n">
        <x:v>108000</x:v>
      </x:c>
      <x:c r="F582" s="120" t="n">
        <x:v>108000</x:v>
      </x:c>
      <x:c r="G582" s="120" t="n">
        <x:v>108000</x:v>
      </x:c>
      <x:c r="H582" s="112" t="str">
        <x:v>GIỮ NGUYÊN - ĐÃ KHỚP</x:v>
      </x:c>
      <x:c r="I582" s="112" t="n">
        <x:v>1350</x:v>
      </x:c>
      <x:c r="J582" s="112" t="str">
        <x:v>g</x:v>
      </x:c>
      <x:c r="K582" s="112" t="str">
        <x:v>CHAI</x:v>
      </x:c>
      <x:c r="L582" s="112" t="n">
        <x:v>17000</x:v>
      </x:c>
      <x:c r="M582" s="112" t="str">
        <x:v>g</x:v>
      </x:c>
      <x:c r="N582" s="112" t="str">
        <x:v>THÙNG</x:v>
      </x:c>
      <x:c r="O582" s="112" t="n">
        <x:v>12</x:v>
      </x:c>
      <x:c r="P582" s="112" t="str">
        <x:v>1350 g / CHAI</x:v>
      </x:c>
      <x:c r="Q582" s="112" t="str">
        <x:v>12 CHAI / THÙNG</x:v>
      </x:c>
      <x:c r="R582" s="112" t="n">
        <x:v>1310</x:v>
      </x:c>
      <x:c r="S582" s="113" t="n">
        <x:v>1311</x:v>
      </x:c>
    </x:row>
    <x:row r="583">
      <x:c r="A583" s="111" t="n">
        <x:v>583</x:v>
      </x:c>
      <x:c r="B583" s="112" t="str">
        <x:v>BERINO MÃNG CẦU</x:v>
      </x:c>
      <x:c r="C583" s="112" t="str">
        <x:v>BERMCA</x:v>
      </x:c>
      <x:c r="D583" s="112" t="str">
        <x:v>BERMCAT</x:v>
      </x:c>
      <x:c r="E583" s="120"/>
      <x:c r="F583" s="120" t="n">
        <x:v>113000</x:v>
      </x:c>
      <x:c r="G583" s="120" t="n">
        <x:v>113000</x:v>
      </x:c>
      <x:c r="H583" s="112" t="str">
        <x:v>BỔ SUNG GIÁ</x:v>
      </x:c>
      <x:c r="I583" s="112" t="n">
        <x:v>1350</x:v>
      </x:c>
      <x:c r="J583" s="112" t="str">
        <x:v>g</x:v>
      </x:c>
      <x:c r="K583" s="112" t="str">
        <x:v>CHAI</x:v>
      </x:c>
      <x:c r="L583" s="112" t="n">
        <x:v>17000</x:v>
      </x:c>
      <x:c r="M583" s="112" t="str">
        <x:v>g</x:v>
      </x:c>
      <x:c r="N583" s="112" t="str">
        <x:v>THÙNG</x:v>
      </x:c>
      <x:c r="O583" s="112" t="n">
        <x:v>12</x:v>
      </x:c>
      <x:c r="P583" s="112" t="str">
        <x:v>1350 g / CHAI</x:v>
      </x:c>
      <x:c r="Q583" s="112" t="str">
        <x:v>12 CHAI / THÙNG</x:v>
      </x:c>
      <x:c r="R583" s="112" t="n">
        <x:v>1312</x:v>
      </x:c>
      <x:c r="S583" s="113" t="n">
        <x:v>1313</x:v>
      </x:c>
    </x:row>
    <x:row r="584">
      <x:c r="A584" s="111" t="n">
        <x:v>584</x:v>
      </x:c>
      <x:c r="B584" s="112" t="str">
        <x:v>BERINO KIWI</x:v>
      </x:c>
      <x:c r="C584" s="112" t="str">
        <x:v>BERKWI</x:v>
      </x:c>
      <x:c r="D584" s="112" t="str">
        <x:v>BERKWIT</x:v>
      </x:c>
      <x:c r="E584" s="120" t="n">
        <x:v>108000</x:v>
      </x:c>
      <x:c r="F584" s="120" t="n">
        <x:v>108000</x:v>
      </x:c>
      <x:c r="G584" s="120" t="n">
        <x:v>108000</x:v>
      </x:c>
      <x:c r="H584" s="112" t="str">
        <x:v>GIỮ NGUYÊN - ĐÃ KHỚP</x:v>
      </x:c>
      <x:c r="I584" s="112" t="n">
        <x:v>13</x:v>
      </x:c>
      <x:c r="J584" s="112" t="str">
        <x:v>g</x:v>
      </x:c>
      <x:c r="K584" s="112" t="str">
        <x:v>CHAI</x:v>
      </x:c>
      <x:c r="L584" s="112" t="n">
        <x:v>17000</x:v>
      </x:c>
      <x:c r="M584" s="112" t="str">
        <x:v>g</x:v>
      </x:c>
      <x:c r="N584" s="112" t="str">
        <x:v>THÙNG</x:v>
      </x:c>
      <x:c r="O584" s="112" t="n">
        <x:v>12</x:v>
      </x:c>
      <x:c r="P584" s="112" t="str">
        <x:v>13 g / CHAI</x:v>
      </x:c>
      <x:c r="Q584" s="112" t="str">
        <x:v>12 CHAI / THÙNG</x:v>
      </x:c>
      <x:c r="R584" s="112" t="n">
        <x:v>1314</x:v>
      </x:c>
      <x:c r="S584" s="113" t="n">
        <x:v>1315</x:v>
      </x:c>
    </x:row>
    <x:row r="585">
      <x:c r="A585" s="111" t="n">
        <x:v>585</x:v>
      </x:c>
      <x:c r="B585" s="112" t="str">
        <x:v>BERINO ĐÀO</x:v>
      </x:c>
      <x:c r="C585" s="112" t="str">
        <x:v>BERDAO</x:v>
      </x:c>
      <x:c r="D585" s="112" t="str">
        <x:v>BERDAOT</x:v>
      </x:c>
      <x:c r="E585" s="120" t="n">
        <x:v>91000</x:v>
      </x:c>
      <x:c r="F585" s="120" t="n">
        <x:v>91000</x:v>
      </x:c>
      <x:c r="G585" s="120" t="n">
        <x:v>91000</x:v>
      </x:c>
      <x:c r="H585" s="112" t="str">
        <x:v>GIỮ NGUYÊN - ĐÃ KHỚP</x:v>
      </x:c>
      <x:c r="I585" s="112" t="n">
        <x:v>1350</x:v>
      </x:c>
      <x:c r="J585" s="112" t="str">
        <x:v>g</x:v>
      </x:c>
      <x:c r="K585" s="112" t="str">
        <x:v>CHAI</x:v>
      </x:c>
      <x:c r="L585" s="112" t="n">
        <x:v>17000</x:v>
      </x:c>
      <x:c r="M585" s="112" t="str">
        <x:v>g</x:v>
      </x:c>
      <x:c r="N585" s="112" t="str">
        <x:v>THÙNG</x:v>
      </x:c>
      <x:c r="O585" s="112" t="n">
        <x:v>12</x:v>
      </x:c>
      <x:c r="P585" s="112" t="str">
        <x:v>1350 g / CHAI</x:v>
      </x:c>
      <x:c r="Q585" s="112" t="str">
        <x:v>12 CHAI / THÙNG</x:v>
      </x:c>
      <x:c r="R585" s="112" t="n">
        <x:v>1316</x:v>
      </x:c>
      <x:c r="S585" s="113" t="n">
        <x:v>1317</x:v>
      </x:c>
    </x:row>
    <x:row r="586">
      <x:c r="A586" s="111" t="n">
        <x:v>586</x:v>
      </x:c>
      <x:c r="B586" s="112" t="str">
        <x:v>BERINO DƯA LƯỚI</x:v>
      </x:c>
      <x:c r="C586" s="112" t="str">
        <x:v>BERDLU</x:v>
      </x:c>
      <x:c r="D586" s="112" t="str">
        <x:v>BERDLUT</x:v>
      </x:c>
      <x:c r="E586" s="120"/>
      <x:c r="F586" s="120" t="n">
        <x:v>109000</x:v>
      </x:c>
      <x:c r="G586" s="120" t="n">
        <x:v>109000</x:v>
      </x:c>
      <x:c r="H586" s="112" t="str">
        <x:v>BỔ SUNG GIÁ</x:v>
      </x:c>
      <x:c r="I586" s="112" t="n">
        <x:v>1350</x:v>
      </x:c>
      <x:c r="J586" s="112" t="str">
        <x:v>g</x:v>
      </x:c>
      <x:c r="K586" s="112" t="str">
        <x:v>CHAI</x:v>
      </x:c>
      <x:c r="L586" s="112" t="n">
        <x:v>17000</x:v>
      </x:c>
      <x:c r="M586" s="112" t="str">
        <x:v>g</x:v>
      </x:c>
      <x:c r="N586" s="112" t="str">
        <x:v>THÙNG</x:v>
      </x:c>
      <x:c r="O586" s="112" t="n">
        <x:v>12</x:v>
      </x:c>
      <x:c r="P586" s="112" t="str">
        <x:v>1350 g / CHAI</x:v>
      </x:c>
      <x:c r="Q586" s="112" t="str">
        <x:v>12 CHAI / THÙNG</x:v>
      </x:c>
      <x:c r="R586" s="112" t="n">
        <x:v>1318</x:v>
      </x:c>
      <x:c r="S586" s="113" t="n">
        <x:v>1319</x:v>
      </x:c>
    </x:row>
    <x:row r="587">
      <x:c r="A587" s="111" t="n">
        <x:v>587</x:v>
      </x:c>
      <x:c r="B587" s="112" t="str">
        <x:v>BERINO DÂU TẰM</x:v>
      </x:c>
      <x:c r="C587" s="112" t="str">
        <x:v>BERDTM</x:v>
      </x:c>
      <x:c r="D587" s="112" t="str">
        <x:v>BERDTMT</x:v>
      </x:c>
      <x:c r="E587" s="120" t="n">
        <x:v>103000</x:v>
      </x:c>
      <x:c r="F587" s="120" t="n">
        <x:v>103000</x:v>
      </x:c>
      <x:c r="G587" s="120" t="n">
        <x:v>103000</x:v>
      </x:c>
      <x:c r="H587" s="112" t="str">
        <x:v>GIỮ NGUYÊN - ĐÃ KHỚP</x:v>
      </x:c>
      <x:c r="I587" s="112" t="n">
        <x:v>1350</x:v>
      </x:c>
      <x:c r="J587" s="112" t="str">
        <x:v>g</x:v>
      </x:c>
      <x:c r="K587" s="112" t="str">
        <x:v>CHAI</x:v>
      </x:c>
      <x:c r="L587" s="112" t="n">
        <x:v>17000</x:v>
      </x:c>
      <x:c r="M587" s="112" t="str">
        <x:v>g</x:v>
      </x:c>
      <x:c r="N587" s="112" t="str">
        <x:v>THÙNG</x:v>
      </x:c>
      <x:c r="O587" s="112" t="n">
        <x:v>12</x:v>
      </x:c>
      <x:c r="P587" s="112" t="str">
        <x:v>1350 g / CHAI</x:v>
      </x:c>
      <x:c r="Q587" s="112" t="str">
        <x:v>12 CHAI / THÙNG</x:v>
      </x:c>
      <x:c r="R587" s="112" t="n">
        <x:v>1320</x:v>
      </x:c>
      <x:c r="S587" s="113" t="n">
        <x:v>1321</x:v>
      </x:c>
    </x:row>
    <x:row r="588">
      <x:c r="A588" s="111" t="n">
        <x:v>588</x:v>
      </x:c>
      <x:c r="B588" s="112" t="str">
        <x:v>BERINO DÂU</x:v>
      </x:c>
      <x:c r="C588" s="112" t="str">
        <x:v>BERDAU</x:v>
      </x:c>
      <x:c r="D588" s="112" t="str">
        <x:v>BERDAUT</x:v>
      </x:c>
      <x:c r="E588" s="120" t="n">
        <x:v>89000</x:v>
      </x:c>
      <x:c r="F588" s="120" t="n">
        <x:v>89000</x:v>
      </x:c>
      <x:c r="G588" s="120" t="n">
        <x:v>89000</x:v>
      </x:c>
      <x:c r="H588" s="112" t="str">
        <x:v>GIỮ NGUYÊN - ĐÃ KHỚP</x:v>
      </x:c>
      <x:c r="I588" s="112" t="n">
        <x:v>1350</x:v>
      </x:c>
      <x:c r="J588" s="112" t="str">
        <x:v>g</x:v>
      </x:c>
      <x:c r="K588" s="112" t="str">
        <x:v>CHAI</x:v>
      </x:c>
      <x:c r="L588" s="112" t="n">
        <x:v>17000</x:v>
      </x:c>
      <x:c r="M588" s="112" t="str">
        <x:v>g</x:v>
      </x:c>
      <x:c r="N588" s="112" t="str">
        <x:v>THÙNG</x:v>
      </x:c>
      <x:c r="O588" s="112" t="n">
        <x:v>12</x:v>
      </x:c>
      <x:c r="P588" s="112" t="str">
        <x:v>1350 g / CHAI</x:v>
      </x:c>
      <x:c r="Q588" s="112" t="str">
        <x:v>12 CHAI / THÙNG</x:v>
      </x:c>
      <x:c r="R588" s="112" t="n">
        <x:v>1322</x:v>
      </x:c>
      <x:c r="S588" s="113" t="n">
        <x:v>1323</x:v>
      </x:c>
    </x:row>
    <x:row r="589">
      <x:c r="A589" s="111" t="n">
        <x:v>589</x:v>
      </x:c>
      <x:c r="B589" s="112" t="str">
        <x:v>BERINO CHANH DÂY</x:v>
      </x:c>
      <x:c r="C589" s="112" t="str">
        <x:v>BERCDA</x:v>
      </x:c>
      <x:c r="D589" s="112" t="str">
        <x:v>BERCDAT</x:v>
      </x:c>
      <x:c r="E589" s="120" t="n">
        <x:v>102000</x:v>
      </x:c>
      <x:c r="F589" s="120" t="n">
        <x:v>102000</x:v>
      </x:c>
      <x:c r="G589" s="120" t="n">
        <x:v>102000</x:v>
      </x:c>
      <x:c r="H589" s="112" t="str">
        <x:v>GIỮ NGUYÊN - ĐÃ KHỚP</x:v>
      </x:c>
      <x:c r="I589" s="112" t="n">
        <x:v>1350</x:v>
      </x:c>
      <x:c r="J589" s="112" t="str">
        <x:v>g</x:v>
      </x:c>
      <x:c r="K589" s="112" t="str">
        <x:v>CHAI</x:v>
      </x:c>
      <x:c r="L589" s="112" t="n">
        <x:v>17000</x:v>
      </x:c>
      <x:c r="M589" s="112" t="str">
        <x:v>g</x:v>
      </x:c>
      <x:c r="N589" s="112" t="str">
        <x:v>THÙNG</x:v>
      </x:c>
      <x:c r="O589" s="112" t="n">
        <x:v>12</x:v>
      </x:c>
      <x:c r="P589" s="112" t="str">
        <x:v>1350 g / CHAI</x:v>
      </x:c>
      <x:c r="Q589" s="112" t="str">
        <x:v>12 CHAI / THÙNG</x:v>
      </x:c>
      <x:c r="R589" s="112" t="n">
        <x:v>1324</x:v>
      </x:c>
      <x:c r="S589" s="113" t="n">
        <x:v>1325</x:v>
      </x:c>
    </x:row>
    <x:row r="590">
      <x:c r="A590" s="111" t="n">
        <x:v>590</x:v>
      </x:c>
      <x:c r="B590" s="112" t="str">
        <x:v>BAO CHỮ T</x:v>
      </x:c>
      <x:c r="C590" s="112" t="str">
        <x:v>BAOCHT</x:v>
      </x:c>
      <x:c r="D590" s="112" t="str">
        <x:v>BAOCHTT</x:v>
      </x:c>
      <x:c r="E590" s="120" t="n">
        <x:v>58000</x:v>
      </x:c>
      <x:c r="F590" s="120" t="n">
        <x:v>52000</x:v>
      </x:c>
      <x:c r="G590" s="120" t="n">
        <x:v>52000</x:v>
      </x:c>
      <x:c r="H590" s="112" t="str">
        <x:v>CẬP NHẬT GIÁ</x:v>
      </x:c>
      <x:c r="I590" s="112" t="n">
        <x:v>0</x:v>
      </x:c>
      <x:c r="J590" s="112" t="str">
        <x:v>g</x:v>
      </x:c>
      <x:c r="K590" s="112" t="str">
        <x:v>KG</x:v>
      </x:c>
      <x:c r="L590" s="112" t="n">
        <x:v>0</x:v>
      </x:c>
      <x:c r="M590" s="112" t="str">
        <x:v>g</x:v>
      </x:c>
      <x:c r="N590" s="112" t="str">
        <x:v>BAO</x:v>
      </x:c>
      <x:c r="O590" s="112" t="n">
        <x:v>30</x:v>
      </x:c>
      <x:c r="P590" s="112" t="str">
        <x:v>0 g / KG</x:v>
      </x:c>
      <x:c r="Q590" s="112" t="str">
        <x:v>30 KG / BAO</x:v>
      </x:c>
      <x:c r="R590" s="112" t="n">
        <x:v>1328</x:v>
      </x:c>
      <x:c r="S590" s="113" t="n">
        <x:v>1329</x:v>
      </x:c>
    </x:row>
    <x:row r="591">
      <x:c r="A591" s="111" t="n">
        <x:v>591</x:v>
      </x:c>
      <x:c r="B591" s="112" t="str">
        <x:v>BAO 2 LY NGANG</x:v>
      </x:c>
      <x:c r="C591" s="112" t="str">
        <x:v>BAO2LN</x:v>
      </x:c>
      <x:c r="D591" s="112" t="str">
        <x:v>BAO2LNT</x:v>
      </x:c>
      <x:c r="E591" s="120"/>
      <x:c r="F591" s="120" t="n">
        <x:v>49000</x:v>
      </x:c>
      <x:c r="G591" s="120" t="n">
        <x:v>49000</x:v>
      </x:c>
      <x:c r="H591" s="112" t="str">
        <x:v>BỔ SUNG GIÁ</x:v>
      </x:c>
      <x:c r="I591" s="112" t="n">
        <x:v>0</x:v>
      </x:c>
      <x:c r="J591" s="112" t="str">
        <x:v>g</x:v>
      </x:c>
      <x:c r="K591" s="112" t="str">
        <x:v>KG</x:v>
      </x:c>
      <x:c r="L591" s="112" t="n">
        <x:v>0</x:v>
      </x:c>
      <x:c r="M591" s="112" t="str">
        <x:v>g</x:v>
      </x:c>
      <x:c r="N591" s="112" t="str">
        <x:v>BAO</x:v>
      </x:c>
      <x:c r="O591" s="112" t="n">
        <x:v>30</x:v>
      </x:c>
      <x:c r="P591" s="112" t="str">
        <x:v>0 g / KG</x:v>
      </x:c>
      <x:c r="Q591" s="112" t="str">
        <x:v>30 KG / BAO</x:v>
      </x:c>
      <x:c r="R591" s="112" t="n">
        <x:v>1332</x:v>
      </x:c>
      <x:c r="S591" s="113" t="n">
        <x:v>1333</x:v>
      </x:c>
    </x:row>
    <x:row r="592">
      <x:c r="A592" s="111" t="n">
        <x:v>592</x:v>
      </x:c>
      <x:c r="B592" s="112" t="str">
        <x:v>BAO 1 LY NGANG</x:v>
      </x:c>
      <x:c r="C592" s="112" t="str">
        <x:v>BAO1LN</x:v>
      </x:c>
      <x:c r="D592" s="112" t="str">
        <x:v>BAO1LNT</x:v>
      </x:c>
      <x:c r="E592" s="120"/>
      <x:c r="F592" s="120" t="n">
        <x:v>49000</x:v>
      </x:c>
      <x:c r="G592" s="120" t="n">
        <x:v>49000</x:v>
      </x:c>
      <x:c r="H592" s="112" t="str">
        <x:v>BỔ SUNG GIÁ</x:v>
      </x:c>
      <x:c r="I592" s="112" t="n">
        <x:v>0</x:v>
      </x:c>
      <x:c r="J592" s="112" t="str">
        <x:v>g</x:v>
      </x:c>
      <x:c r="K592" s="112" t="str">
        <x:v>KG</x:v>
      </x:c>
      <x:c r="L592" s="112" t="n">
        <x:v>0</x:v>
      </x:c>
      <x:c r="M592" s="112" t="str">
        <x:v>g</x:v>
      </x:c>
      <x:c r="N592" s="112" t="str">
        <x:v>BAO</x:v>
      </x:c>
      <x:c r="O592" s="112" t="n">
        <x:v>30</x:v>
      </x:c>
      <x:c r="P592" s="112" t="str">
        <x:v>0 g / KG</x:v>
      </x:c>
      <x:c r="Q592" s="112" t="str">
        <x:v>30 KG / BAO</x:v>
      </x:c>
      <x:c r="R592" s="112" t="n">
        <x:v>1336</x:v>
      </x:c>
      <x:c r="S592" s="113" t="n">
        <x:v>1337</x:v>
      </x:c>
    </x:row>
    <x:row r="593">
      <x:c r="A593" s="111" t="n">
        <x:v>593</x:v>
      </x:c>
      <x:c r="B593" s="112" t="str">
        <x:v>BÁNH TRÁNG NƯỚNG VÀNG</x:v>
      </x:c>
      <x:c r="C593" s="112" t="str">
        <x:v>BTNVAG</x:v>
      </x:c>
      <x:c r="D593" s="112" t="str">
        <x:v>BTNVAGT</x:v>
      </x:c>
      <x:c r="E593" s="120" t="n">
        <x:v>45000</x:v>
      </x:c>
      <x:c r="F593" s="120" t="n">
        <x:v>45000</x:v>
      </x:c>
      <x:c r="G593" s="120" t="n">
        <x:v>45000</x:v>
      </x:c>
      <x:c r="H593" s="112" t="str">
        <x:v>GIỮ NGUYÊN - ĐÃ KHỚP</x:v>
      </x:c>
      <x:c r="I593" s="112" t="n">
        <x:v>1000</x:v>
      </x:c>
      <x:c r="J593" s="112" t="str">
        <x:v>g</x:v>
      </x:c>
      <x:c r="K593" s="112" t="str">
        <x:v>KG</x:v>
      </x:c>
      <x:c r="L593" s="112" t="n">
        <x:v>8000</x:v>
      </x:c>
      <x:c r="M593" s="112" t="str">
        <x:v>g</x:v>
      </x:c>
      <x:c r="N593" s="112" t="str">
        <x:v>CÂY</x:v>
      </x:c>
      <x:c r="O593" s="112" t="n">
        <x:v>8</x:v>
      </x:c>
      <x:c r="P593" s="112" t="str">
        <x:v>1000 g / KG</x:v>
      </x:c>
      <x:c r="Q593" s="112" t="str">
        <x:v>8 KG / CÂY</x:v>
      </x:c>
      <x:c r="R593" s="112" t="n">
        <x:v>1339</x:v>
      </x:c>
      <x:c r="S593" s="113" t="n">
        <x:v>1340</x:v>
      </x:c>
    </x:row>
    <x:row r="594">
      <x:c r="A594" s="111" t="n">
        <x:v>594</x:v>
      </x:c>
      <x:c r="B594" s="112" t="str">
        <x:v>BÁNH TRÁNG CẮT NGON</x:v>
      </x:c>
      <x:c r="C594" s="112" t="str">
        <x:v>BTRCAT</x:v>
      </x:c>
      <x:c r="D594" s="112" t="str">
        <x:v>BTRCATT</x:v>
      </x:c>
      <x:c r="E594" s="120" t="n">
        <x:v>110000</x:v>
      </x:c>
      <x:c r="F594" s="120" t="n">
        <x:v>110000</x:v>
      </x:c>
      <x:c r="G594" s="120" t="n">
        <x:v>110000</x:v>
      </x:c>
      <x:c r="H594" s="112" t="str">
        <x:v>GIỮ NGUYÊN - ĐÃ KHỚP</x:v>
      </x:c>
      <x:c r="I594" s="112" t="n">
        <x:v>5000</x:v>
      </x:c>
      <x:c r="J594" s="112" t="str">
        <x:v>g</x:v>
      </x:c>
      <x:c r="K594" s="112" t="str">
        <x:v>TÚI 5KG</x:v>
      </x:c>
      <x:c r="L594" s="112" t="n">
        <x:v>8000</x:v>
      </x:c>
      <x:c r="M594" s="112" t="str">
        <x:v>g</x:v>
      </x:c>
      <x:c r="N594" s="112" t="str">
        <x:v>BAO</x:v>
      </x:c>
      <x:c r="O594" s="112" t="n">
        <x:v>8</x:v>
      </x:c>
      <x:c r="P594" s="112" t="str">
        <x:v>5000 g / TÚI 5KG</x:v>
      </x:c>
      <x:c r="Q594" s="112" t="str">
        <x:v>8 TÚI 5KG / BAO</x:v>
      </x:c>
      <x:c r="R594" s="112" t="n">
        <x:v>1341</x:v>
      </x:c>
      <x:c r="S594" s="113" t="n">
        <x:v>1342</x:v>
      </x:c>
    </x:row>
    <x:row r="595">
      <x:c r="A595" s="111" t="n">
        <x:v>595</x:v>
      </x:c>
      <x:c r="B595" s="112" t="str">
        <x:v>BÁNH TRÁNG CAM</x:v>
      </x:c>
      <x:c r="C595" s="112" t="str">
        <x:v>BTRCAM</x:v>
      </x:c>
      <x:c r="D595" s="112" t="str">
        <x:v>BTRCAMT</x:v>
      </x:c>
      <x:c r="E595" s="120"/>
      <x:c r="F595" s="120" t="n">
        <x:v>45000</x:v>
      </x:c>
      <x:c r="G595" s="120" t="n">
        <x:v>45000</x:v>
      </x:c>
      <x:c r="H595" s="112" t="str">
        <x:v>BỔ SUNG GIÁ</x:v>
      </x:c>
      <x:c r="I595" s="112" t="n">
        <x:v>1000</x:v>
      </x:c>
      <x:c r="J595" s="112" t="str">
        <x:v>g</x:v>
      </x:c>
      <x:c r="K595" s="112" t="str">
        <x:v>KG</x:v>
      </x:c>
      <x:c r="L595" s="112" t="n">
        <x:v>6000</x:v>
      </x:c>
      <x:c r="M595" s="112" t="str">
        <x:v>g</x:v>
      </x:c>
      <x:c r="N595" s="112" t="str">
        <x:v>CÂY</x:v>
      </x:c>
      <x:c r="O595" s="112" t="n">
        <x:v>6</x:v>
      </x:c>
      <x:c r="P595" s="112" t="str">
        <x:v>1000 g / KG</x:v>
      </x:c>
      <x:c r="Q595" s="112" t="str">
        <x:v>6 KG / CÂY</x:v>
      </x:c>
      <x:c r="R595" s="112" t="n">
        <x:v>1343</x:v>
      </x:c>
      <x:c r="S595" s="113" t="n">
        <x:v>1344</x:v>
      </x:c>
    </x:row>
    <x:row r="596">
      <x:c r="A596" s="111" t="n">
        <x:v>596</x:v>
      </x:c>
      <x:c r="B596" s="112" t="str">
        <x:v>GTP BẠC HÀ</x:v>
      </x:c>
      <x:c r="C596" s="112" t="str">
        <x:v>GTPBHA</x:v>
      </x:c>
      <x:c r="D596" s="112" t="str">
        <x:v>GTPBHAT</x:v>
      </x:c>
      <x:c r="E596" s="120" t="n">
        <x:v>140000</x:v>
      </x:c>
      <x:c r="F596" s="120" t="n">
        <x:v>140000</x:v>
      </x:c>
      <x:c r="G596" s="120" t="n">
        <x:v>140000</x:v>
      </x:c>
      <x:c r="H596" s="112" t="str">
        <x:v>GIỮ NGUYÊN - ĐÃ KHỚP</x:v>
      </x:c>
      <x:c r="I596" s="112" t="n">
        <x:v>2550</x:v>
      </x:c>
      <x:c r="J596" s="112" t="str">
        <x:v>g</x:v>
      </x:c>
      <x:c r="K596" s="112" t="str">
        <x:v>BÌNH</x:v>
      </x:c>
      <x:c r="L596" s="112" t="n">
        <x:v>16000</x:v>
      </x:c>
      <x:c r="M596" s="112" t="str">
        <x:v>g</x:v>
      </x:c>
      <x:c r="N596" s="112" t="str">
        <x:v>THÙNG</x:v>
      </x:c>
      <x:c r="O596" s="112" t="n">
        <x:v>6</x:v>
      </x:c>
      <x:c r="P596" s="112" t="str">
        <x:v>2550 g / BÌNH</x:v>
      </x:c>
      <x:c r="Q596" s="112" t="str">
        <x:v>6 BÌNH / THÙNG</x:v>
      </x:c>
      <x:c r="R596" s="112" t="n">
        <x:v>1348</x:v>
      </x:c>
      <x:c r="S596" s="113" t="n">
        <x:v>1349</x:v>
      </x:c>
    </x:row>
    <x:row r="597">
      <x:c r="A597" s="111" t="n">
        <x:v>597</x:v>
      </x:c>
      <x:c r="B597" s="112" t="str">
        <x:v>ATISO WONDERFUL</x:v>
      </x:c>
      <x:c r="C597" s="112" t="str">
        <x:v>ATSWDF</x:v>
      </x:c>
      <x:c r="D597" s="112" t="str">
        <x:v>ATSWDFT</x:v>
      </x:c>
      <x:c r="E597" s="120" t="n">
        <x:v>75000</x:v>
      </x:c>
      <x:c r="F597" s="120" t="n">
        <x:v>75000</x:v>
      </x:c>
      <x:c r="G597" s="120" t="n">
        <x:v>75000</x:v>
      </x:c>
      <x:c r="H597" s="112" t="str">
        <x:v>GIỮ NGUYÊN - ĐÃ KHỚP</x:v>
      </x:c>
      <x:c r="I597" s="112" t="n">
        <x:v>0</x:v>
      </x:c>
      <x:c r="J597" s="112" t="str">
        <x:v>g</x:v>
      </x:c>
      <x:c r="K597" s="112" t="str">
        <x:v>LON</x:v>
      </x:c>
      <x:c r="L597" s="112" t="n">
        <x:v>0</x:v>
      </x:c>
      <x:c r="M597" s="112" t="str">
        <x:v>g</x:v>
      </x:c>
      <x:c r="N597" s="112" t="str">
        <x:v>THÙNG</x:v>
      </x:c>
      <x:c r="O597" s="112" t="n">
        <x:v>12</x:v>
      </x:c>
      <x:c r="P597" s="112" t="str">
        <x:v>0 g / LON</x:v>
      </x:c>
      <x:c r="Q597" s="112" t="str">
        <x:v>12 LON / THÙNG</x:v>
      </x:c>
      <x:c r="R597" s="112" t="n">
        <x:v>1350</x:v>
      </x:c>
      <x:c r="S597" s="113" t="n">
        <x:v>1351</x:v>
      </x:c>
    </x:row>
    <x:row r="598">
      <x:c r="A598" s="111" t="n">
        <x:v>598</x:v>
      </x:c>
      <x:c r="B598" s="112" t="str">
        <x:v>ANCHOR</x:v>
      </x:c>
      <x:c r="C598" s="112" t="str">
        <x:v>ANCHOR</x:v>
      </x:c>
      <x:c r="D598" s="112" t="str">
        <x:v>ANCHORT</x:v>
      </x:c>
      <x:c r="E598" s="120"/>
      <x:c r="F598" s="120" t="n">
        <x:v>165000</x:v>
      </x:c>
      <x:c r="G598" s="120" t="n">
        <x:v>165000</x:v>
      </x:c>
      <x:c r="H598" s="112" t="str">
        <x:v>BỔ SUNG GIÁ</x:v>
      </x:c>
      <x:c r="I598" s="112" t="n">
        <x:v>0</x:v>
      </x:c>
      <x:c r="J598" s="112" t="str">
        <x:v>g</x:v>
      </x:c>
      <x:c r="K598" s="112" t="str">
        <x:v>HỘP</x:v>
      </x:c>
      <x:c r="L598" s="112" t="n">
        <x:v>0</x:v>
      </x:c>
      <x:c r="M598" s="112" t="str">
        <x:v>g</x:v>
      </x:c>
      <x:c r="N598" s="112" t="str">
        <x:v>THÙNG</x:v>
      </x:c>
      <x:c r="O598" s="112" t="n">
        <x:v>12</x:v>
      </x:c>
      <x:c r="P598" s="112" t="str">
        <x:v>0 g / HỘP</x:v>
      </x:c>
      <x:c r="Q598" s="112" t="str">
        <x:v>12 HỘP / THÙNG</x:v>
      </x:c>
      <x:c r="R598" s="112" t="n">
        <x:v>1352</x:v>
      </x:c>
      <x:c r="S598" s="113" t="n">
        <x:v>1353</x:v>
      </x:c>
    </x:row>
    <x:row r="599">
      <x:c r="A599" s="111" t="n">
        <x:v>599</x:v>
      </x:c>
      <x:c r="B599" s="112" t="str">
        <x:v>3Q ZION TRẮNG</x:v>
      </x:c>
      <x:c r="C599" s="112" t="str">
        <x:v>3QZITR</x:v>
      </x:c>
      <x:c r="D599" s="112" t="str">
        <x:v>3QZITRT</x:v>
      </x:c>
      <x:c r="E599" s="120" t="n">
        <x:v>50000</x:v>
      </x:c>
      <x:c r="F599" s="120" t="n">
        <x:v>50000</x:v>
      </x:c>
      <x:c r="G599" s="120" t="n">
        <x:v>50000</x:v>
      </x:c>
      <x:c r="H599" s="112" t="str">
        <x:v>GIỮ NGUYÊN - ĐÃ KHỚP</x:v>
      </x:c>
      <x:c r="I599" s="112" t="n">
        <x:v>2000</x:v>
      </x:c>
      <x:c r="J599" s="112" t="str">
        <x:v>g</x:v>
      </x:c>
      <x:c r="K599" s="112" t="str">
        <x:v>GÓI</x:v>
      </x:c>
      <x:c r="L599" s="112" t="n">
        <x:v>13000</x:v>
      </x:c>
      <x:c r="M599" s="112" t="str">
        <x:v>g</x:v>
      </x:c>
      <x:c r="N599" s="112" t="str">
        <x:v>THÙNG</x:v>
      </x:c>
      <x:c r="O599" s="112" t="n">
        <x:v>6</x:v>
      </x:c>
      <x:c r="P599" s="112" t="str">
        <x:v>2000 g / GÓI</x:v>
      </x:c>
      <x:c r="Q599" s="112" t="str">
        <x:v>6 GÓI / THÙNG</x:v>
      </x:c>
      <x:c r="R599" s="112" t="n">
        <x:v>1354</x:v>
      </x:c>
      <x:c r="S599" s="113" t="n">
        <x:v>1355</x:v>
      </x:c>
    </x:row>
    <x:row r="600">
      <x:c r="A600" s="111" t="n">
        <x:v>600</x:v>
      </x:c>
      <x:c r="B600" s="112" t="str">
        <x:v>3Q SEA TRẮNG</x:v>
      </x:c>
      <x:c r="C600" s="112" t="str">
        <x:v>3QSEAT</x:v>
      </x:c>
      <x:c r="D600" s="112" t="str">
        <x:v>3QSEATT</x:v>
      </x:c>
      <x:c r="E600" s="120" t="n">
        <x:v>48000</x:v>
      </x:c>
      <x:c r="F600" s="120" t="n">
        <x:v>48000</x:v>
      </x:c>
      <x:c r="G600" s="120" t="n">
        <x:v>48000</x:v>
      </x:c>
      <x:c r="H600" s="112" t="str">
        <x:v>GIỮ NGUYÊN - ĐÃ KHỚP</x:v>
      </x:c>
      <x:c r="I600" s="112" t="n">
        <x:v>0</x:v>
      </x:c>
      <x:c r="J600" s="112" t="str">
        <x:v>g</x:v>
      </x:c>
      <x:c r="K600" s="112" t="str">
        <x:v>GÓI</x:v>
      </x:c>
      <x:c r="L600" s="112" t="n">
        <x:v>13000</x:v>
      </x:c>
      <x:c r="M600" s="112" t="str">
        <x:v>g</x:v>
      </x:c>
      <x:c r="N600" s="112" t="str">
        <x:v>THÙNG</x:v>
      </x:c>
      <x:c r="O600" s="112" t="n">
        <x:v>6</x:v>
      </x:c>
      <x:c r="P600" s="112" t="str">
        <x:v>0 g / GÓI</x:v>
      </x:c>
      <x:c r="Q600" s="112" t="str">
        <x:v>6 GÓI / THÙNG</x:v>
      </x:c>
      <x:c r="R600" s="112" t="n">
        <x:v>1356</x:v>
      </x:c>
      <x:c r="S600" s="113" t="n">
        <x:v>1357</x:v>
      </x:c>
    </x:row>
    <x:row r="601">
      <x:c r="A601" s="111" t="n">
        <x:v>601</x:v>
      </x:c>
      <x:c r="B601" s="112" t="str">
        <x:v>3Q SEA ĐEN</x:v>
      </x:c>
      <x:c r="C601" s="112" t="str">
        <x:v>3QSEAD</x:v>
      </x:c>
      <x:c r="D601" s="112" t="str">
        <x:v>3QSEADT</x:v>
      </x:c>
      <x:c r="E601" s="120" t="n">
        <x:v>50000</x:v>
      </x:c>
      <x:c r="F601" s="120" t="n">
        <x:v>50000</x:v>
      </x:c>
      <x:c r="G601" s="120" t="n">
        <x:v>50000</x:v>
      </x:c>
      <x:c r="H601" s="112" t="str">
        <x:v>GIỮ NGUYÊN - ĐÃ KHỚP</x:v>
      </x:c>
      <x:c r="I601" s="112" t="n">
        <x:v>0</x:v>
      </x:c>
      <x:c r="J601" s="112" t="str">
        <x:v>g</x:v>
      </x:c>
      <x:c r="K601" s="112" t="str">
        <x:v>GÓI</x:v>
      </x:c>
      <x:c r="L601" s="112" t="n">
        <x:v>13000</x:v>
      </x:c>
      <x:c r="M601" s="112" t="str">
        <x:v>g</x:v>
      </x:c>
      <x:c r="N601" s="112" t="str">
        <x:v>THÙNG</x:v>
      </x:c>
      <x:c r="O601" s="112" t="n">
        <x:v>6</x:v>
      </x:c>
      <x:c r="P601" s="112" t="str">
        <x:v>0 g / GÓI</x:v>
      </x:c>
      <x:c r="Q601" s="112" t="str">
        <x:v>6 GÓI / THÙNG</x:v>
      </x:c>
      <x:c r="R601" s="112" t="n">
        <x:v>1358</x:v>
      </x:c>
      <x:c r="S601" s="113" t="n">
        <x:v>1359</x:v>
      </x:c>
    </x:row>
    <x:row r="602">
      <x:c r="A602" s="111" t="n">
        <x:v>602</x:v>
      </x:c>
      <x:c r="B602" s="112" t="str">
        <x:v>3Q OK TRẮNG</x:v>
      </x:c>
      <x:c r="C602" s="112" t="str">
        <x:v>3QOKTR</x:v>
      </x:c>
      <x:c r="D602" s="112" t="str">
        <x:v>3QOKTRT</x:v>
      </x:c>
      <x:c r="E602" s="120" t="n">
        <x:v>55000</x:v>
      </x:c>
      <x:c r="F602" s="120" t="n">
        <x:v>55000</x:v>
      </x:c>
      <x:c r="G602" s="120" t="n">
        <x:v>55000</x:v>
      </x:c>
      <x:c r="H602" s="112" t="str">
        <x:v>GIỮ NGUYÊN - ĐÃ KHỚP</x:v>
      </x:c>
      <x:c r="I602" s="112" t="n">
        <x:v>0</x:v>
      </x:c>
      <x:c r="J602" s="112" t="str">
        <x:v>g</x:v>
      </x:c>
      <x:c r="K602" s="112" t="str">
        <x:v>GÓI</x:v>
      </x:c>
      <x:c r="L602" s="112" t="n">
        <x:v>13000</x:v>
      </x:c>
      <x:c r="M602" s="112" t="str">
        <x:v>g</x:v>
      </x:c>
      <x:c r="N602" s="112" t="str">
        <x:v>THÙNG</x:v>
      </x:c>
      <x:c r="O602" s="112" t="n">
        <x:v>6</x:v>
      </x:c>
      <x:c r="P602" s="112" t="str">
        <x:v>0 g / GÓI</x:v>
      </x:c>
      <x:c r="Q602" s="112" t="str">
        <x:v>6 GÓI / THÙNG</x:v>
      </x:c>
      <x:c r="R602" s="112" t="n">
        <x:v>1360</x:v>
      </x:c>
      <x:c r="S602" s="113" t="n">
        <x:v>1361</x:v>
      </x:c>
    </x:row>
    <x:row r="603">
      <x:c r="A603" s="111" t="n">
        <x:v>603</x:v>
      </x:c>
      <x:c r="B603" s="112" t="str">
        <x:v>3Q OK OLONG</x:v>
      </x:c>
      <x:c r="C603" s="112" t="str">
        <x:v>3QOKOL</x:v>
      </x:c>
      <x:c r="D603" s="112" t="str">
        <x:v>3QOKOLT</x:v>
      </x:c>
      <x:c r="E603" s="120" t="n">
        <x:v>63000</x:v>
      </x:c>
      <x:c r="F603" s="120" t="n">
        <x:v>63000</x:v>
      </x:c>
      <x:c r="G603" s="120" t="n">
        <x:v>63000</x:v>
      </x:c>
      <x:c r="H603" s="112" t="str">
        <x:v>GIỮ NGUYÊN - ĐÃ KHỚP</x:v>
      </x:c>
      <x:c r="I603" s="112" t="n">
        <x:v>2000</x:v>
      </x:c>
      <x:c r="J603" s="112" t="str">
        <x:v>g</x:v>
      </x:c>
      <x:c r="K603" s="112" t="str">
        <x:v>GÓI</x:v>
      </x:c>
      <x:c r="L603" s="112" t="n">
        <x:v>13000</x:v>
      </x:c>
      <x:c r="M603" s="112" t="str">
        <x:v>g</x:v>
      </x:c>
      <x:c r="N603" s="112" t="str">
        <x:v>THÙNG</x:v>
      </x:c>
      <x:c r="O603" s="112" t="n">
        <x:v>6</x:v>
      </x:c>
      <x:c r="P603" s="112" t="str">
        <x:v>2000 g / GÓI</x:v>
      </x:c>
      <x:c r="Q603" s="112" t="str">
        <x:v>6 GÓI / THÙNG</x:v>
      </x:c>
      <x:c r="R603" s="112" t="n">
        <x:v>1362</x:v>
      </x:c>
      <x:c r="S603" s="113" t="n">
        <x:v>1363</x:v>
      </x:c>
    </x:row>
    <x:row r="604">
      <x:c r="A604" s="111" t="n">
        <x:v>604</x:v>
      </x:c>
      <x:c r="B604" s="112" t="str">
        <x:v>3Q BIBI TRẮNG</x:v>
      </x:c>
      <x:c r="C604" s="112" t="str">
        <x:v>3QBBTR</x:v>
      </x:c>
      <x:c r="D604" s="112" t="str">
        <x:v>3QBBTRT</x:v>
      </x:c>
      <x:c r="E604" s="120" t="n">
        <x:v>50000</x:v>
      </x:c>
      <x:c r="F604" s="120" t="n">
        <x:v>50000</x:v>
      </x:c>
      <x:c r="G604" s="120" t="n">
        <x:v>50000</x:v>
      </x:c>
      <x:c r="H604" s="112" t="str">
        <x:v>GIỮ NGUYÊN - ĐÃ KHỚP</x:v>
      </x:c>
      <x:c r="I604" s="112" t="n">
        <x:v>0</x:v>
      </x:c>
      <x:c r="J604" s="112" t="str">
        <x:v>g</x:v>
      </x:c>
      <x:c r="K604" s="112" t="str">
        <x:v>GÓI</x:v>
      </x:c>
      <x:c r="L604" s="112" t="n">
        <x:v>13000</x:v>
      </x:c>
      <x:c r="M604" s="112" t="str">
        <x:v>g</x:v>
      </x:c>
      <x:c r="N604" s="112" t="str">
        <x:v>THÙNG</x:v>
      </x:c>
      <x:c r="O604" s="112" t="n">
        <x:v>6</x:v>
      </x:c>
      <x:c r="P604" s="112" t="str">
        <x:v>0 g / GÓI</x:v>
      </x:c>
      <x:c r="Q604" s="112" t="str">
        <x:v>6 GÓI / THÙNG</x:v>
      </x:c>
      <x:c r="R604" s="112" t="n">
        <x:v>1364</x:v>
      </x:c>
      <x:c r="S604" s="113" t="n">
        <x:v>1365</x:v>
      </x:c>
    </x:row>
    <x:row r="605">
      <x:c r="A605" s="111" t="n">
        <x:v>605</x:v>
      </x:c>
      <x:c r="B605" s="112" t="str">
        <x:v>3Q BIBI ĐEN</x:v>
      </x:c>
      <x:c r="C605" s="112" t="str">
        <x:v>3QBBDE</x:v>
      </x:c>
      <x:c r="D605" s="112" t="str">
        <x:v>3QBBDET</x:v>
      </x:c>
      <x:c r="E605" s="120" t="n">
        <x:v>52000</x:v>
      </x:c>
      <x:c r="F605" s="120" t="n">
        <x:v>52000</x:v>
      </x:c>
      <x:c r="G605" s="120" t="n">
        <x:v>52000</x:v>
      </x:c>
      <x:c r="H605" s="112" t="str">
        <x:v>GIỮ NGUYÊN - ĐÃ KHỚP</x:v>
      </x:c>
      <x:c r="I605" s="112" t="n">
        <x:v>0</x:v>
      </x:c>
      <x:c r="J605" s="112" t="str">
        <x:v>g</x:v>
      </x:c>
      <x:c r="K605" s="112" t="str">
        <x:v>GÓI</x:v>
      </x:c>
      <x:c r="L605" s="112" t="n">
        <x:v>13000</x:v>
      </x:c>
      <x:c r="M605" s="112" t="str">
        <x:v>g</x:v>
      </x:c>
      <x:c r="N605" s="112" t="str">
        <x:v>THÙNG</x:v>
      </x:c>
      <x:c r="O605" s="112" t="n">
        <x:v>6</x:v>
      </x:c>
      <x:c r="P605" s="112" t="str">
        <x:v>0 g / GÓI</x:v>
      </x:c>
      <x:c r="Q605" s="112" t="str">
        <x:v>6 GÓI / THÙNG</x:v>
      </x:c>
      <x:c r="R605" s="112" t="n">
        <x:v>1366</x:v>
      </x:c>
      <x:c r="S605" s="113" t="n">
        <x:v>1367</x:v>
      </x:c>
    </x:row>
    <x:row r="606">
      <x:c r="A606" s="111" t="n">
        <x:v>606</x:v>
      </x:c>
      <x:c r="B606" s="112" t="str">
        <x:v>3Q BIBI DÂU</x:v>
      </x:c>
      <x:c r="C606" s="112" t="str">
        <x:v>3QBBDA</x:v>
      </x:c>
      <x:c r="D606" s="112" t="str">
        <x:v>3QBBDAT</x:v>
      </x:c>
      <x:c r="E606" s="120"/>
      <x:c r="F606" s="120" t="n">
        <x:v>0</x:v>
      </x:c>
      <x:c r="G606" s="120"/>
      <x:c r="H606" s="112" t="str">
        <x:v>DS SP GIÁ 0 - VẪN THIẾU GIÁ</x:v>
      </x:c>
      <x:c r="I606" s="112" t="n">
        <x:v>0</x:v>
      </x:c>
      <x:c r="J606" s="112" t="str">
        <x:v>g</x:v>
      </x:c>
      <x:c r="K606" s="112" t="str">
        <x:v>GÓI</x:v>
      </x:c>
      <x:c r="L606" s="112" t="n">
        <x:v>13000</x:v>
      </x:c>
      <x:c r="M606" s="112" t="str">
        <x:v>g</x:v>
      </x:c>
      <x:c r="N606" s="112" t="str">
        <x:v>THÙNG</x:v>
      </x:c>
      <x:c r="O606" s="112" t="n">
        <x:v>6</x:v>
      </x:c>
      <x:c r="P606" s="112" t="str">
        <x:v>0 g / GÓI</x:v>
      </x:c>
      <x:c r="Q606" s="112" t="str">
        <x:v>6 GÓI / THÙNG</x:v>
      </x:c>
      <x:c r="R606" s="112" t="n">
        <x:v>1368</x:v>
      </x:c>
      <x:c r="S606" s="113" t="n">
        <x:v>1369</x:v>
      </x:c>
    </x:row>
    <x:row r="607">
      <x:c r="A607" s="114" t="n">
        <x:v>607</x:v>
      </x:c>
      <x:c r="B607" s="115" t="str">
        <x:v>3Q BIBI ĐÀO</x:v>
      </x:c>
      <x:c r="C607" s="115" t="str">
        <x:v>3QBBDO</x:v>
      </x:c>
      <x:c r="D607" s="115" t="str">
        <x:v>3QBBDOT</x:v>
      </x:c>
      <x:c r="E607" s="121"/>
      <x:c r="F607" s="121" t="n">
        <x:v>0</x:v>
      </x:c>
      <x:c r="G607" s="121"/>
      <x:c r="H607" s="115" t="str">
        <x:v>DS SP GIÁ 0 - VẪN THIẾU GIÁ</x:v>
      </x:c>
      <x:c r="I607" s="115" t="n">
        <x:v>0</x:v>
      </x:c>
      <x:c r="J607" s="115" t="str">
        <x:v>g</x:v>
      </x:c>
      <x:c r="K607" s="115" t="str">
        <x:v>GÓI</x:v>
      </x:c>
      <x:c r="L607" s="115" t="n">
        <x:v>13000</x:v>
      </x:c>
      <x:c r="M607" s="115" t="str">
        <x:v>g</x:v>
      </x:c>
      <x:c r="N607" s="115" t="str">
        <x:v>THÙNG</x:v>
      </x:c>
      <x:c r="O607" s="115" t="n">
        <x:v>6</x:v>
      </x:c>
      <x:c r="P607" s="115" t="str">
        <x:v>0 g / GÓI</x:v>
      </x:c>
      <x:c r="Q607" s="115" t="str">
        <x:v>6 GÓI / THÙNG</x:v>
      </x:c>
      <x:c r="R607" s="115" t="n">
        <x:v>1370</x:v>
      </x:c>
      <x:c r="S607" s="116" t="n">
        <x:v>1371</x:v>
      </x:c>
    </x:row>
  </x:sheetData>
  <x:conditionalFormatting sqref="H2:H607">
    <x:cfRule type="expression" dxfId="11" priority="1">
      <x:formula>H2="GIỮ NGUYÊN - ĐÃ KHỚP"</x:formula>
    </x:cfRule>
    <x:cfRule type="expression" dxfId="12" priority="2">
      <x:formula>H2="CẬP NHẬT GIÁ"</x:formula>
    </x:cfRule>
    <x:cfRule type="expression" dxfId="13" priority="3">
      <x:formula>H2="BỔ SUNG GIÁ"</x:formula>
    </x:cfRule>
    <x:cfRule type="expression" dxfId="14" priority="4">
      <x:formula>H2="DS SP GIÁ 0 - GIỮ GIÁ CŨ"</x:formula>
    </x:cfRule>
    <x:cfRule type="expression" dxfId="15" priority="5">
      <x:formula>H2="DS SP GIÁ 0 - VẪN THIẾU GIÁ"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c4a81101634cd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28" hidden="0" customWidth="1"/>
    <x:col min="9" max="9" width="15" hidden="0" customWidth="1"/>
    <x:col min="10" max="10" width="14" hidden="0" customWidth="1"/>
    <x:col min="11" max="11" width="16" hidden="0" customWidth="1"/>
    <x:col min="12" max="12" width="17" hidden="0" customWidth="1"/>
    <x:col min="13" max="13" width="16" hidden="0" customWidth="1"/>
    <x:col min="14" max="14" width="15" hidden="0" customWidth="1"/>
    <x:col min="15" max="15" width="18" hidden="0" customWidth="1"/>
    <x:col min="16" max="16" width="24" hidden="0" customWidth="1"/>
    <x:col min="17" max="17" width="26" hidden="0" customWidth="1"/>
    <x:col min="18" max="18" width="18" hidden="0" customWidth="1"/>
    <x:col min="19" max="19" width="22" hidden="0" customWidth="1"/>
  </x:cols>
  <x:sheetData>
    <x:row r="1">
      <x:c r="A1" s="89" t="str">
        <x:v>Dòng MASTER</x:v>
      </x:c>
      <x:c r="B1" s="89" t="str">
        <x:v>Tên sản phẩm chuẩn</x:v>
      </x:c>
      <x:c r="C1" s="89" t="str">
        <x:v>SKU đơn vị</x:v>
      </x:c>
      <x:c r="D1" s="89" t="str">
        <x:v>SKU quy đổi</x:v>
      </x:c>
      <x:c r="E1" s="89" t="str">
        <x:v>Giá trước cập nhật</x:v>
      </x:c>
      <x:c r="F1" s="89" t="str">
        <x:v>Giá lẻ DS sản phẩm</x:v>
      </x:c>
      <x:c r="G1" s="89" t="str">
        <x:v>Giá sau cập nhật</x:v>
      </x:c>
      <x:c r="H1" s="89" t="str">
        <x:v>Trạng thái cập nhật</x:v>
      </x:c>
      <x:c r="I1" s="89" t="str">
        <x:v>Khối lượng đơn vị</x:v>
      </x:c>
      <x:c r="J1" s="89" t="str">
        <x:v>ĐVT KL đơn vị</x:v>
      </x:c>
      <x:c r="K1" s="89" t="str">
        <x:v>ĐVT bán lẻ</x:v>
      </x:c>
      <x:c r="L1" s="89" t="str">
        <x:v>Khối lượng quy đổi</x:v>
      </x:c>
      <x:c r="M1" s="89" t="str">
        <x:v>ĐVT KL quy đổi</x:v>
      </x:c>
      <x:c r="N1" s="89" t="str">
        <x:v>ĐVT quy đổi</x:v>
      </x:c>
      <x:c r="O1" s="89" t="str">
        <x:v>SL quy đổi giữ nguyên</x:v>
      </x:c>
      <x:c r="P1" s="89" t="str">
        <x:v>Quy cách lẻ chuẩn</x:v>
      </x:c>
      <x:c r="Q1" s="89" t="str">
        <x:v>Quy cách quy đổi chuẩn</x:v>
      </x:c>
      <x:c r="R1" s="89" t="str">
        <x:v>Dòng DS SP SKU lẻ</x:v>
      </x:c>
      <x:c r="S1" s="89" t="str">
        <x:v>Dòng DS SP SKU quy đổi</x:v>
      </x:c>
    </x:row>
    <x:row r="2">
      <x:c r="A2" s="108" t="n">
        <x:v>2</x:v>
      </x:c>
      <x:c r="B2" s="109" t="str">
        <x:v>HẠT NỔ TRẮNG LOTUS</x:v>
      </x:c>
      <x:c r="C2" s="109" t="str">
        <x:v>NOTRLT</x:v>
      </x:c>
      <x:c r="D2" s="109" t="str">
        <x:v>NOTRLTT</x:v>
      </x:c>
      <x:c r="E2" s="119"/>
      <x:c r="F2" s="119" t="n">
        <x:v>0</x:v>
      </x:c>
      <x:c r="G2" s="119"/>
      <x:c r="H2" s="109" t="str">
        <x:v>DS SP GIÁ 0 - VẪN THIẾU GIÁ</x:v>
      </x:c>
      <x:c r="I2" s="109" t="n">
        <x:v>850</x:v>
      </x:c>
      <x:c r="J2" s="109" t="str">
        <x:v>g</x:v>
      </x:c>
      <x:c r="K2" s="109" t="str">
        <x:v>LON</x:v>
      </x:c>
      <x:c r="L2" s="109" t="n">
        <x:v>10200</x:v>
      </x:c>
      <x:c r="M2" s="109" t="str">
        <x:v>g</x:v>
      </x:c>
      <x:c r="N2" s="109" t="str">
        <x:v>THÙNG</x:v>
      </x:c>
      <x:c r="O2" s="109" t="n">
        <x:v>12</x:v>
      </x:c>
      <x:c r="P2" s="109" t="str">
        <x:v>850 g / LON</x:v>
      </x:c>
      <x:c r="Q2" s="109" t="str">
        <x:v>12 LON / THÙNG</x:v>
      </x:c>
      <x:c r="R2" s="109" t="n">
        <x:v>2</x:v>
      </x:c>
      <x:c r="S2" s="110" t="n">
        <x:v>3</x:v>
      </x:c>
    </x:row>
    <x:row r="3">
      <x:c r="A3" s="111" t="n">
        <x:v>3</x:v>
      </x:c>
      <x:c r="B3" s="112" t="str">
        <x:v>SIRO TRINH ĐÀO</x:v>
      </x:c>
      <x:c r="C3" s="112" t="str">
        <x:v>SRTRDO</x:v>
      </x:c>
      <x:c r="D3" s="112" t="str">
        <x:v>SRTRDOT</x:v>
      </x:c>
      <x:c r="E3" s="120"/>
      <x:c r="F3" s="120" t="n">
        <x:v>0</x:v>
      </x:c>
      <x:c r="G3" s="120"/>
      <x:c r="H3" s="112" t="str">
        <x:v>DS SP GIÁ 0 - VẪN THIẾU GIÁ</x:v>
      </x:c>
      <x:c r="I3" s="112" t="n">
        <x:v>1</x:v>
      </x:c>
      <x:c r="J3" s="112" t="str">
        <x:v>kg</x:v>
      </x:c>
      <x:c r="K3" s="112" t="str">
        <x:v>CHAI</x:v>
      </x:c>
      <x:c r="L3" s="112" t="n">
        <x:v>20</x:v>
      </x:c>
      <x:c r="M3" s="112" t="str">
        <x:v>kg</x:v>
      </x:c>
      <x:c r="N3" s="112" t="str">
        <x:v>THÙNG</x:v>
      </x:c>
      <x:c r="O3" s="112" t="n">
        <x:v>20</x:v>
      </x:c>
      <x:c r="P3" s="112" t="str">
        <x:v>1 kg / CHAI</x:v>
      </x:c>
      <x:c r="Q3" s="112" t="str">
        <x:v>20 CHAI / THÙNG</x:v>
      </x:c>
      <x:c r="R3" s="112" t="n">
        <x:v>37</x:v>
      </x:c>
      <x:c r="S3" s="113" t="n">
        <x:v>38</x:v>
      </x:c>
    </x:row>
    <x:row r="4">
      <x:c r="A4" s="111" t="n">
        <x:v>4</x:v>
      </x:c>
      <x:c r="B4" s="112" t="str">
        <x:v>TRÀ LÀI TAM MÃ</x:v>
      </x:c>
      <x:c r="C4" s="112" t="str">
        <x:v>TRLATM</x:v>
      </x:c>
      <x:c r="D4" s="112" t="str">
        <x:v>TRLATMT</x:v>
      </x:c>
      <x:c r="E4" s="120"/>
      <x:c r="F4" s="120" t="n">
        <x:v>0</x:v>
      </x:c>
      <x:c r="G4" s="120"/>
      <x:c r="H4" s="112" t="str">
        <x:v>DS SP GIÁ 0 - VẪN THIẾU GIÁ</x:v>
      </x:c>
      <x:c r="I4" s="112" t="n">
        <x:v>500</x:v>
      </x:c>
      <x:c r="J4" s="112" t="str">
        <x:v>g</x:v>
      </x:c>
      <x:c r="K4" s="112" t="str">
        <x:v>BỊCH</x:v>
      </x:c>
      <x:c r="L4" s="112" t="n">
        <x:v>25000</x:v>
      </x:c>
      <x:c r="M4" s="112" t="str">
        <x:v>g</x:v>
      </x:c>
      <x:c r="N4" s="112" t="str">
        <x:v>THÙNG</x:v>
      </x:c>
      <x:c r="O4" s="112" t="n">
        <x:v>50</x:v>
      </x:c>
      <x:c r="P4" s="112" t="str">
        <x:v>500 g / BỊCH</x:v>
      </x:c>
      <x:c r="Q4" s="112" t="str">
        <x:v>50 BỊCH / THÙNG</x:v>
      </x:c>
      <x:c r="R4" s="112" t="n">
        <x:v>120</x:v>
      </x:c>
      <x:c r="S4" s="113" t="n">
        <x:v>121</x:v>
      </x:c>
    </x:row>
    <x:row r="5">
      <x:c r="A5" s="111" t="n">
        <x:v>5</x:v>
      </x:c>
      <x:c r="B5" s="112" t="str">
        <x:v>TRÀ SÂM DỨA TAM MÃ</x:v>
      </x:c>
      <x:c r="C5" s="112" t="str">
        <x:v>TRSDTM</x:v>
      </x:c>
      <x:c r="D5" s="112" t="str">
        <x:v>TRSDTMT</x:v>
      </x:c>
      <x:c r="E5" s="120"/>
      <x:c r="F5" s="120" t="n">
        <x:v>0</x:v>
      </x:c>
      <x:c r="G5" s="120"/>
      <x:c r="H5" s="112" t="str">
        <x:v>DS SP GIÁ 0 - VẪN THIẾU GIÁ</x:v>
      </x:c>
      <x:c r="I5" s="112" t="n">
        <x:v>500</x:v>
      </x:c>
      <x:c r="J5" s="112" t="str">
        <x:v>g</x:v>
      </x:c>
      <x:c r="K5" s="112" t="str">
        <x:v>BỊCH</x:v>
      </x:c>
      <x:c r="L5" s="112" t="n">
        <x:v>25000</x:v>
      </x:c>
      <x:c r="M5" s="112" t="str">
        <x:v>g</x:v>
      </x:c>
      <x:c r="N5" s="112" t="str">
        <x:v>THÙNG</x:v>
      </x:c>
      <x:c r="O5" s="112" t="n">
        <x:v>50</x:v>
      </x:c>
      <x:c r="P5" s="112" t="str">
        <x:v>500 g / BỊCH</x:v>
      </x:c>
      <x:c r="Q5" s="112" t="str">
        <x:v>50 BỊCH / THÙNG</x:v>
      </x:c>
      <x:c r="R5" s="112" t="n">
        <x:v>6</x:v>
      </x:c>
      <x:c r="S5" s="113" t="n">
        <x:v>7</x:v>
      </x:c>
    </x:row>
    <x:row r="6">
      <x:c r="A6" s="111" t="n">
        <x:v>14</x:v>
      </x:c>
      <x:c r="B6" s="112" t="str">
        <x:v>HỒNG TRÀ GTP 3KG</x:v>
      </x:c>
      <x:c r="C6" s="112" t="str">
        <x:v>HTRGTP</x:v>
      </x:c>
      <x:c r="D6" s="112" t="str">
        <x:v>HTRGTPT</x:v>
      </x:c>
      <x:c r="E6" s="120"/>
      <x:c r="F6" s="120" t="n">
        <x:v>0</x:v>
      </x:c>
      <x:c r="G6" s="120"/>
      <x:c r="H6" s="112" t="str">
        <x:v>DS SP GIÁ 0 - VẪN THIẾU GIÁ</x:v>
      </x:c>
      <x:c r="I6" s="112" t="n">
        <x:v>3000</x:v>
      </x:c>
      <x:c r="J6" s="112" t="str">
        <x:v>g</x:v>
      </x:c>
      <x:c r="K6" s="112" t="str">
        <x:v>BỊCH</x:v>
      </x:c>
      <x:c r="L6" s="112" t="n">
        <x:v>24000</x:v>
      </x:c>
      <x:c r="M6" s="112" t="str">
        <x:v>g</x:v>
      </x:c>
      <x:c r="N6" s="112" t="str">
        <x:v>BAO</x:v>
      </x:c>
      <x:c r="O6" s="112" t="n">
        <x:v>8</x:v>
      </x:c>
      <x:c r="P6" s="112" t="str">
        <x:v>3000 g / BỊCH</x:v>
      </x:c>
      <x:c r="Q6" s="112" t="str">
        <x:v>8 BỊCH / BAO</x:v>
      </x:c>
      <x:c r="R6" s="112" t="n">
        <x:v>1003</x:v>
      </x:c>
      <x:c r="S6" s="113" t="n">
        <x:v>1004</x:v>
      </x:c>
    </x:row>
    <x:row r="7">
      <x:c r="A7" s="111" t="n">
        <x:v>18</x:v>
      </x:c>
      <x:c r="B7" s="112" t="str">
        <x:v>BỘT MILKFOAM NGUYÊN VỊ</x:v>
      </x:c>
      <x:c r="C7" s="112" t="str">
        <x:v>MFLVNV</x:v>
      </x:c>
      <x:c r="D7" s="112" t="str">
        <x:v>MFLVNVT</x:v>
      </x:c>
      <x:c r="E7" s="120"/>
      <x:c r="F7" s="120" t="n">
        <x:v>0</x:v>
      </x:c>
      <x:c r="G7" s="120"/>
      <x:c r="H7" s="112" t="str">
        <x:v>DS SP GIÁ 0 - VẪN THIẾU GIÁ</x:v>
      </x:c>
      <x:c r="I7" s="112" t="n">
        <x:v>500</x:v>
      </x:c>
      <x:c r="J7" s="112" t="str">
        <x:v>g</x:v>
      </x:c>
      <x:c r="K7" s="112" t="str">
        <x:v>BỊCH</x:v>
      </x:c>
      <x:c r="L7" s="112" t="n">
        <x:v>10000</x:v>
      </x:c>
      <x:c r="M7" s="112" t="str">
        <x:v>g</x:v>
      </x:c>
      <x:c r="N7" s="112" t="str">
        <x:v>THÙNG</x:v>
      </x:c>
      <x:c r="O7" s="112" t="n">
        <x:v>20</x:v>
      </x:c>
      <x:c r="P7" s="112" t="str">
        <x:v>500 g / BỊCH</x:v>
      </x:c>
      <x:c r="Q7" s="112" t="str">
        <x:v>20 BỊCH / THÙNG</x:v>
      </x:c>
      <x:c r="R7" s="112" t="n">
        <x:v>19</x:v>
      </x:c>
      <x:c r="S7" s="113" t="n">
        <x:v>20</x:v>
      </x:c>
    </x:row>
    <x:row r="8">
      <x:c r="A8" s="111" t="n">
        <x:v>25</x:v>
      </x:c>
      <x:c r="B8" s="112" t="str">
        <x:v>TRÀ OLONG KHÓI NOVIA</x:v>
      </x:c>
      <x:c r="C8" s="112" t="str">
        <x:v>PVN1253</x:v>
      </x:c>
      <x:c r="D8" s="112" t="str">
        <x:v>PVN1254</x:v>
      </x:c>
      <x:c r="E8" s="120"/>
      <x:c r="F8" s="120" t="n">
        <x:v>0</x:v>
      </x:c>
      <x:c r="G8" s="120"/>
      <x:c r="H8" s="112" t="str">
        <x:v>DS SP GIÁ 0 - VẪN THIẾU GIÁ</x:v>
      </x:c>
      <x:c r="I8" s="112" t="n">
        <x:v>0</x:v>
      </x:c>
      <x:c r="J8" s="112" t="str">
        <x:v>g</x:v>
      </x:c>
      <x:c r="K8" s="112" t="str">
        <x:v>BỊCH</x:v>
      </x:c>
      <x:c r="L8" s="112" t="n">
        <x:v>0</x:v>
      </x:c>
      <x:c r="M8" s="112" t="str">
        <x:v>g</x:v>
      </x:c>
      <x:c r="N8" s="112" t="str">
        <x:v>THÙNG</x:v>
      </x:c>
      <x:c r="O8" s="112" t="n">
        <x:v>20</x:v>
      </x:c>
      <x:c r="P8" s="112" t="str">
        <x:v>0 g / BỊCH</x:v>
      </x:c>
      <x:c r="Q8" s="112" t="str">
        <x:v>20 BỊCH / THÙNG</x:v>
      </x:c>
      <x:c r="R8" s="112" t="n">
        <x:v>30</x:v>
      </x:c>
      <x:c r="S8" s="113" t="n">
        <x:v>31</x:v>
      </x:c>
    </x:row>
    <x:row r="9">
      <x:c r="A9" s="111" t="n">
        <x:v>26</x:v>
      </x:c>
      <x:c r="B9" s="112" t="str">
        <x:v>TRÀ OLONG NƯỚNG NOVIA</x:v>
      </x:c>
      <x:c r="C9" s="112" t="str">
        <x:v>PVN1251</x:v>
      </x:c>
      <x:c r="D9" s="112" t="str">
        <x:v>PVN1252</x:v>
      </x:c>
      <x:c r="E9" s="120"/>
      <x:c r="F9" s="120" t="n">
        <x:v>0</x:v>
      </x:c>
      <x:c r="G9" s="120"/>
      <x:c r="H9" s="112" t="str">
        <x:v>DS SP GIÁ 0 - VẪN THIẾU GIÁ</x:v>
      </x:c>
      <x:c r="I9" s="112" t="n">
        <x:v>0</x:v>
      </x:c>
      <x:c r="J9" s="112" t="str">
        <x:v>g</x:v>
      </x:c>
      <x:c r="K9" s="112" t="str">
        <x:v>GÓI</x:v>
      </x:c>
      <x:c r="L9" s="112" t="n">
        <x:v>0</x:v>
      </x:c>
      <x:c r="M9" s="112" t="str">
        <x:v>g</x:v>
      </x:c>
      <x:c r="N9" s="112" t="str">
        <x:v>THÙNG</x:v>
      </x:c>
      <x:c r="O9" s="112" t="n">
        <x:v>20</x:v>
      </x:c>
      <x:c r="P9" s="112" t="str">
        <x:v>0 g / GÓI</x:v>
      </x:c>
      <x:c r="Q9" s="112" t="str">
        <x:v>20 GÓI / THÙNG</x:v>
      </x:c>
      <x:c r="R9" s="112" t="n">
        <x:v>32</x:v>
      </x:c>
      <x:c r="S9" s="113" t="n">
        <x:v>33</x:v>
      </x:c>
    </x:row>
    <x:row r="10">
      <x:c r="A10" s="111" t="n">
        <x:v>27</x:v>
      </x:c>
      <x:c r="B10" s="112" t="str">
        <x:v>BONE MILKY</x:v>
      </x:c>
      <x:c r="C10" s="112" t="str">
        <x:v>PVN1249</x:v>
      </x:c>
      <x:c r="D10" s="112" t="str">
        <x:v>PVN1250</x:v>
      </x:c>
      <x:c r="E10" s="120"/>
      <x:c r="F10" s="120" t="n">
        <x:v>0</x:v>
      </x:c>
      <x:c r="G10" s="120"/>
      <x:c r="H10" s="112" t="str">
        <x:v>DS SP GIÁ 0 - VẪN THIẾU GIÁ</x:v>
      </x:c>
      <x:c r="I10" s="112" t="n">
        <x:v>0</x:v>
      </x:c>
      <x:c r="J10" s="112" t="str">
        <x:v>g</x:v>
      </x:c>
      <x:c r="K10" s="112" t="str">
        <x:v>BỊCH</x:v>
      </x:c>
      <x:c r="L10" s="112" t="n">
        <x:v>0</x:v>
      </x:c>
      <x:c r="M10" s="112" t="str">
        <x:v>g</x:v>
      </x:c>
      <x:c r="N10" s="112" t="str">
        <x:v>THÙNG</x:v>
      </x:c>
      <x:c r="O10" s="112" t="n">
        <x:v>12</x:v>
      </x:c>
      <x:c r="P10" s="112" t="str">
        <x:v>0 g / BỊCH</x:v>
      </x:c>
      <x:c r="Q10" s="112" t="str">
        <x:v>12 BỊCH / THÙNG</x:v>
      </x:c>
      <x:c r="R10" s="112" t="n">
        <x:v>34</x:v>
      </x:c>
      <x:c r="S10" s="113" t="n">
        <x:v>35</x:v>
      </x:c>
    </x:row>
    <x:row r="11">
      <x:c r="A11" s="111" t="n">
        <x:v>28</x:v>
      </x:c>
      <x:c r="B11" s="112" t="str">
        <x:v>ĐÀO GOLDREEF</x:v>
      </x:c>
      <x:c r="C11" s="112" t="str">
        <x:v>DAOGRF</x:v>
      </x:c>
      <x:c r="D11" s="112" t="str">
        <x:v>DAOGRFT</x:v>
      </x:c>
      <x:c r="E11" s="120"/>
      <x:c r="F11" s="120" t="n">
        <x:v>0</x:v>
      </x:c>
      <x:c r="G11" s="120"/>
      <x:c r="H11" s="112" t="str">
        <x:v>DS SP GIÁ 0 - VẪN THIẾU GIÁ</x:v>
      </x:c>
      <x:c r="I11" s="112" t="n">
        <x:v>1</x:v>
      </x:c>
      <x:c r="J11" s="112" t="str">
        <x:v>kg</x:v>
      </x:c>
      <x:c r="K11" s="112" t="str">
        <x:v>LON</x:v>
      </x:c>
      <x:c r="L11" s="112" t="n">
        <x:v>12</x:v>
      </x:c>
      <x:c r="M11" s="112" t="str">
        <x:v>kg</x:v>
      </x:c>
      <x:c r="N11" s="112" t="str">
        <x:v>THÙNG</x:v>
      </x:c>
      <x:c r="O11" s="112" t="n">
        <x:v>12</x:v>
      </x:c>
      <x:c r="P11" s="112" t="str">
        <x:v>1 kg / LON</x:v>
      </x:c>
      <x:c r="Q11" s="112" t="str">
        <x:v>12 LON / THÙNG</x:v>
      </x:c>
      <x:c r="R11" s="112" t="n">
        <x:v>39</x:v>
      </x:c>
      <x:c r="S11" s="113" t="n">
        <x:v>40</x:v>
      </x:c>
    </x:row>
    <x:row r="12">
      <x:c r="A12" s="111" t="n">
        <x:v>29</x:v>
      </x:c>
      <x:c r="B12" s="112" t="str">
        <x:v>ĐẬM ĐẶC MÃNG CẦU</x:v>
      </x:c>
      <x:c r="C12" s="112" t="str">
        <x:v>DDGMCA</x:v>
      </x:c>
      <x:c r="D12" s="112" t="str">
        <x:v>DDGMCAT</x:v>
      </x:c>
      <x:c r="E12" s="120"/>
      <x:c r="F12" s="120" t="n">
        <x:v>0</x:v>
      </x:c>
      <x:c r="G12" s="120"/>
      <x:c r="H12" s="112" t="str">
        <x:v>DS SP GIÁ 0 - VẪN THIẾU GIÁ</x:v>
      </x:c>
      <x:c r="I12" s="112" t="n">
        <x:v>1.2</x:v>
      </x:c>
      <x:c r="J12" s="112" t="str">
        <x:v>kg</x:v>
      </x:c>
      <x:c r="K12" s="112" t="str">
        <x:v>CHAI</x:v>
      </x:c>
      <x:c r="L12" s="112" t="n">
        <x:v>16</x:v>
      </x:c>
      <x:c r="M12" s="112" t="str">
        <x:v>kg</x:v>
      </x:c>
      <x:c r="N12" s="112" t="str">
        <x:v>THÙNG</x:v>
      </x:c>
      <x:c r="O12" s="112" t="n">
        <x:v>12</x:v>
      </x:c>
      <x:c r="P12" s="112" t="str">
        <x:v>1.2 kg / CHAI</x:v>
      </x:c>
      <x:c r="Q12" s="112" t="str">
        <x:v>12 CHAI / THÙNG</x:v>
      </x:c>
      <x:c r="R12" s="112" t="n">
        <x:v>43</x:v>
      </x:c>
      <x:c r="S12" s="113" t="n">
        <x:v>44</x:v>
      </x:c>
    </x:row>
    <x:row r="13">
      <x:c r="A13" s="111" t="n">
        <x:v>32</x:v>
      </x:c>
      <x:c r="B13" s="112" t="str">
        <x:v>COZY HOÀ TAN BÍ ĐAO</x:v>
      </x:c>
      <x:c r="C13" s="112" t="str">
        <x:v>COHTBD</x:v>
      </x:c>
      <x:c r="D13" s="112" t="str">
        <x:v>COHTBDT</x:v>
      </x:c>
      <x:c r="E13" s="120" t="n">
        <x:v>36000</x:v>
      </x:c>
      <x:c r="F13" s="120" t="n">
        <x:v>0</x:v>
      </x:c>
      <x:c r="G13" s="120" t="n">
        <x:v>36000</x:v>
      </x:c>
      <x:c r="H13" s="112" t="str">
        <x:v>DS SP GIÁ 0 - GIỮ GIÁ CŨ</x:v>
      </x:c>
      <x:c r="I13" s="112" t="n">
        <x:v>0</x:v>
      </x:c>
      <x:c r="J13" s="112" t="str">
        <x:v>g</x:v>
      </x:c>
      <x:c r="K13" s="112" t="str">
        <x:v>HỘP</x:v>
      </x:c>
      <x:c r="L13" s="112" t="n">
        <x:v>10000</x:v>
      </x:c>
      <x:c r="M13" s="112" t="str">
        <x:v>g</x:v>
      </x:c>
      <x:c r="N13" s="112" t="str">
        <x:v>THÙNG</x:v>
      </x:c>
      <x:c r="O13" s="112" t="n">
        <x:v>30</x:v>
      </x:c>
      <x:c r="P13" s="112" t="str">
        <x:v>0 g / HỘP</x:v>
      </x:c>
      <x:c r="Q13" s="112" t="str">
        <x:v>30 HỘP / THÙNG</x:v>
      </x:c>
      <x:c r="R13" s="112" t="n">
        <x:v>49</x:v>
      </x:c>
      <x:c r="S13" s="113" t="n">
        <x:v>50</x:v>
      </x:c>
    </x:row>
    <x:row r="14">
      <x:c r="A14" s="111" t="n">
        <x:v>37</x:v>
      </x:c>
      <x:c r="B14" s="112" t="str">
        <x:v>BODU XOÀI</x:v>
      </x:c>
      <x:c r="C14" s="112" t="str">
        <x:v>BODUXO</x:v>
      </x:c>
      <x:c r="D14" s="112" t="str">
        <x:v>BODUXOT</x:v>
      </x:c>
      <x:c r="E14" s="120"/>
      <x:c r="F14" s="120" t="n">
        <x:v>0</x:v>
      </x:c>
      <x:c r="G14" s="120"/>
      <x:c r="H14" s="112" t="str">
        <x:v>DS SP GIÁ 0 - VẪN THIẾU GIÁ</x:v>
      </x:c>
      <x:c r="I14" s="112" t="n">
        <x:v>1400</x:v>
      </x:c>
      <x:c r="J14" s="112" t="str">
        <x:v>g</x:v>
      </x:c>
      <x:c r="K14" s="112" t="str">
        <x:v>HỦ</x:v>
      </x:c>
      <x:c r="L14" s="112" t="n">
        <x:v>17000</x:v>
      </x:c>
      <x:c r="M14" s="112" t="str">
        <x:v>g</x:v>
      </x:c>
      <x:c r="N14" s="112" t="str">
        <x:v>THÙNG</x:v>
      </x:c>
      <x:c r="O14" s="112" t="n">
        <x:v>12</x:v>
      </x:c>
      <x:c r="P14" s="112" t="str">
        <x:v>1400 g / HỦ</x:v>
      </x:c>
      <x:c r="Q14" s="112" t="str">
        <x:v>12 HỦ / THÙNG</x:v>
      </x:c>
      <x:c r="R14" s="112" t="n">
        <x:v>62</x:v>
      </x:c>
      <x:c r="S14" s="113" t="n">
        <x:v>63</x:v>
      </x:c>
    </x:row>
    <x:row r="15">
      <x:c r="A15" s="111" t="n">
        <x:v>38</x:v>
      </x:c>
      <x:c r="B15" s="112" t="str">
        <x:v>SIRO CASALANCA MÃNG CẦU</x:v>
      </x:c>
      <x:c r="C15" s="112" t="str">
        <x:v>CSAMCA</x:v>
      </x:c>
      <x:c r="D15" s="112" t="str">
        <x:v>CSAMCAT</x:v>
      </x:c>
      <x:c r="E15" s="120"/>
      <x:c r="F15" s="120" t="n">
        <x:v>0</x:v>
      </x:c>
      <x:c r="G15" s="120"/>
      <x:c r="H15" s="112" t="str">
        <x:v>DS SP GIÁ 0 - VẪN THIẾU GIÁ</x:v>
      </x:c>
      <x:c r="I15" s="112" t="n">
        <x:v>1200</x:v>
      </x:c>
      <x:c r="J15" s="112" t="str">
        <x:v>g</x:v>
      </x:c>
      <x:c r="K15" s="112" t="str">
        <x:v>CHAI</x:v>
      </x:c>
      <x:c r="L15" s="112" t="n">
        <x:v>14400</x:v>
      </x:c>
      <x:c r="M15" s="112" t="str">
        <x:v>g</x:v>
      </x:c>
      <x:c r="N15" s="112" t="str">
        <x:v>THÙNG</x:v>
      </x:c>
      <x:c r="O15" s="112" t="n">
        <x:v>12</x:v>
      </x:c>
      <x:c r="P15" s="112" t="str">
        <x:v>1200 g / CHAI</x:v>
      </x:c>
      <x:c r="Q15" s="112" t="str">
        <x:v>12 CHAI / THÙNG</x:v>
      </x:c>
      <x:c r="R15" s="112" t="n">
        <x:v>64</x:v>
      </x:c>
      <x:c r="S15" s="113" t="n">
        <x:v>65</x:v>
      </x:c>
    </x:row>
    <x:row r="16">
      <x:c r="A16" s="111" t="n">
        <x:v>39</x:v>
      </x:c>
      <x:c r="B16" s="112" t="str">
        <x:v>SIRO CASALANCA TẮC</x:v>
      </x:c>
      <x:c r="C16" s="112" t="str">
        <x:v>CSATAC</x:v>
      </x:c>
      <x:c r="D16" s="112" t="str">
        <x:v>CSATACT</x:v>
      </x:c>
      <x:c r="E16" s="120"/>
      <x:c r="F16" s="120" t="n">
        <x:v>0</x:v>
      </x:c>
      <x:c r="G16" s="120"/>
      <x:c r="H16" s="112" t="str">
        <x:v>DS SP GIÁ 0 - VẪN THIẾU GIÁ</x:v>
      </x:c>
      <x:c r="I16" s="112" t="n">
        <x:v>1200</x:v>
      </x:c>
      <x:c r="J16" s="112" t="str">
        <x:v>g</x:v>
      </x:c>
      <x:c r="K16" s="112" t="str">
        <x:v>CHAI</x:v>
      </x:c>
      <x:c r="L16" s="112" t="n">
        <x:v>16000</x:v>
      </x:c>
      <x:c r="M16" s="112" t="str">
        <x:v>g</x:v>
      </x:c>
      <x:c r="N16" s="112" t="str">
        <x:v>THÙNG</x:v>
      </x:c>
      <x:c r="O16" s="112" t="n">
        <x:v>12</x:v>
      </x:c>
      <x:c r="P16" s="112" t="str">
        <x:v>1200 g / CHAI</x:v>
      </x:c>
      <x:c r="Q16" s="112" t="str">
        <x:v>12 CHAI / THÙNG</x:v>
      </x:c>
      <x:c r="R16" s="112" t="n">
        <x:v>66</x:v>
      </x:c>
      <x:c r="S16" s="113" t="n">
        <x:v>67</x:v>
      </x:c>
    </x:row>
    <x:row r="17">
      <x:c r="A17" s="111" t="n">
        <x:v>40</x:v>
      </x:c>
      <x:c r="B17" s="112" t="str">
        <x:v>SIRO A+ NHO</x:v>
      </x:c>
      <x:c r="C17" s="112" t="str">
        <x:v>SRANHO</x:v>
      </x:c>
      <x:c r="D17" s="112" t="str">
        <x:v>SRANHOT</x:v>
      </x:c>
      <x:c r="E17" s="120"/>
      <x:c r="F17" s="120" t="n">
        <x:v>0</x:v>
      </x:c>
      <x:c r="G17" s="120"/>
      <x:c r="H17" s="112" t="str">
        <x:v>DS SP GIÁ 0 - VẪN THIẾU GIÁ</x:v>
      </x:c>
      <x:c r="I17" s="112" t="n">
        <x:v>650</x:v>
      </x:c>
      <x:c r="J17" s="112" t="str">
        <x:v>g</x:v>
      </x:c>
      <x:c r="K17" s="112" t="str">
        <x:v>CHAI</x:v>
      </x:c>
      <x:c r="L17" s="112" t="n">
        <x:v>16000</x:v>
      </x:c>
      <x:c r="M17" s="112" t="str">
        <x:v>g</x:v>
      </x:c>
      <x:c r="N17" s="112" t="str">
        <x:v>THÙNG</x:v>
      </x:c>
      <x:c r="O17" s="112" t="n">
        <x:v>24</x:v>
      </x:c>
      <x:c r="P17" s="112" t="str">
        <x:v>650 g / CHAI</x:v>
      </x:c>
      <x:c r="Q17" s="112" t="str">
        <x:v>24 CHAI / THÙNG</x:v>
      </x:c>
      <x:c r="R17" s="112" t="n">
        <x:v>68</x:v>
      </x:c>
      <x:c r="S17" s="113" t="n">
        <x:v>69</x:v>
      </x:c>
    </x:row>
    <x:row r="18">
      <x:c r="A18" s="111" t="n">
        <x:v>41</x:v>
      </x:c>
      <x:c r="B18" s="112" t="str">
        <x:v>SIRO TRÒN DÂU</x:v>
      </x:c>
      <x:c r="C18" s="112" t="str">
        <x:v>SRDAUT</x:v>
      </x:c>
      <x:c r="D18" s="112" t="str">
        <x:v>SRDAUTT</x:v>
      </x:c>
      <x:c r="E18" s="120"/>
      <x:c r="F18" s="120" t="n">
        <x:v>0</x:v>
      </x:c>
      <x:c r="G18" s="120"/>
      <x:c r="H18" s="112" t="str">
        <x:v>DS SP GIÁ 0 - VẪN THIẾU GIÁ</x:v>
      </x:c>
      <x:c r="I18" s="112" t="n">
        <x:v>2600</x:v>
      </x:c>
      <x:c r="J18" s="112" t="str">
        <x:v>g</x:v>
      </x:c>
      <x:c r="K18" s="112" t="str">
        <x:v>BÌNH</x:v>
      </x:c>
      <x:c r="L18" s="112" t="n">
        <x:v>16500</x:v>
      </x:c>
      <x:c r="M18" s="112" t="str">
        <x:v>g</x:v>
      </x:c>
      <x:c r="N18" s="112" t="str">
        <x:v>THÙNG</x:v>
      </x:c>
      <x:c r="O18" s="112" t="n">
        <x:v>6</x:v>
      </x:c>
      <x:c r="P18" s="112" t="str">
        <x:v>2600 g / BÌNH</x:v>
      </x:c>
      <x:c r="Q18" s="112" t="str">
        <x:v>6 BÌNH / THÙNG</x:v>
      </x:c>
      <x:c r="R18" s="112" t="n">
        <x:v>70</x:v>
      </x:c>
      <x:c r="S18" s="113" t="n">
        <x:v>71</x:v>
      </x:c>
    </x:row>
    <x:row r="19">
      <x:c r="A19" s="111" t="n">
        <x:v>43</x:v>
      </x:c>
      <x:c r="B19" s="112" t="str">
        <x:v>MỨT DOUXIAN DƯA LƯỚI</x:v>
      </x:c>
      <x:c r="C19" s="112" t="str">
        <x:v>STDXDL</x:v>
      </x:c>
      <x:c r="D19" s="112" t="str">
        <x:v>STDXDLT</x:v>
      </x:c>
      <x:c r="E19" s="120"/>
      <x:c r="F19" s="120" t="n">
        <x:v>0</x:v>
      </x:c>
      <x:c r="G19" s="120"/>
      <x:c r="H19" s="112" t="str">
        <x:v>DS SP GIÁ 0 - VẪN THIẾU GIÁ</x:v>
      </x:c>
      <x:c r="I19" s="112" t="n">
        <x:v>1300</x:v>
      </x:c>
      <x:c r="J19" s="112" t="str">
        <x:v>g</x:v>
      </x:c>
      <x:c r="K19" s="112" t="str">
        <x:v>CHAI</x:v>
      </x:c>
      <x:c r="L19" s="112" t="n">
        <x:v>15600</x:v>
      </x:c>
      <x:c r="M19" s="112" t="str">
        <x:v>g</x:v>
      </x:c>
      <x:c r="N19" s="112" t="str">
        <x:v>THÙNG</x:v>
      </x:c>
      <x:c r="O19" s="112" t="n">
        <x:v>12</x:v>
      </x:c>
      <x:c r="P19" s="112" t="str">
        <x:v>1300 g / CHAI</x:v>
      </x:c>
      <x:c r="Q19" s="112" t="str">
        <x:v>12 CHAI / THÙNG</x:v>
      </x:c>
      <x:c r="R19" s="112" t="n">
        <x:v>76</x:v>
      </x:c>
      <x:c r="S19" s="113" t="n">
        <x:v>77</x:v>
      </x:c>
    </x:row>
    <x:row r="20">
      <x:c r="A20" s="111" t="n">
        <x:v>44</x:v>
      </x:c>
      <x:c r="B20" s="112" t="str">
        <x:v>TORANI DƯA LƯỚI</x:v>
      </x:c>
      <x:c r="C20" s="112" t="str">
        <x:v>TORDLU</x:v>
      </x:c>
      <x:c r="D20" s="112" t="str">
        <x:v>TORDLUT</x:v>
      </x:c>
      <x:c r="E20" s="120" t="n">
        <x:v>180000</x:v>
      </x:c>
      <x:c r="F20" s="120" t="n">
        <x:v>0</x:v>
      </x:c>
      <x:c r="G20" s="120" t="n">
        <x:v>180000</x:v>
      </x:c>
      <x:c r="H20" s="112" t="str">
        <x:v>DS SP GIÁ 0 - GIỮ GIÁ CŨ</x:v>
      </x:c>
      <x:c r="I20" s="112" t="n">
        <x:v>1500</x:v>
      </x:c>
      <x:c r="J20" s="112" t="str">
        <x:v>g</x:v>
      </x:c>
      <x:c r="K20" s="112" t="str">
        <x:v>CHAI</x:v>
      </x:c>
      <x:c r="L20" s="112" t="n">
        <x:v>18000</x:v>
      </x:c>
      <x:c r="M20" s="112" t="str">
        <x:v>g</x:v>
      </x:c>
      <x:c r="N20" s="112" t="str">
        <x:v>THÙNG</x:v>
      </x:c>
      <x:c r="O20" s="112" t="n">
        <x:v>12</x:v>
      </x:c>
      <x:c r="P20" s="112" t="str">
        <x:v>1500 g / CHAI</x:v>
      </x:c>
      <x:c r="Q20" s="112" t="str">
        <x:v>12 CHAI / THÙNG</x:v>
      </x:c>
      <x:c r="R20" s="112" t="n">
        <x:v>79</x:v>
      </x:c>
      <x:c r="S20" s="113" t="n">
        <x:v>80</x:v>
      </x:c>
    </x:row>
    <x:row r="21">
      <x:c r="A21" s="111" t="n">
        <x:v>45</x:v>
      </x:c>
      <x:c r="B21" s="112" t="str">
        <x:v>SIRO CASALANCA BLUE CURACAO</x:v>
      </x:c>
      <x:c r="C21" s="112" t="str">
        <x:v>CSABLU</x:v>
      </x:c>
      <x:c r="D21" s="112" t="str">
        <x:v>CSABLUT</x:v>
      </x:c>
      <x:c r="E21" s="120"/>
      <x:c r="F21" s="120" t="n">
        <x:v>0</x:v>
      </x:c>
      <x:c r="G21" s="120"/>
      <x:c r="H21" s="112" t="str">
        <x:v>DS SP GIÁ 0 - VẪN THIẾU GIÁ</x:v>
      </x:c>
      <x:c r="I21" s="112" t="n">
        <x:v>1000</x:v>
      </x:c>
      <x:c r="J21" s="112" t="str">
        <x:v>g</x:v>
      </x:c>
      <x:c r="K21" s="112" t="str">
        <x:v>CHAI</x:v>
      </x:c>
      <x:c r="L21" s="112" t="n">
        <x:v>13000</x:v>
      </x:c>
      <x:c r="M21" s="112" t="str">
        <x:v>g</x:v>
      </x:c>
      <x:c r="N21" s="112" t="str">
        <x:v>THÙNG</x:v>
      </x:c>
      <x:c r="O21" s="112" t="n">
        <x:v>12</x:v>
      </x:c>
      <x:c r="P21" s="112" t="str">
        <x:v>1000 g / CHAI</x:v>
      </x:c>
      <x:c r="Q21" s="112" t="str">
        <x:v>12 CHAI / THÙNG</x:v>
      </x:c>
      <x:c r="R21" s="112" t="n">
        <x:v>81</x:v>
      </x:c>
      <x:c r="S21" s="113" t="n">
        <x:v>82</x:v>
      </x:c>
    </x:row>
    <x:row r="22">
      <x:c r="A22" s="111" t="n">
        <x:v>46</x:v>
      </x:c>
      <x:c r="B22" s="112" t="str">
        <x:v>CARISA SOCOLA</x:v>
      </x:c>
      <x:c r="C22" s="112" t="str">
        <x:v>CRSSCL</x:v>
      </x:c>
      <x:c r="D22" s="112" t="str">
        <x:v>CRSSCLT</x:v>
      </x:c>
      <x:c r="E22" s="120" t="n">
        <x:v>30000</x:v>
      </x:c>
      <x:c r="F22" s="120" t="n">
        <x:v>0</x:v>
      </x:c>
      <x:c r="G22" s="120" t="n">
        <x:v>30000</x:v>
      </x:c>
      <x:c r="H22" s="112" t="str">
        <x:v>DS SP GIÁ 0 - GIỮ GIÁ CŨ</x:v>
      </x:c>
      <x:c r="I22" s="112" t="n">
        <x:v>0</x:v>
      </x:c>
      <x:c r="J22" s="112" t="str">
        <x:v>g</x:v>
      </x:c>
      <x:c r="K22" s="112" t="str">
        <x:v>CHAI</x:v>
      </x:c>
      <x:c r="L22" s="112" t="n">
        <x:v>0</x:v>
      </x:c>
      <x:c r="M22" s="112" t="str">
        <x:v>g</x:v>
      </x:c>
      <x:c r="N22" s="112" t="str">
        <x:v>THÙNG</x:v>
      </x:c>
      <x:c r="O22" s="112" t="n">
        <x:v>24</x:v>
      </x:c>
      <x:c r="P22" s="112" t="str">
        <x:v>0 g / CHAI</x:v>
      </x:c>
      <x:c r="Q22" s="112" t="str">
        <x:v>24 CHAI / THÙNG</x:v>
      </x:c>
      <x:c r="R22" s="112" t="n">
        <x:v>84</x:v>
      </x:c>
      <x:c r="S22" s="113" t="n">
        <x:v>85</x:v>
      </x:c>
    </x:row>
    <x:row r="23">
      <x:c r="A23" s="111" t="n">
        <x:v>54</x:v>
      </x:c>
      <x:c r="B23" s="112" t="str">
        <x:v>MÌ ACECOOK DELI</x:v>
      </x:c>
      <x:c r="C23" s="112" t="str">
        <x:v>MIAC80</x:v>
      </x:c>
      <x:c r="D23" s="112" t="str">
        <x:v>MIAC80T</x:v>
      </x:c>
      <x:c r="E23" s="120"/>
      <x:c r="F23" s="120" t="n">
        <x:v>0</x:v>
      </x:c>
      <x:c r="G23" s="120"/>
      <x:c r="H23" s="112" t="str">
        <x:v>DS SP GIÁ 0 - VẪN THIẾU GIÁ</x:v>
      </x:c>
      <x:c r="I23" s="112" t="n">
        <x:v>110</x:v>
      </x:c>
      <x:c r="J23" s="112" t="str">
        <x:v>g</x:v>
      </x:c>
      <x:c r="K23" s="112" t="str">
        <x:v>GÓI</x:v>
      </x:c>
      <x:c r="L23" s="112" t="n">
        <x:v>8800</x:v>
      </x:c>
      <x:c r="M23" s="112" t="str">
        <x:v>g</x:v>
      </x:c>
      <x:c r="N23" s="112" t="str">
        <x:v>THÙNG</x:v>
      </x:c>
      <x:c r="O23" s="112" t="n">
        <x:v>80</x:v>
      </x:c>
      <x:c r="P23" s="112" t="str">
        <x:v>110 g / GÓI</x:v>
      </x:c>
      <x:c r="Q23" s="112" t="str">
        <x:v>80 GÓI / THÙNG</x:v>
      </x:c>
      <x:c r="R23" s="112" t="n">
        <x:v>91</x:v>
      </x:c>
      <x:c r="S23" s="113" t="n">
        <x:v>92</x:v>
      </x:c>
    </x:row>
    <x:row r="24">
      <x:c r="A24" s="111" t="n">
        <x:v>56</x:v>
      </x:c>
      <x:c r="B24" s="112" t="str">
        <x:v>NẮP 120 PET</x:v>
      </x:c>
      <x:c r="C24" s="112" t="str">
        <x:v>NPE120</x:v>
      </x:c>
      <x:c r="D24" s="112" t="str">
        <x:v>NPE120T</x:v>
      </x:c>
      <x:c r="E24" s="120"/>
      <x:c r="F24" s="120" t="n">
        <x:v>0</x:v>
      </x:c>
      <x:c r="G24" s="120"/>
      <x:c r="H24" s="112" t="str">
        <x:v>DS SP GIÁ 0 - VẪN THIẾU GIÁ</x:v>
      </x:c>
      <x:c r="I24" s="112" t="n">
        <x:v>0</x:v>
      </x:c>
      <x:c r="J24" s="112" t="str">
        <x:v>g</x:v>
      </x:c>
      <x:c r="K24" s="112" t="str">
        <x:v>BỊCH</x:v>
      </x:c>
      <x:c r="L24" s="112" t="n">
        <x:v>0</x:v>
      </x:c>
      <x:c r="M24" s="112" t="str">
        <x:v>g</x:v>
      </x:c>
      <x:c r="N24" s="112" t="str">
        <x:v>THÙNG</x:v>
      </x:c>
      <x:c r="O24" s="112" t="n">
        <x:v>20</x:v>
      </x:c>
      <x:c r="P24" s="112" t="str">
        <x:v>0 g / BỊCH</x:v>
      </x:c>
      <x:c r="Q24" s="112" t="str">
        <x:v>20 BỊCH / THÙNG</x:v>
      </x:c>
      <x:c r="R24" s="112" t="n">
        <x:v>783</x:v>
      </x:c>
      <x:c r="S24" s="113" t="n">
        <x:v>784</x:v>
      </x:c>
    </x:row>
    <x:row r="25">
      <x:c r="A25" s="111" t="n">
        <x:v>59</x:v>
      </x:c>
      <x:c r="B25" s="112" t="str">
        <x:v>ĐƯỜNG TRẮNG MONITA</x:v>
      </x:c>
      <x:c r="C25" s="112" t="str">
        <x:v>DTSEUL</x:v>
      </x:c>
      <x:c r="D25" s="112" t="str">
        <x:v>DTSEULT</x:v>
      </x:c>
      <x:c r="E25" s="120"/>
      <x:c r="F25" s="120" t="n">
        <x:v>0</x:v>
      </x:c>
      <x:c r="G25" s="120"/>
      <x:c r="H25" s="112" t="str">
        <x:v>DS SP GIÁ 0 - VẪN THIẾU GIÁ</x:v>
      </x:c>
      <x:c r="I25" s="112" t="n">
        <x:v>1</x:v>
      </x:c>
      <x:c r="J25" s="112" t="str">
        <x:v>kg</x:v>
      </x:c>
      <x:c r="K25" s="112" t="str">
        <x:v>GÓI</x:v>
      </x:c>
      <x:c r="L25" s="112" t="n">
        <x:v>17</x:v>
      </x:c>
      <x:c r="M25" s="112" t="str">
        <x:v>kg</x:v>
      </x:c>
      <x:c r="N25" s="112" t="str">
        <x:v>THÙNG</x:v>
      </x:c>
      <x:c r="O25" s="112" t="n">
        <x:v>16</x:v>
      </x:c>
      <x:c r="P25" s="112" t="str">
        <x:v>1 kg / GÓI</x:v>
      </x:c>
      <x:c r="Q25" s="112" t="str">
        <x:v>16 GÓI / THÙNG</x:v>
      </x:c>
      <x:c r="R25" s="112" t="n">
        <x:v>118</x:v>
      </x:c>
      <x:c r="S25" s="113" t="n">
        <x:v>119</x:v>
      </x:c>
    </x:row>
    <x:row r="26">
      <x:c r="A26" s="111" t="n">
        <x:v>60</x:v>
      </x:c>
      <x:c r="B26" s="112" t="str">
        <x:v>BODU MẬT ONG ĐÀO</x:v>
      </x:c>
      <x:c r="C26" s="112" t="str">
        <x:v>BODUMD</x:v>
      </x:c>
      <x:c r="D26" s="112" t="str">
        <x:v>BODUMDT</x:v>
      </x:c>
      <x:c r="E26" s="120"/>
      <x:c r="F26" s="120" t="n">
        <x:v>0</x:v>
      </x:c>
      <x:c r="G26" s="120"/>
      <x:c r="H26" s="112" t="str">
        <x:v>DS SP GIÁ 0 - VẪN THIẾU GIÁ</x:v>
      </x:c>
      <x:c r="I26" s="112" t="n">
        <x:v>1450</x:v>
      </x:c>
      <x:c r="J26" s="112" t="str">
        <x:v>g</x:v>
      </x:c>
      <x:c r="K26" s="112" t="str">
        <x:v>HŨ</x:v>
      </x:c>
      <x:c r="L26" s="112" t="n">
        <x:v>17500</x:v>
      </x:c>
      <x:c r="M26" s="112" t="str">
        <x:v>g</x:v>
      </x:c>
      <x:c r="N26" s="112" t="str">
        <x:v>THÙNG</x:v>
      </x:c>
      <x:c r="O26" s="112" t="n">
        <x:v>12</x:v>
      </x:c>
      <x:c r="P26" s="112" t="str">
        <x:v>1450 g / HŨ</x:v>
      </x:c>
      <x:c r="Q26" s="112" t="str">
        <x:v>12 HŨ / THÙNG</x:v>
      </x:c>
      <x:c r="R26" s="112" t="n">
        <x:v>122</x:v>
      </x:c>
      <x:c r="S26" s="113" t="n">
        <x:v>123</x:v>
      </x:c>
    </x:row>
    <x:row r="27">
      <x:c r="A27" s="111" t="n">
        <x:v>62</x:v>
      </x:c>
      <x:c r="B27" s="112" t="str">
        <x:v>GTP ĐƯỜNG ĐEN</x:v>
      </x:c>
      <x:c r="C27" s="112" t="str">
        <x:v>GTPDDE</x:v>
      </x:c>
      <x:c r="D27" s="112" t="str">
        <x:v>GTPDDET</x:v>
      </x:c>
      <x:c r="E27" s="120" t="n">
        <x:v>146000</x:v>
      </x:c>
      <x:c r="F27" s="120" t="n">
        <x:v>0</x:v>
      </x:c>
      <x:c r="G27" s="120" t="n">
        <x:v>146000</x:v>
      </x:c>
      <x:c r="H27" s="112" t="str">
        <x:v>DS SP GIÁ 0 - GIỮ GIÁ CŨ</x:v>
      </x:c>
      <x:c r="I27" s="112" t="n">
        <x:v>0</x:v>
      </x:c>
      <x:c r="J27" s="112" t="str">
        <x:v>g</x:v>
      </x:c>
      <x:c r="K27" s="112" t="str">
        <x:v>BÌNH</x:v>
      </x:c>
      <x:c r="L27" s="112" t="n">
        <x:v>0</x:v>
      </x:c>
      <x:c r="M27" s="112" t="str">
        <x:v>g</x:v>
      </x:c>
      <x:c r="N27" s="112" t="str">
        <x:v>THÙNG</x:v>
      </x:c>
      <x:c r="O27" s="112" t="n">
        <x:v>6</x:v>
      </x:c>
      <x:c r="P27" s="112" t="str">
        <x:v>0 g / BÌNH</x:v>
      </x:c>
      <x:c r="Q27" s="112" t="str">
        <x:v>6 BÌNH / THÙNG</x:v>
      </x:c>
      <x:c r="R27" s="112" t="n">
        <x:v>131</x:v>
      </x:c>
      <x:c r="S27" s="113" t="n">
        <x:v>132</x:v>
      </x:c>
    </x:row>
    <x:row r="28">
      <x:c r="A28" s="111" t="n">
        <x:v>64</x:v>
      </x:c>
      <x:c r="B28" s="112" t="str">
        <x:v>GTP NHO</x:v>
      </x:c>
      <x:c r="C28" s="112" t="str">
        <x:v>GTPNHO</x:v>
      </x:c>
      <x:c r="D28" s="112" t="str">
        <x:v>GTPNHOT</x:v>
      </x:c>
      <x:c r="E28" s="120" t="n">
        <x:v>140000</x:v>
      </x:c>
      <x:c r="F28" s="120" t="n">
        <x:v>0</x:v>
      </x:c>
      <x:c r="G28" s="120" t="n">
        <x:v>140000</x:v>
      </x:c>
      <x:c r="H28" s="112" t="str">
        <x:v>DS SP GIÁ 0 - GIỮ GIÁ CŨ</x:v>
      </x:c>
      <x:c r="I28" s="112" t="n">
        <x:v>2550</x:v>
      </x:c>
      <x:c r="J28" s="112" t="str">
        <x:v>g</x:v>
      </x:c>
      <x:c r="K28" s="112" t="str">
        <x:v>BÌNH</x:v>
      </x:c>
      <x:c r="L28" s="112" t="n">
        <x:v>1</x:v>
      </x:c>
      <x:c r="M28" s="112" t="str">
        <x:v>kg</x:v>
      </x:c>
      <x:c r="N28" s="112" t="str">
        <x:v>THÙNG</x:v>
      </x:c>
      <x:c r="O28" s="112" t="n">
        <x:v>6</x:v>
      </x:c>
      <x:c r="P28" s="112" t="str">
        <x:v>2550 g / BÌNH</x:v>
      </x:c>
      <x:c r="Q28" s="112" t="str">
        <x:v>6 BÌNH / THÙNG</x:v>
      </x:c>
      <x:c r="R28" s="112" t="n">
        <x:v>135</x:v>
      </x:c>
      <x:c r="S28" s="113" t="n">
        <x:v>136</x:v>
      </x:c>
    </x:row>
    <x:row r="29">
      <x:c r="A29" s="111" t="n">
        <x:v>65</x:v>
      </x:c>
      <x:c r="B29" s="112" t="str">
        <x:v>SIRO MAULIN CHANH DÂY</x:v>
      </x:c>
      <x:c r="C29" s="112" t="str">
        <x:v>SRMLCD</x:v>
      </x:c>
      <x:c r="D29" s="112" t="str">
        <x:v>SRMLCDT</x:v>
      </x:c>
      <x:c r="E29" s="120"/>
      <x:c r="F29" s="120" t="n">
        <x:v>0</x:v>
      </x:c>
      <x:c r="G29" s="120"/>
      <x:c r="H29" s="112" t="str">
        <x:v>DS SP GIÁ 0 - VẪN THIẾU GIÁ</x:v>
      </x:c>
      <x:c r="I29" s="112" t="n">
        <x:v>2600</x:v>
      </x:c>
      <x:c r="J29" s="112" t="str">
        <x:v>g</x:v>
      </x:c>
      <x:c r="K29" s="112" t="str">
        <x:v>CHAI</x:v>
      </x:c>
      <x:c r="L29" s="112" t="n">
        <x:v>16</x:v>
      </x:c>
      <x:c r="M29" s="112" t="str">
        <x:v>kg</x:v>
      </x:c>
      <x:c r="N29" s="112" t="str">
        <x:v>THÙNG</x:v>
      </x:c>
      <x:c r="O29" s="112" t="n">
        <x:v>6</x:v>
      </x:c>
      <x:c r="P29" s="112" t="str">
        <x:v>2600 g / CHAI</x:v>
      </x:c>
      <x:c r="Q29" s="112" t="str">
        <x:v>6 CHAI / THÙNG</x:v>
      </x:c>
      <x:c r="R29" s="112" t="n">
        <x:v>140</x:v>
      </x:c>
      <x:c r="S29" s="113" t="n">
        <x:v>141</x:v>
      </x:c>
    </x:row>
    <x:row r="30">
      <x:c r="A30" s="111" t="n">
        <x:v>66</x:v>
      </x:c>
      <x:c r="B30" s="112" t="str">
        <x:v>SỐT DOUXIAN CARAMEN</x:v>
      </x:c>
      <x:c r="C30" s="112" t="str">
        <x:v>SCARDX</x:v>
      </x:c>
      <x:c r="D30" s="112" t="str">
        <x:v>SCARDXT</x:v>
      </x:c>
      <x:c r="E30" s="120" t="n">
        <x:v>53000</x:v>
      </x:c>
      <x:c r="F30" s="120" t="n">
        <x:v>0</x:v>
      </x:c>
      <x:c r="G30" s="120" t="n">
        <x:v>53000</x:v>
      </x:c>
      <x:c r="H30" s="112" t="str">
        <x:v>DS SP GIÁ 0 - GIỮ GIÁ CŨ</x:v>
      </x:c>
      <x:c r="I30" s="112" t="n">
        <x:v>750</x:v>
      </x:c>
      <x:c r="J30" s="112" t="str">
        <x:v>g</x:v>
      </x:c>
      <x:c r="K30" s="112" t="str">
        <x:v>CHAI</x:v>
      </x:c>
      <x:c r="L30" s="112" t="n">
        <x:v>13000</x:v>
      </x:c>
      <x:c r="M30" s="112" t="str">
        <x:v>g</x:v>
      </x:c>
      <x:c r="N30" s="112" t="str">
        <x:v>THÙNG</x:v>
      </x:c>
      <x:c r="O30" s="112" t="n">
        <x:v>12</x:v>
      </x:c>
      <x:c r="P30" s="112" t="str">
        <x:v>750 g / CHAI</x:v>
      </x:c>
      <x:c r="Q30" s="112" t="str">
        <x:v>12 CHAI / THÙNG</x:v>
      </x:c>
      <x:c r="R30" s="112" t="n">
        <x:v>143</x:v>
      </x:c>
      <x:c r="S30" s="113" t="n">
        <x:v>144</x:v>
      </x:c>
    </x:row>
    <x:row r="31">
      <x:c r="A31" s="111" t="n">
        <x:v>67</x:v>
      </x:c>
      <x:c r="B31" s="112" t="str">
        <x:v>ICEHOT CÔ ĐẶC</x:v>
      </x:c>
      <x:c r="C31" s="112" t="str">
        <x:v>ICEHCD</x:v>
      </x:c>
      <x:c r="D31" s="112" t="str">
        <x:v>ICEHCDT</x:v>
      </x:c>
      <x:c r="E31" s="120"/>
      <x:c r="F31" s="120" t="n">
        <x:v>0</x:v>
      </x:c>
      <x:c r="G31" s="120"/>
      <x:c r="H31" s="112" t="str">
        <x:v>DS SP GIÁ 0 - VẪN THIẾU GIÁ</x:v>
      </x:c>
      <x:c r="I31" s="112" t="n">
        <x:v>1</x:v>
      </x:c>
      <x:c r="J31" s="112" t="str">
        <x:v>kg</x:v>
      </x:c>
      <x:c r="K31" s="112" t="str">
        <x:v>HỘP</x:v>
      </x:c>
      <x:c r="L31" s="112" t="n">
        <x:v>13</x:v>
      </x:c>
      <x:c r="M31" s="112" t="str">
        <x:v>kg</x:v>
      </x:c>
      <x:c r="N31" s="112" t="str">
        <x:v>THÙNG</x:v>
      </x:c>
      <x:c r="O31" s="112" t="n">
        <x:v>12</x:v>
      </x:c>
      <x:c r="P31" s="112" t="str">
        <x:v>1 kg / HỘP</x:v>
      </x:c>
      <x:c r="Q31" s="112" t="str">
        <x:v>12 HỘP / THÙNG</x:v>
      </x:c>
      <x:c r="R31" s="112" t="n">
        <x:v>145</x:v>
      </x:c>
      <x:c r="S31" s="113" t="n">
        <x:v>146</x:v>
      </x:c>
    </x:row>
    <x:row r="32">
      <x:c r="A32" s="111" t="n">
        <x:v>137</x:v>
      </x:c>
      <x:c r="B32" s="112" t="str">
        <x:v>THẠCH DỪA CHANH DÂY</x:v>
      </x:c>
      <x:c r="C32" s="112" t="str">
        <x:v>TDUCDA</x:v>
      </x:c>
      <x:c r="D32" s="112" t="str">
        <x:v>TDUCDAT</x:v>
      </x:c>
      <x:c r="E32" s="120"/>
      <x:c r="F32" s="120" t="n">
        <x:v>0</x:v>
      </x:c>
      <x:c r="G32" s="120"/>
      <x:c r="H32" s="112" t="str">
        <x:v>DS SP GIÁ 0 - VẪN THIẾU GIÁ</x:v>
      </x:c>
      <x:c r="I32" s="112" t="n">
        <x:v>0</x:v>
      </x:c>
      <x:c r="J32" s="112" t="str">
        <x:v>g</x:v>
      </x:c>
      <x:c r="K32" s="112" t="str">
        <x:v>THÙNG</x:v>
      </x:c>
      <x:c r="L32" s="112" t="n">
        <x:v>16000</x:v>
      </x:c>
      <x:c r="M32" s="112" t="str">
        <x:v>g</x:v>
      </x:c>
      <x:c r="N32" s="112" t="str">
        <x:v>THÙNG</x:v>
      </x:c>
      <x:c r="O32" s="112" t="n">
        <x:v>6</x:v>
      </x:c>
      <x:c r="P32" s="112" t="str">
        <x:v>0 g / THÙNG</x:v>
      </x:c>
      <x:c r="Q32" s="112" t="str">
        <x:v>6 THÙNG / THÙNG</x:v>
      </x:c>
      <x:c r="R32" s="112" t="n">
        <x:v>302</x:v>
      </x:c>
      <x:c r="S32" s="113" t="n">
        <x:v>303</x:v>
      </x:c>
    </x:row>
    <x:row r="33">
      <x:c r="A33" s="111" t="n">
        <x:v>190</x:v>
      </x:c>
      <x:c r="B33" s="112" t="str">
        <x:v>TCĐĐ 1KG 1.0</x:v>
      </x:c>
      <x:c r="C33" s="112" t="str">
        <x:v>TCDD10</x:v>
      </x:c>
      <x:c r="D33" s="112" t="str">
        <x:v>TCDD10T</x:v>
      </x:c>
      <x:c r="E33" s="120"/>
      <x:c r="F33" s="120" t="n">
        <x:v>0</x:v>
      </x:c>
      <x:c r="G33" s="120"/>
      <x:c r="H33" s="112" t="str">
        <x:v>DS SP GIÁ 0 - VẪN THIẾU GIÁ</x:v>
      </x:c>
      <x:c r="I33" s="112" t="n">
        <x:v>0</x:v>
      </x:c>
      <x:c r="J33" s="112" t="str">
        <x:v>g</x:v>
      </x:c>
      <x:c r="K33" s="112" t="str">
        <x:v>BỊCH</x:v>
      </x:c>
      <x:c r="L33" s="112" t="n">
        <x:v>19000</x:v>
      </x:c>
      <x:c r="M33" s="112" t="str">
        <x:v>g</x:v>
      </x:c>
      <x:c r="N33" s="112" t="str">
        <x:v>THÙNG</x:v>
      </x:c>
      <x:c r="O33" s="112" t="n">
        <x:v>18</x:v>
      </x:c>
      <x:c r="P33" s="112" t="str">
        <x:v>0 g / BỊCH</x:v>
      </x:c>
      <x:c r="Q33" s="112" t="str">
        <x:v>18 BỊCH / THÙNG</x:v>
      </x:c>
      <x:c r="R33" s="112" t="n">
        <x:v>416</x:v>
      </x:c>
      <x:c r="S33" s="113" t="n">
        <x:v>417</x:v>
      </x:c>
    </x:row>
    <x:row r="34">
      <x:c r="A34" s="111" t="n">
        <x:v>191</x:v>
      </x:c>
      <x:c r="B34" s="112" t="str">
        <x:v>TCBN 3KG 2.2</x:v>
      </x:c>
      <x:c r="C34" s="112" t="str">
        <x:v>TCBN32</x:v>
      </x:c>
      <x:c r="D34" s="112" t="str">
        <x:v>TCBN32T</x:v>
      </x:c>
      <x:c r="E34" s="120"/>
      <x:c r="F34" s="120" t="n">
        <x:v>0</x:v>
      </x:c>
      <x:c r="G34" s="120"/>
      <x:c r="H34" s="112" t="str">
        <x:v>DS SP GIÁ 0 - VẪN THIẾU GIÁ</x:v>
      </x:c>
      <x:c r="I34" s="112" t="n">
        <x:v>3</x:v>
      </x:c>
      <x:c r="J34" s="112" t="str">
        <x:v>kg</x:v>
      </x:c>
      <x:c r="K34" s="112" t="str">
        <x:v>GÓI</x:v>
      </x:c>
      <x:c r="L34" s="112" t="n">
        <x:v>1</x:v>
      </x:c>
      <x:c r="M34" s="112" t="str">
        <x:v>kg</x:v>
      </x:c>
      <x:c r="N34" s="112" t="str">
        <x:v>THÙNG</x:v>
      </x:c>
      <x:c r="O34" s="112" t="n">
        <x:v>6</x:v>
      </x:c>
      <x:c r="P34" s="112" t="str">
        <x:v>3 kg / GÓI</x:v>
      </x:c>
      <x:c r="Q34" s="112" t="str">
        <x:v>6 GÓI / THÙNG</x:v>
      </x:c>
      <x:c r="R34" s="112" t="n">
        <x:v>418</x:v>
      </x:c>
      <x:c r="S34" s="113" t="n">
        <x:v>419</x:v>
      </x:c>
    </x:row>
    <x:row r="35">
      <x:c r="A35" s="111" t="n">
        <x:v>208</x:v>
      </x:c>
      <x:c r="B35" s="112" t="str">
        <x:v>SỮA ICE HOT ĐA DỤNG</x:v>
      </x:c>
      <x:c r="C35" s="112" t="str">
        <x:v>ICEHDD</x:v>
      </x:c>
      <x:c r="D35" s="112" t="str">
        <x:v>ICEHDDT</x:v>
      </x:c>
      <x:c r="E35" s="120"/>
      <x:c r="F35" s="120" t="n">
        <x:v>0</x:v>
      </x:c>
      <x:c r="G35" s="120"/>
      <x:c r="H35" s="112" t="str">
        <x:v>DS SP GIÁ 0 - VẪN THIẾU GIÁ</x:v>
      </x:c>
      <x:c r="I35" s="112" t="n">
        <x:v>0</x:v>
      </x:c>
      <x:c r="J35" s="112" t="str">
        <x:v>g</x:v>
      </x:c>
      <x:c r="K35" s="112" t="str">
        <x:v>HỘP</x:v>
      </x:c>
      <x:c r="L35" s="112" t="n">
        <x:v>0</x:v>
      </x:c>
      <x:c r="M35" s="112" t="str">
        <x:v>g</x:v>
      </x:c>
      <x:c r="N35" s="112" t="str">
        <x:v>THÙNG</x:v>
      </x:c>
      <x:c r="O35" s="112" t="n">
        <x:v>12</x:v>
      </x:c>
      <x:c r="P35" s="112" t="str">
        <x:v>0 g / HỘP</x:v>
      </x:c>
      <x:c r="Q35" s="112" t="str">
        <x:v>12 HỘP / THÙNG</x:v>
      </x:c>
      <x:c r="R35" s="112" t="n">
        <x:v>460</x:v>
      </x:c>
      <x:c r="S35" s="113" t="n">
        <x:v>461</x:v>
      </x:c>
    </x:row>
    <x:row r="36">
      <x:c r="A36" s="111" t="n">
        <x:v>213</x:v>
      </x:c>
      <x:c r="B36" s="112" t="str">
        <x:v>SỮA CHỮ S VÀNG</x:v>
      </x:c>
      <x:c r="C36" s="112" t="str">
        <x:v>BSSVA</x:v>
      </x:c>
      <x:c r="D36" s="112" t="str">
        <x:v>BSSVAT</x:v>
      </x:c>
      <x:c r="E36" s="120"/>
      <x:c r="F36" s="120" t="n">
        <x:v>0</x:v>
      </x:c>
      <x:c r="G36" s="120"/>
      <x:c r="H36" s="112" t="str">
        <x:v>DS SP GIÁ 0 - VẪN THIẾU GIÁ</x:v>
      </x:c>
      <x:c r="I36" s="112" t="n">
        <x:v>0</x:v>
      </x:c>
      <x:c r="J36" s="112" t="str">
        <x:v>g</x:v>
      </x:c>
      <x:c r="K36" s="112" t="str">
        <x:v>BỊCH</x:v>
      </x:c>
      <x:c r="L36" s="112" t="n">
        <x:v>0</x:v>
      </x:c>
      <x:c r="M36" s="112" t="str">
        <x:v>g</x:v>
      </x:c>
      <x:c r="N36" s="112" t="str">
        <x:v>THÙNG</x:v>
      </x:c>
      <x:c r="O36" s="112" t="n">
        <x:v>12</x:v>
      </x:c>
      <x:c r="P36" s="112" t="str">
        <x:v>0 g / BỊCH</x:v>
      </x:c>
      <x:c r="Q36" s="112" t="str">
        <x:v>12 BỊCH / THÙNG</x:v>
      </x:c>
      <x:c r="R36" s="112" t="n">
        <x:v>473</x:v>
      </x:c>
      <x:c r="S36" s="113" t="n">
        <x:v>474</x:v>
      </x:c>
    </x:row>
    <x:row r="37">
      <x:c r="A37" s="111" t="n">
        <x:v>241</x:v>
      </x:c>
      <x:c r="B37" s="112" t="str">
        <x:v>SIRO TRINH MÔN</x:v>
      </x:c>
      <x:c r="C37" s="112" t="str">
        <x:v>SRTRMN</x:v>
      </x:c>
      <x:c r="D37" s="112" t="str">
        <x:v>SRTRMNT</x:v>
      </x:c>
      <x:c r="E37" s="120"/>
      <x:c r="F37" s="120" t="n">
        <x:v>0</x:v>
      </x:c>
      <x:c r="G37" s="120"/>
      <x:c r="H37" s="112" t="str">
        <x:v>DS SP GIÁ 0 - VẪN THIẾU GIÁ</x:v>
      </x:c>
      <x:c r="I37" s="112" t="n">
        <x:v>0</x:v>
      </x:c>
      <x:c r="J37" s="112" t="str">
        <x:v>g</x:v>
      </x:c>
      <x:c r="K37" s="112" t="str">
        <x:v>CHAI</x:v>
      </x:c>
      <x:c r="L37" s="112" t="n">
        <x:v>0</x:v>
      </x:c>
      <x:c r="M37" s="112" t="str">
        <x:v>g</x:v>
      </x:c>
      <x:c r="N37" s="112" t="str">
        <x:v>THÙNG</x:v>
      </x:c>
      <x:c r="O37" s="112" t="n">
        <x:v>20</x:v>
      </x:c>
      <x:c r="P37" s="112" t="str">
        <x:v>0 g / CHAI</x:v>
      </x:c>
      <x:c r="Q37" s="112" t="str">
        <x:v>20 CHAI / THÙNG</x:v>
      </x:c>
      <x:c r="R37" s="112" t="n">
        <x:v>535</x:v>
      </x:c>
      <x:c r="S37" s="113" t="n">
        <x:v>536</x:v>
      </x:c>
    </x:row>
    <x:row r="38">
      <x:c r="A38" s="111" t="n">
        <x:v>288</x:v>
      </x:c>
      <x:c r="B38" s="112" t="str">
        <x:v>SIRO GOLD 2L VỎ CAM</x:v>
      </x:c>
      <x:c r="C38" s="112" t="str">
        <x:v>SRG2VC</x:v>
      </x:c>
      <x:c r="D38" s="112" t="str">
        <x:v>SRG2VCT</x:v>
      </x:c>
      <x:c r="E38" s="120" t="n">
        <x:v>140000</x:v>
      </x:c>
      <x:c r="F38" s="120" t="n">
        <x:v>0</x:v>
      </x:c>
      <x:c r="G38" s="120" t="n">
        <x:v>140000</x:v>
      </x:c>
      <x:c r="H38" s="112" t="str">
        <x:v>DS SP GIÁ 0 - GIỮ GIÁ CŨ</x:v>
      </x:c>
      <x:c r="I38" s="112" t="n">
        <x:v>2</x:v>
      </x:c>
      <x:c r="J38" s="112" t="str">
        <x:v>kg</x:v>
      </x:c>
      <x:c r="K38" s="112" t="str">
        <x:v>CAN</x:v>
      </x:c>
      <x:c r="L38" s="112" t="n">
        <x:v>16000</x:v>
      </x:c>
      <x:c r="M38" s="112" t="str">
        <x:v>g</x:v>
      </x:c>
      <x:c r="N38" s="112" t="str">
        <x:v>THÙNG</x:v>
      </x:c>
      <x:c r="O38" s="112" t="n">
        <x:v>6</x:v>
      </x:c>
      <x:c r="P38" s="112" t="str">
        <x:v>2 kg / CAN</x:v>
      </x:c>
      <x:c r="Q38" s="112" t="str">
        <x:v>6 CAN / THÙNG</x:v>
      </x:c>
      <x:c r="R38" s="112" t="n">
        <x:v>630</x:v>
      </x:c>
      <x:c r="S38" s="113" t="n">
        <x:v>631</x:v>
      </x:c>
    </x:row>
    <x:row r="39">
      <x:c r="A39" s="111" t="n">
        <x:v>329</x:v>
      </x:c>
      <x:c r="B39" s="112" t="str">
        <x:v>PHOMAI ANCHOR (CREAM CHEESE)</x:v>
      </x:c>
      <x:c r="C39" s="112" t="str">
        <x:v>PMANCH</x:v>
      </x:c>
      <x:c r="D39" s="112" t="str">
        <x:v>PMANCHT</x:v>
      </x:c>
      <x:c r="E39" s="120"/>
      <x:c r="F39" s="120" t="n">
        <x:v>0</x:v>
      </x:c>
      <x:c r="G39" s="120"/>
      <x:c r="H39" s="112" t="str">
        <x:v>DS SP GIÁ 0 - VẪN THIẾU GIÁ</x:v>
      </x:c>
      <x:c r="I39" s="112" t="n">
        <x:v>1</x:v>
      </x:c>
      <x:c r="J39" s="112" t="str">
        <x:v>kg</x:v>
      </x:c>
      <x:c r="K39" s="112" t="str">
        <x:v>HỘP 1KG</x:v>
      </x:c>
      <x:c r="L39" s="112" t="n">
        <x:v>13</x:v>
      </x:c>
      <x:c r="M39" s="112" t="str">
        <x:v>kg</x:v>
      </x:c>
      <x:c r="N39" s="112" t="str">
        <x:v>THÙNG</x:v>
      </x:c>
      <x:c r="O39" s="112" t="n">
        <x:v>12</x:v>
      </x:c>
      <x:c r="P39" s="112" t="str">
        <x:v>1 kg / HỘP 1KG</x:v>
      </x:c>
      <x:c r="Q39" s="112" t="str">
        <x:v>12 HỘP 1KG / THÙNG</x:v>
      </x:c>
      <x:c r="R39" s="112" t="n">
        <x:v>717</x:v>
      </x:c>
      <x:c r="S39" s="113" t="n">
        <x:v>718</x:v>
      </x:c>
    </x:row>
    <x:row r="40">
      <x:c r="A40" s="111" t="n">
        <x:v>358</x:v>
      </x:c>
      <x:c r="B40" s="112" t="str">
        <x:v>NẮP CẦU VUÔNG 95</x:v>
      </x:c>
      <x:c r="C40" s="112" t="str">
        <x:v>NCVG95</x:v>
      </x:c>
      <x:c r="D40" s="112" t="str">
        <x:v>NCVG95T</x:v>
      </x:c>
      <x:c r="E40" s="120" t="n">
        <x:v>11000</x:v>
      </x:c>
      <x:c r="F40" s="120" t="n">
        <x:v>0</x:v>
      </x:c>
      <x:c r="G40" s="120" t="n">
        <x:v>11000</x:v>
      </x:c>
      <x:c r="H40" s="112" t="str">
        <x:v>DS SP GIÁ 0 - GIỮ GIÁ CŨ</x:v>
      </x:c>
      <x:c r="I40" s="112" t="n">
        <x:v>0</x:v>
      </x:c>
      <x:c r="J40" s="112" t="str">
        <x:v>g</x:v>
      </x:c>
      <x:c r="K40" s="112" t="str">
        <x:v>THÙNG</x:v>
      </x:c>
      <x:c r="L40" s="112" t="n">
        <x:v>10</x:v>
      </x:c>
      <x:c r="M40" s="112" t="str">
        <x:v>kg</x:v>
      </x:c>
      <x:c r="N40" s="112" t="str">
        <x:v>THÙNG</x:v>
      </x:c>
      <x:c r="O40" s="112" t="n">
        <x:v>40</x:v>
      </x:c>
      <x:c r="P40" s="112" t="str">
        <x:v>0 g / THÙNG</x:v>
      </x:c>
      <x:c r="Q40" s="112" t="str">
        <x:v>40 THÙNG / THÙNG</x:v>
      </x:c>
      <x:c r="R40" s="112" t="n">
        <x:v>779</x:v>
      </x:c>
      <x:c r="S40" s="113" t="n">
        <x:v>780</x:v>
      </x:c>
    </x:row>
    <x:row r="41">
      <x:c r="A41" s="111" t="n">
        <x:v>389</x:v>
      </x:c>
      <x:c r="B41" s="112" t="str">
        <x:v>MỨT DOUXIAN ĐƯỜNG ĐEN</x:v>
      </x:c>
      <x:c r="C41" s="112" t="str">
        <x:v>STDXDD</x:v>
      </x:c>
      <x:c r="D41" s="112" t="str">
        <x:v>STDXDDT</x:v>
      </x:c>
      <x:c r="E41" s="120"/>
      <x:c r="F41" s="120" t="n">
        <x:v>0</x:v>
      </x:c>
      <x:c r="G41" s="120"/>
      <x:c r="H41" s="112" t="str">
        <x:v>DS SP GIÁ 0 - VẪN THIẾU GIÁ</x:v>
      </x:c>
      <x:c r="I41" s="112" t="n">
        <x:v>0</x:v>
      </x:c>
      <x:c r="J41" s="112" t="str">
        <x:v>g</x:v>
      </x:c>
      <x:c r="K41" s="112" t="str">
        <x:v>CHAI</x:v>
      </x:c>
      <x:c r="L41" s="112" t="n">
        <x:v>16000</x:v>
      </x:c>
      <x:c r="M41" s="112" t="str">
        <x:v>g</x:v>
      </x:c>
      <x:c r="N41" s="112" t="str">
        <x:v>THÙNG</x:v>
      </x:c>
      <x:c r="O41" s="112" t="n">
        <x:v>12</x:v>
      </x:c>
      <x:c r="P41" s="112" t="str">
        <x:v>0 g / CHAI</x:v>
      </x:c>
      <x:c r="Q41" s="112" t="str">
        <x:v>12 CHAI / THÙNG</x:v>
      </x:c>
      <x:c r="R41" s="112" t="n">
        <x:v>843</x:v>
      </x:c>
      <x:c r="S41" s="113" t="n">
        <x:v>844</x:v>
      </x:c>
    </x:row>
    <x:row r="42">
      <x:c r="A42" s="111" t="n">
        <x:v>390</x:v>
      </x:c>
      <x:c r="B42" s="112" t="str">
        <x:v>MỨT DOUXIAN ĐÀO</x:v>
      </x:c>
      <x:c r="C42" s="112" t="str">
        <x:v>STDXDO</x:v>
      </x:c>
      <x:c r="D42" s="112" t="str">
        <x:v>STDXDOT</x:v>
      </x:c>
      <x:c r="E42" s="120"/>
      <x:c r="F42" s="120" t="n">
        <x:v>0</x:v>
      </x:c>
      <x:c r="G42" s="120"/>
      <x:c r="H42" s="112" t="str">
        <x:v>DS SP GIÁ 0 - VẪN THIẾU GIÁ</x:v>
      </x:c>
      <x:c r="I42" s="112" t="n">
        <x:v>0</x:v>
      </x:c>
      <x:c r="J42" s="112" t="str">
        <x:v>g</x:v>
      </x:c>
      <x:c r="K42" s="112" t="str">
        <x:v>CHAI</x:v>
      </x:c>
      <x:c r="L42" s="112" t="n">
        <x:v>16000</x:v>
      </x:c>
      <x:c r="M42" s="112" t="str">
        <x:v>g</x:v>
      </x:c>
      <x:c r="N42" s="112" t="str">
        <x:v>THÙNG</x:v>
      </x:c>
      <x:c r="O42" s="112" t="n">
        <x:v>12</x:v>
      </x:c>
      <x:c r="P42" s="112" t="str">
        <x:v>0 g / CHAI</x:v>
      </x:c>
      <x:c r="Q42" s="112" t="str">
        <x:v>12 CHAI / THÙNG</x:v>
      </x:c>
      <x:c r="R42" s="112" t="n">
        <x:v>845</x:v>
      </x:c>
      <x:c r="S42" s="113" t="n">
        <x:v>846</x:v>
      </x:c>
    </x:row>
    <x:row r="43">
      <x:c r="A43" s="111" t="n">
        <x:v>391</x:v>
      </x:c>
      <x:c r="B43" s="112" t="str">
        <x:v>MỨT DOUXIAN DÂU</x:v>
      </x:c>
      <x:c r="C43" s="112" t="str">
        <x:v>STDXDA</x:v>
      </x:c>
      <x:c r="D43" s="112" t="str">
        <x:v>STDXDAT</x:v>
      </x:c>
      <x:c r="E43" s="120"/>
      <x:c r="F43" s="120" t="n">
        <x:v>0</x:v>
      </x:c>
      <x:c r="G43" s="120"/>
      <x:c r="H43" s="112" t="str">
        <x:v>DS SP GIÁ 0 - VẪN THIẾU GIÁ</x:v>
      </x:c>
      <x:c r="I43" s="112" t="n">
        <x:v>0</x:v>
      </x:c>
      <x:c r="J43" s="112" t="str">
        <x:v>g</x:v>
      </x:c>
      <x:c r="K43" s="112" t="str">
        <x:v>CHAI</x:v>
      </x:c>
      <x:c r="L43" s="112" t="n">
        <x:v>16000</x:v>
      </x:c>
      <x:c r="M43" s="112" t="str">
        <x:v>g</x:v>
      </x:c>
      <x:c r="N43" s="112" t="str">
        <x:v>THÙNG</x:v>
      </x:c>
      <x:c r="O43" s="112" t="n">
        <x:v>12</x:v>
      </x:c>
      <x:c r="P43" s="112" t="str">
        <x:v>0 g / CHAI</x:v>
      </x:c>
      <x:c r="Q43" s="112" t="str">
        <x:v>12 CHAI / THÙNG</x:v>
      </x:c>
      <x:c r="R43" s="112" t="n">
        <x:v>847</x:v>
      </x:c>
      <x:c r="S43" s="113" t="n">
        <x:v>848</x:v>
      </x:c>
    </x:row>
    <x:row r="44">
      <x:c r="A44" s="111" t="n">
        <x:v>392</x:v>
      </x:c>
      <x:c r="B44" s="112" t="str">
        <x:v>MỨT DOUXIAN CHANH DÂY</x:v>
      </x:c>
      <x:c r="C44" s="112" t="str">
        <x:v>STDXCD</x:v>
      </x:c>
      <x:c r="D44" s="112" t="str">
        <x:v>STDXCDT</x:v>
      </x:c>
      <x:c r="E44" s="120"/>
      <x:c r="F44" s="120" t="n">
        <x:v>0</x:v>
      </x:c>
      <x:c r="G44" s="120"/>
      <x:c r="H44" s="112" t="str">
        <x:v>DS SP GIÁ 0 - VẪN THIẾU GIÁ</x:v>
      </x:c>
      <x:c r="I44" s="112" t="n">
        <x:v>0</x:v>
      </x:c>
      <x:c r="J44" s="112" t="str">
        <x:v>g</x:v>
      </x:c>
      <x:c r="K44" s="112" t="str">
        <x:v>CHAI</x:v>
      </x:c>
      <x:c r="L44" s="112" t="n">
        <x:v>16000</x:v>
      </x:c>
      <x:c r="M44" s="112" t="str">
        <x:v>g</x:v>
      </x:c>
      <x:c r="N44" s="112" t="str">
        <x:v>THÙNG</x:v>
      </x:c>
      <x:c r="O44" s="112" t="n">
        <x:v>12</x:v>
      </x:c>
      <x:c r="P44" s="112" t="str">
        <x:v>0 g / CHAI</x:v>
      </x:c>
      <x:c r="Q44" s="112" t="str">
        <x:v>12 CHAI / THÙNG</x:v>
      </x:c>
      <x:c r="R44" s="112" t="n">
        <x:v>849</x:v>
      </x:c>
      <x:c r="S44" s="113" t="n">
        <x:v>850</x:v>
      </x:c>
    </x:row>
    <x:row r="45">
      <x:c r="A45" s="111" t="n">
        <x:v>432</x:v>
      </x:c>
      <x:c r="B45" s="112" t="str">
        <x:v>LY 700 IN</x:v>
      </x:c>
      <x:c r="C45" s="112" t="str">
        <x:v>LYI700</x:v>
      </x:c>
      <x:c r="D45" s="112" t="str">
        <x:v>LYI700T</x:v>
      </x:c>
      <x:c r="E45" s="120"/>
      <x:c r="F45" s="120" t="n">
        <x:v>0</x:v>
      </x:c>
      <x:c r="G45" s="120"/>
      <x:c r="H45" s="112" t="str">
        <x:v>DS SP GIÁ 0 - VẪN THIẾU GIÁ</x:v>
      </x:c>
      <x:c r="I45" s="112" t="n">
        <x:v>0</x:v>
      </x:c>
      <x:c r="J45" s="112" t="str">
        <x:v>g</x:v>
      </x:c>
      <x:c r="K45" s="112" t="str">
        <x:v>CÂY</x:v>
      </x:c>
      <x:c r="L45" s="112" t="n">
        <x:v>0</x:v>
      </x:c>
      <x:c r="M45" s="112" t="str">
        <x:v>g</x:v>
      </x:c>
      <x:c r="N45" s="112" t="str">
        <x:v>THÙNG</x:v>
      </x:c>
      <x:c r="O45" s="112" t="n">
        <x:v>20</x:v>
      </x:c>
      <x:c r="P45" s="112" t="str">
        <x:v>0 g / CÂY</x:v>
      </x:c>
      <x:c r="Q45" s="112" t="str">
        <x:v>20 CÂY / THÙNG</x:v>
      </x:c>
      <x:c r="R45" s="112" t="n">
        <x:v>939</x:v>
      </x:c>
      <x:c r="S45" s="113" t="n">
        <x:v>940</x:v>
      </x:c>
    </x:row>
    <x:row r="46">
      <x:c r="A46" s="111" t="n">
        <x:v>433</x:v>
      </x:c>
      <x:c r="B46" s="112" t="str">
        <x:v>LY 650 UKP</x:v>
      </x:c>
      <x:c r="C46" s="112" t="str">
        <x:v>LYU650</x:v>
      </x:c>
      <x:c r="D46" s="112" t="str">
        <x:v>LYU650T</x:v>
      </x:c>
      <x:c r="E46" s="120"/>
      <x:c r="F46" s="120" t="n">
        <x:v>0</x:v>
      </x:c>
      <x:c r="G46" s="120"/>
      <x:c r="H46" s="112" t="str">
        <x:v>DS SP GIÁ 0 - VẪN THIẾU GIÁ</x:v>
      </x:c>
      <x:c r="I46" s="112" t="n">
        <x:v>0</x:v>
      </x:c>
      <x:c r="J46" s="112" t="str">
        <x:v>g</x:v>
      </x:c>
      <x:c r="K46" s="112" t="str">
        <x:v>CÂY</x:v>
      </x:c>
      <x:c r="L46" s="112" t="n">
        <x:v>0</x:v>
      </x:c>
      <x:c r="M46" s="112" t="str">
        <x:v>g</x:v>
      </x:c>
      <x:c r="N46" s="112" t="str">
        <x:v>THÙNG</x:v>
      </x:c>
      <x:c r="O46" s="112" t="n">
        <x:v>20</x:v>
      </x:c>
      <x:c r="P46" s="112" t="str">
        <x:v>0 g / CÂY</x:v>
      </x:c>
      <x:c r="Q46" s="112" t="str">
        <x:v>20 CÂY / THÙNG</x:v>
      </x:c>
      <x:c r="R46" s="112" t="n">
        <x:v>941</x:v>
      </x:c>
      <x:c r="S46" s="113" t="n">
        <x:v>942</x:v>
      </x:c>
    </x:row>
    <x:row r="47">
      <x:c r="A47" s="111" t="n">
        <x:v>434</x:v>
      </x:c>
      <x:c r="B47" s="112" t="str">
        <x:v>LY 500 IN</x:v>
      </x:c>
      <x:c r="C47" s="112" t="str">
        <x:v>LYI500</x:v>
      </x:c>
      <x:c r="D47" s="112" t="str">
        <x:v>LYI500T</x:v>
      </x:c>
      <x:c r="E47" s="120"/>
      <x:c r="F47" s="120" t="n">
        <x:v>0</x:v>
      </x:c>
      <x:c r="G47" s="120"/>
      <x:c r="H47" s="112" t="str">
        <x:v>DS SP GIÁ 0 - VẪN THIẾU GIÁ</x:v>
      </x:c>
      <x:c r="I47" s="112" t="n">
        <x:v>0</x:v>
      </x:c>
      <x:c r="J47" s="112" t="str">
        <x:v>g</x:v>
      </x:c>
      <x:c r="K47" s="112" t="str">
        <x:v>CÂY</x:v>
      </x:c>
      <x:c r="L47" s="112" t="n">
        <x:v>0</x:v>
      </x:c>
      <x:c r="M47" s="112" t="str">
        <x:v>g</x:v>
      </x:c>
      <x:c r="N47" s="112" t="str">
        <x:v>THÙNG</x:v>
      </x:c>
      <x:c r="O47" s="112" t="n">
        <x:v>20</x:v>
      </x:c>
      <x:c r="P47" s="112" t="str">
        <x:v>0 g / CÂY</x:v>
      </x:c>
      <x:c r="Q47" s="112" t="str">
        <x:v>20 CÂY / THÙNG</x:v>
      </x:c>
      <x:c r="R47" s="112" t="n">
        <x:v>943</x:v>
      </x:c>
      <x:c r="S47" s="113" t="n">
        <x:v>944</x:v>
      </x:c>
    </x:row>
    <x:row r="48">
      <x:c r="A48" s="111" t="n">
        <x:v>464</x:v>
      </x:c>
      <x:c r="B48" s="112" t="str">
        <x:v>FALU VẢI</x:v>
      </x:c>
      <x:c r="C48" s="112" t="str">
        <x:v>FALUVA</x:v>
      </x:c>
      <x:c r="D48" s="112" t="str">
        <x:v>FALUVAT</x:v>
      </x:c>
      <x:c r="E48" s="120"/>
      <x:c r="F48" s="120" t="n">
        <x:v>0</x:v>
      </x:c>
      <x:c r="G48" s="120"/>
      <x:c r="H48" s="112" t="str">
        <x:v>DS SP GIÁ 0 - VẪN THIẾU GIÁ</x:v>
      </x:c>
      <x:c r="I48" s="112" t="n">
        <x:v>2</x:v>
      </x:c>
      <x:c r="J48" s="112" t="str">
        <x:v>kg</x:v>
      </x:c>
      <x:c r="K48" s="112" t="str">
        <x:v>BÌNH</x:v>
      </x:c>
      <x:c r="L48" s="112" t="n">
        <x:v>24</x:v>
      </x:c>
      <x:c r="M48" s="112" t="str">
        <x:v>kg</x:v>
      </x:c>
      <x:c r="N48" s="112" t="str">
        <x:v>THÙNG</x:v>
      </x:c>
      <x:c r="O48" s="112" t="n">
        <x:v>12</x:v>
      </x:c>
      <x:c r="P48" s="112" t="str">
        <x:v>2 kg / BÌNH</x:v>
      </x:c>
      <x:c r="Q48" s="112" t="str">
        <x:v>12 BÌNH / THÙNG</x:v>
      </x:c>
      <x:c r="R48" s="112" t="n">
        <x:v>1029</x:v>
      </x:c>
      <x:c r="S48" s="113" t="n">
        <x:v>1030</x:v>
      </x:c>
    </x:row>
    <x:row r="49">
      <x:c r="A49" s="111" t="n">
        <x:v>512</x:v>
      </x:c>
      <x:c r="B49" s="112" t="str">
        <x:v>CHANG THÁI ỔI</x:v>
      </x:c>
      <x:c r="C49" s="112" t="str">
        <x:v>CTHOIH</x:v>
      </x:c>
      <x:c r="D49" s="112" t="str">
        <x:v>CTHOIHT</x:v>
      </x:c>
      <x:c r="E49" s="120"/>
      <x:c r="F49" s="120" t="n">
        <x:v>0</x:v>
      </x:c>
      <x:c r="G49" s="120"/>
      <x:c r="H49" s="112" t="str">
        <x:v>DS SP GIÁ 0 - VẪN THIẾU GIÁ</x:v>
      </x:c>
      <x:c r="I49" s="112" t="n">
        <x:v>1400</x:v>
      </x:c>
      <x:c r="J49" s="112" t="str">
        <x:v>g</x:v>
      </x:c>
      <x:c r="K49" s="112" t="str">
        <x:v>CHAI</x:v>
      </x:c>
      <x:c r="L49" s="112" t="n">
        <x:v>16000</x:v>
      </x:c>
      <x:c r="M49" s="112" t="str">
        <x:v>g</x:v>
      </x:c>
      <x:c r="N49" s="112" t="str">
        <x:v>THÙNG</x:v>
      </x:c>
      <x:c r="O49" s="112" t="n">
        <x:v>12</x:v>
      </x:c>
      <x:c r="P49" s="112" t="str">
        <x:v>1400 g / CHAI</x:v>
      </x:c>
      <x:c r="Q49" s="112" t="str">
        <x:v>12 CHAI / THÙNG</x:v>
      </x:c>
      <x:c r="R49" s="112" t="n">
        <x:v>1135</x:v>
      </x:c>
      <x:c r="S49" s="113" t="n">
        <x:v>1136</x:v>
      </x:c>
    </x:row>
    <x:row r="50">
      <x:c r="A50" s="111" t="n">
        <x:v>513</x:v>
      </x:c>
      <x:c r="B50" s="112" t="str">
        <x:v>CHANG THÁI MÔN</x:v>
      </x:c>
      <x:c r="C50" s="112" t="str">
        <x:v>CTHMON</x:v>
      </x:c>
      <x:c r="D50" s="112" t="str">
        <x:v>CTHMONT</x:v>
      </x:c>
      <x:c r="E50" s="120"/>
      <x:c r="F50" s="120" t="n">
        <x:v>0</x:v>
      </x:c>
      <x:c r="G50" s="120"/>
      <x:c r="H50" s="112" t="str">
        <x:v>DS SP GIÁ 0 - VẪN THIẾU GIÁ</x:v>
      </x:c>
      <x:c r="I50" s="112" t="n">
        <x:v>1400</x:v>
      </x:c>
      <x:c r="J50" s="112" t="str">
        <x:v>g</x:v>
      </x:c>
      <x:c r="K50" s="112" t="str">
        <x:v>CHAI</x:v>
      </x:c>
      <x:c r="L50" s="112" t="n">
        <x:v>16000</x:v>
      </x:c>
      <x:c r="M50" s="112" t="str">
        <x:v>g</x:v>
      </x:c>
      <x:c r="N50" s="112" t="str">
        <x:v>THÙNG</x:v>
      </x:c>
      <x:c r="O50" s="112" t="n">
        <x:v>12</x:v>
      </x:c>
      <x:c r="P50" s="112" t="str">
        <x:v>1400 g / CHAI</x:v>
      </x:c>
      <x:c r="Q50" s="112" t="str">
        <x:v>12 CHAI / THÙNG</x:v>
      </x:c>
      <x:c r="R50" s="112" t="n">
        <x:v>1137</x:v>
      </x:c>
      <x:c r="S50" s="113" t="n">
        <x:v>1138</x:v>
      </x:c>
    </x:row>
    <x:row r="51">
      <x:c r="A51" s="111" t="n">
        <x:v>527</x:v>
      </x:c>
      <x:c r="B51" s="112" t="str">
        <x:v>CARISA CHANH</x:v>
      </x:c>
      <x:c r="C51" s="112" t="str">
        <x:v>CRSCHA</x:v>
      </x:c>
      <x:c r="D51" s="112" t="str">
        <x:v>CRSCHAT</x:v>
      </x:c>
      <x:c r="E51" s="120" t="n">
        <x:v>30000</x:v>
      </x:c>
      <x:c r="F51" s="120" t="n">
        <x:v>0</x:v>
      </x:c>
      <x:c r="G51" s="120" t="n">
        <x:v>30000</x:v>
      </x:c>
      <x:c r="H51" s="112" t="str">
        <x:v>DS SP GIÁ 0 - GIỮ GIÁ CŨ</x:v>
      </x:c>
      <x:c r="I51" s="112" t="n">
        <x:v>0</x:v>
      </x:c>
      <x:c r="J51" s="112" t="str">
        <x:v>g</x:v>
      </x:c>
      <x:c r="K51" s="112" t="str">
        <x:v>CHAI</x:v>
      </x:c>
      <x:c r="L51" s="112" t="n">
        <x:v>0</x:v>
      </x:c>
      <x:c r="M51" s="112" t="str">
        <x:v>g</x:v>
      </x:c>
      <x:c r="N51" s="112" t="str">
        <x:v>THÙNG</x:v>
      </x:c>
      <x:c r="O51" s="112" t="n">
        <x:v>30</x:v>
      </x:c>
      <x:c r="P51" s="112" t="str">
        <x:v>0 g / CHAI</x:v>
      </x:c>
      <x:c r="Q51" s="112" t="str">
        <x:v>30 CHAI / THÙNG</x:v>
      </x:c>
      <x:c r="R51" s="112" t="n">
        <x:v>1174</x:v>
      </x:c>
      <x:c r="S51" s="113" t="n">
        <x:v>1175</x:v>
      </x:c>
    </x:row>
    <x:row r="52">
      <x:c r="A52" s="111" t="n">
        <x:v>535</x:v>
      </x:c>
      <x:c r="B52" s="112" t="str">
        <x:v>CARISA DƯA LƯỚI</x:v>
      </x:c>
      <x:c r="C52" s="112" t="str">
        <x:v>CRSDLU</x:v>
      </x:c>
      <x:c r="D52" s="112" t="str">
        <x:v>CRSDLUT</x:v>
      </x:c>
      <x:c r="E52" s="120" t="n">
        <x:v>30000</x:v>
      </x:c>
      <x:c r="F52" s="120" t="n">
        <x:v>0</x:v>
      </x:c>
      <x:c r="G52" s="120" t="n">
        <x:v>30000</x:v>
      </x:c>
      <x:c r="H52" s="112" t="str">
        <x:v>DS SP GIÁ 0 - GIỮ GIÁ CŨ</x:v>
      </x:c>
      <x:c r="I52" s="112" t="n">
        <x:v>0</x:v>
      </x:c>
      <x:c r="J52" s="112" t="str">
        <x:v>g</x:v>
      </x:c>
      <x:c r="K52" s="112" t="str">
        <x:v>CHAI</x:v>
      </x:c>
      <x:c r="L52" s="112" t="n">
        <x:v>0</x:v>
      </x:c>
      <x:c r="M52" s="112" t="str">
        <x:v>g</x:v>
      </x:c>
      <x:c r="N52" s="112" t="str">
        <x:v>THÙNG</x:v>
      </x:c>
      <x:c r="O52" s="112" t="n">
        <x:v>24</x:v>
      </x:c>
      <x:c r="P52" s="112" t="str">
        <x:v>0 g / CHAI</x:v>
      </x:c>
      <x:c r="Q52" s="112" t="str">
        <x:v>24 CHAI / THÙNG</x:v>
      </x:c>
      <x:c r="R52" s="112" t="n">
        <x:v>1190</x:v>
      </x:c>
      <x:c r="S52" s="113" t="n">
        <x:v>1191</x:v>
      </x:c>
    </x:row>
    <x:row r="53">
      <x:c r="A53" s="111" t="n">
        <x:v>537</x:v>
      </x:c>
      <x:c r="B53" s="112" t="str">
        <x:v>CARISA CAM</x:v>
      </x:c>
      <x:c r="C53" s="112" t="str">
        <x:v>CRSCAM</x:v>
      </x:c>
      <x:c r="D53" s="112" t="str">
        <x:v>CRSCAMT</x:v>
      </x:c>
      <x:c r="E53" s="120" t="n">
        <x:v>30000</x:v>
      </x:c>
      <x:c r="F53" s="120" t="n">
        <x:v>0</x:v>
      </x:c>
      <x:c r="G53" s="120" t="n">
        <x:v>30000</x:v>
      </x:c>
      <x:c r="H53" s="112" t="str">
        <x:v>DS SP GIÁ 0 - GIỮ GIÁ CŨ</x:v>
      </x:c>
      <x:c r="I53" s="112" t="n">
        <x:v>0</x:v>
      </x:c>
      <x:c r="J53" s="112" t="str">
        <x:v>g</x:v>
      </x:c>
      <x:c r="K53" s="112" t="str">
        <x:v>CHAI</x:v>
      </x:c>
      <x:c r="L53" s="112" t="n">
        <x:v>0</x:v>
      </x:c>
      <x:c r="M53" s="112" t="str">
        <x:v>g</x:v>
      </x:c>
      <x:c r="N53" s="112" t="str">
        <x:v>THÙNG</x:v>
      </x:c>
      <x:c r="O53" s="112" t="n">
        <x:v>24</x:v>
      </x:c>
      <x:c r="P53" s="112" t="str">
        <x:v>0 g / CHAI</x:v>
      </x:c>
      <x:c r="Q53" s="112" t="str">
        <x:v>24 CHAI / THÙNG</x:v>
      </x:c>
      <x:c r="R53" s="112" t="n">
        <x:v>1194</x:v>
      </x:c>
      <x:c r="S53" s="113" t="n">
        <x:v>1195</x:v>
      </x:c>
    </x:row>
    <x:row r="54">
      <x:c r="A54" s="111" t="n">
        <x:v>606</x:v>
      </x:c>
      <x:c r="B54" s="112" t="str">
        <x:v>3Q BIBI DÂU</x:v>
      </x:c>
      <x:c r="C54" s="112" t="str">
        <x:v>3QBBDA</x:v>
      </x:c>
      <x:c r="D54" s="112" t="str">
        <x:v>3QBBDAT</x:v>
      </x:c>
      <x:c r="E54" s="120"/>
      <x:c r="F54" s="120" t="n">
        <x:v>0</x:v>
      </x:c>
      <x:c r="G54" s="120"/>
      <x:c r="H54" s="112" t="str">
        <x:v>DS SP GIÁ 0 - VẪN THIẾU GIÁ</x:v>
      </x:c>
      <x:c r="I54" s="112" t="n">
        <x:v>0</x:v>
      </x:c>
      <x:c r="J54" s="112" t="str">
        <x:v>g</x:v>
      </x:c>
      <x:c r="K54" s="112" t="str">
        <x:v>GÓI</x:v>
      </x:c>
      <x:c r="L54" s="112" t="n">
        <x:v>13000</x:v>
      </x:c>
      <x:c r="M54" s="112" t="str">
        <x:v>g</x:v>
      </x:c>
      <x:c r="N54" s="112" t="str">
        <x:v>THÙNG</x:v>
      </x:c>
      <x:c r="O54" s="112" t="n">
        <x:v>6</x:v>
      </x:c>
      <x:c r="P54" s="112" t="str">
        <x:v>0 g / GÓI</x:v>
      </x:c>
      <x:c r="Q54" s="112" t="str">
        <x:v>6 GÓI / THÙNG</x:v>
      </x:c>
      <x:c r="R54" s="112" t="n">
        <x:v>1368</x:v>
      </x:c>
      <x:c r="S54" s="113" t="n">
        <x:v>1369</x:v>
      </x:c>
    </x:row>
    <x:row r="55">
      <x:c r="A55" s="114" t="n">
        <x:v>607</x:v>
      </x:c>
      <x:c r="B55" s="115" t="str">
        <x:v>3Q BIBI ĐÀO</x:v>
      </x:c>
      <x:c r="C55" s="115" t="str">
        <x:v>3QBBDO</x:v>
      </x:c>
      <x:c r="D55" s="115" t="str">
        <x:v>3QBBDOT</x:v>
      </x:c>
      <x:c r="E55" s="121"/>
      <x:c r="F55" s="121" t="n">
        <x:v>0</x:v>
      </x:c>
      <x:c r="G55" s="121"/>
      <x:c r="H55" s="115" t="str">
        <x:v>DS SP GIÁ 0 - VẪN THIẾU GIÁ</x:v>
      </x:c>
      <x:c r="I55" s="115" t="n">
        <x:v>0</x:v>
      </x:c>
      <x:c r="J55" s="115" t="str">
        <x:v>g</x:v>
      </x:c>
      <x:c r="K55" s="115" t="str">
        <x:v>GÓI</x:v>
      </x:c>
      <x:c r="L55" s="115" t="n">
        <x:v>13000</x:v>
      </x:c>
      <x:c r="M55" s="115" t="str">
        <x:v>g</x:v>
      </x:c>
      <x:c r="N55" s="115" t="str">
        <x:v>THÙNG</x:v>
      </x:c>
      <x:c r="O55" s="115" t="n">
        <x:v>6</x:v>
      </x:c>
      <x:c r="P55" s="115" t="str">
        <x:v>0 g / GÓI</x:v>
      </x:c>
      <x:c r="Q55" s="115" t="str">
        <x:v>6 GÓI / THÙNG</x:v>
      </x:c>
      <x:c r="R55" s="115" t="n">
        <x:v>1370</x:v>
      </x:c>
      <x:c r="S55" s="116" t="n">
        <x:v>1371</x:v>
      </x:c>
    </x:row>
  </x:sheetData>
  <x:conditionalFormatting sqref="H2:H55">
    <x:cfRule type="expression" dxfId="16" priority="1">
      <x:formula>H2="GIỮ NGUYÊN - ĐÃ KHỚP"</x:formula>
    </x:cfRule>
    <x:cfRule type="expression" dxfId="17" priority="2">
      <x:formula>H2="CẬP NHẬT GIÁ"</x:formula>
    </x:cfRule>
    <x:cfRule type="expression" dxfId="18" priority="3">
      <x:formula>H2="BỔ SUNG GIÁ"</x:formula>
    </x:cfRule>
    <x:cfRule type="expression" dxfId="19" priority="4">
      <x:formula>H2="DS SP GIÁ 0 - GIỮ GIÁ CŨ"</x:formula>
    </x:cfRule>
    <x:cfRule type="expression" dxfId="20" priority="5">
      <x:formula>H2="DS SP GIÁ 0 - VẪN THIẾU GIÁ"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d6639b1f694e3a"/>
  </x:tableParts>
</x:worksheet>
</file>